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KLEAD_SPIP" sheetId="1" r:id="rId4"/>
    <sheet state="visible" name="KKLEAD II" sheetId="2" r:id="rId5"/>
    <sheet state="visible" name="Uraian NIlai Setiap Unsur" sheetId="3" r:id="rId6"/>
    <sheet state="visible" name="KKlead I KL" sheetId="4" r:id="rId7"/>
    <sheet state="visible" name="KKE 1.1 SASTRA PEMDA" sheetId="5" r:id="rId8"/>
    <sheet state="visible" name="KKE 1.2 SASARAN OPD" sheetId="6" r:id="rId9"/>
    <sheet state="visible" name="KKE 2.1 SASKEG" sheetId="7" r:id="rId10"/>
    <sheet state="visible" name="KK 2.2 RO" sheetId="8" r:id="rId11"/>
    <sheet state="visible" name="Sheet8" sheetId="9" r:id="rId12"/>
    <sheet state="visible" name="KK3.1" sheetId="10" r:id="rId13"/>
    <sheet state="visible" name="KK3.2" sheetId="11" r:id="rId14"/>
    <sheet state="visible" name="KK3.3" sheetId="12" r:id="rId15"/>
    <sheet state="visible" name="KK3.4" sheetId="13" r:id="rId16"/>
    <sheet state="visible" name="KKLEAD III" sheetId="14" r:id="rId17"/>
    <sheet state="visible" name="KK 5.1A" sheetId="15" r:id="rId18"/>
    <sheet state="visible" name="KK 5.1 B " sheetId="16" r:id="rId19"/>
    <sheet state="visible" name="KK 5.2 " sheetId="17" r:id="rId20"/>
    <sheet state="visible" name="KK 6" sheetId="18" r:id="rId21"/>
    <sheet state="visible" name="KK 7" sheetId="19" r:id="rId22"/>
    <sheet state="visible" name="KK 8" sheetId="20" r:id="rId23"/>
    <sheet state="visible" name="Sheet3" sheetId="21" r:id="rId24"/>
    <sheet state="hidden" name="KKE 2.2 KEGIATAN" sheetId="22" r:id="rId25"/>
    <sheet state="hidden" name="qa 3.1 8 satker" sheetId="23" r:id="rId26"/>
    <sheet state="visible" name="KK4_PENALTI" sheetId="24" r:id="rId27"/>
  </sheets>
  <definedNames>
    <definedName hidden="1" localSheetId="1" name="_xlnm._FilterDatabase">'KKLEAD II'!$A$5:$P$85</definedName>
    <definedName hidden="1" localSheetId="12" name="_xlnm._FilterDatabase">KK3.4!$A$4:$L$305</definedName>
  </definedNames>
  <calcPr/>
  <extLst>
    <ext uri="GoogleSheetsCustomDataVersion2">
      <go:sheetsCustomData xmlns:go="http://customooxmlschemas.google.com/" r:id="rId28" roundtripDataChecksum="jbyHCGUaBAFXeqxcq0wccqLX1ss3i9klv0ejQ/5lvq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
ID#AAAA4rcuQqA
dana    (2023-09-06 08:11:12)
METODE RATA2</t>
      </text>
    </comment>
    <comment authorId="0" ref="N3">
      <text>
        <t xml:space="preserve">======
ID#AAAA4rcuQpo
dana    (2023-09-06 08:11:12)
METODE RATA2</t>
      </text>
    </comment>
  </commentList>
  <extLst>
    <ext uri="GoogleSheetsCustomDataVersion2">
      <go:sheetsCustomData xmlns:go="http://customooxmlschemas.google.com/" r:id="rId1" roundtripDataSignature="AMtx7mgmMRWv6VVnib47c26GDpq+BIoU8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01">
      <text>
        <t xml:space="preserve">======
ID#AAAA4rcuQp4
tc={1457473D-EB72-493C-816D-A1A459A0234F}    (2023-09-06 08:11:12)
[Threaded comment]
Your version of Excel allows you to read this threaded comment; however, any edits to it will get removed if the file is opened in a newer version of Excel. Learn more: https://go.microsoft.com/fwlink/?linkid=870924
Comment:
    Belum terdapat sistem pengaduan</t>
      </text>
    </comment>
    <comment authorId="0" ref="I200">
      <text>
        <t xml:space="preserve">======
ID#AAAA4rcuQp0
tc={EDDF0B17-FDDB-4AB2-AE96-1F2D584C12A7}    (2023-09-06 08:11:12)
[Threaded comment]
Your version of Excel allows you to read this threaded comment; however, any edits to it will get removed if the file is opened in a newer version of Excel. Learn more: https://go.microsoft.com/fwlink/?linkid=870924
Comment:
    Sistem Pengaduan telah ada namun belum digunakan</t>
      </text>
    </comment>
    <comment authorId="0" ref="I199">
      <text>
        <t xml:space="preserve">======
ID#AAAA4rcuQpw
tc={D9E0DB96-2C63-48C7-B598-5128275B2DD0}    (2023-09-06 08:11:12)
[Threaded comment]
Your version of Excel allows you to read this threaded comment; however, any edits to it will get removed if the file is opened in a newer version of Excel. Learn more: https://go.microsoft.com/fwlink/?linkid=870924
Comment:
    Sistem pengaduan telah digunakan oleh pihak internal maupun eksternal</t>
      </text>
    </comment>
    <comment authorId="0" ref="I198">
      <text>
        <t xml:space="preserve">======
ID#AAAA4rcuQps
tc={4FC6FB88-12D3-4445-9CD2-41C0B754D7D0}    (2023-09-06 08:11:12)
[Threaded comment]
Your version of Excel allows you to read this threaded comment; however, any edits to it will get removed if the file is opened in a newer version of Excel. Learn more: https://go.microsoft.com/fwlink/?linkid=870924
Comment:
    Aduan telah ditindaklanjuti dengan konsisten</t>
      </text>
    </comment>
  </commentList>
  <extLst>
    <ext uri="GoogleSheetsCustomDataVersion2">
      <go:sheetsCustomData xmlns:go="http://customooxmlschemas.google.com/" r:id="rId1" roundtripDataSignature="AMtx7mgaTlIfmpCIdwY4qNGW1Ht1SU8Obg=="/>
    </ext>
  </extLst>
</comments>
</file>

<file path=xl/sharedStrings.xml><?xml version="1.0" encoding="utf-8"?>
<sst xmlns="http://schemas.openxmlformats.org/spreadsheetml/2006/main" count="19613" uniqueCount="5414">
  <si>
    <t xml:space="preserve">PENJAMINAN KUALITAS HASIL PENILAIAN MANDIRI
MATURITAS PENYELENGGARAAN SPIP TERINTEGRASI
KEMENTERIAN KOMUNIKASI DAN DIGITAL
Periode Penilaian sampai dengan 20 Agustus 2025 </t>
  </si>
  <si>
    <t>PENYIMPULAN NILAI MATURITAS PENYELENGGARAAN SPIP TERINTEGRASI</t>
  </si>
  <si>
    <t xml:space="preserve">Komponen, Unsur, dan Subunsur </t>
  </si>
  <si>
    <t>Skor PM</t>
  </si>
  <si>
    <t>Skor PK</t>
  </si>
  <si>
    <t>Bobot
Unsur</t>
  </si>
  <si>
    <t>Bobot Komponen</t>
  </si>
  <si>
    <t>Nilai
Unsur</t>
  </si>
  <si>
    <t>Nilai Komponen</t>
  </si>
  <si>
    <t>Nilai Akhir</t>
  </si>
  <si>
    <t>PENETAPAN TUJUAN</t>
  </si>
  <si>
    <t>Kualitas Sasaran Strategis</t>
  </si>
  <si>
    <t>Kualitas Strategi Pencapaian Sasaran Strategis</t>
  </si>
  <si>
    <t>SUB JUMLAH PERENCANAAN</t>
  </si>
  <si>
    <t>BOBOT PERENCANAAN</t>
  </si>
  <si>
    <t>STRUKTUR DAN PROSES</t>
  </si>
  <si>
    <t>Lingkungan Pengendalian</t>
  </si>
  <si>
    <t>Penegakan Integritas dan Nilai Etika (1.1)</t>
  </si>
  <si>
    <t>Komitmen terhadap Kompetensi (1.2)</t>
  </si>
  <si>
    <t>Kepemimpinan yang Kondusif (1.3)</t>
  </si>
  <si>
    <t>Pembentukan Struktur Organisasi yang Sesuai dengan Kebutuhan (1.4)</t>
  </si>
  <si>
    <t>Pendelegasian Wewenang dan Tanggung Jawab yang Tepat (1.5)</t>
  </si>
  <si>
    <t>Penyusunan dan Penerapan Kebijakan yang Sehat tentang Pembinaan SDM (1.6)</t>
  </si>
  <si>
    <t>Perwujudan Peran APIP yang Efektif (1.7)</t>
  </si>
  <si>
    <t>Hubungan Kerja yang Baik dengan Instansi Pemerintah Terkait (1.8)</t>
  </si>
  <si>
    <t>Penilaian Risiko</t>
  </si>
  <si>
    <t>Identifikasi Risiko (2.1)</t>
  </si>
  <si>
    <t>Analisis Risiko (2.2)</t>
  </si>
  <si>
    <t>Kegiatan Pengendalian</t>
  </si>
  <si>
    <t>Reviu atas Kinerja Instansi Pemerintah (3.1)</t>
  </si>
  <si>
    <t>Pembinaan Sumber Daya Manusia (3.2)</t>
  </si>
  <si>
    <t>Pengendalian atas Pengelolaan Sistem Informasi (3.3)</t>
  </si>
  <si>
    <t>Pengendalian Fisik atas Aset (3.4)</t>
  </si>
  <si>
    <t>Penetapan dan Reviu atas Indikator dan Ukuran Kinerja (3.5)</t>
  </si>
  <si>
    <t>Pemisahan Fungsi (3.6)</t>
  </si>
  <si>
    <t>Otorisasi atas Transaksi dan Kejadian yang Penting (3.7)</t>
  </si>
  <si>
    <t>Pencatatan yang Akurat dan Tepat Waktu atas Transaksi dan Kejadian (3.8)</t>
  </si>
  <si>
    <t>Pembatasan Akses atas Sumber Daya dan Pencatatannya (3.9)</t>
  </si>
  <si>
    <t>Akuntabilitas terhadap Sumber Daya dan Pencatatannya (3.10)</t>
  </si>
  <si>
    <t>Dokumentasi yang Baik atas SPI serta Transaksi dan Kejadian Penting (3.11)</t>
  </si>
  <si>
    <t>Informasi dan Komunikasi</t>
  </si>
  <si>
    <t>Informasi yang Relevan (4.1)</t>
  </si>
  <si>
    <t>Komunikasi yang Efektif (4.2)</t>
  </si>
  <si>
    <t>Pemantauan</t>
  </si>
  <si>
    <t>Pemantauan Berkelanjutan (5.1)</t>
  </si>
  <si>
    <t>Evaluasi Terpisah (5.2)</t>
  </si>
  <si>
    <t>SUB JUMLAH STRUKTUR DAN PROSES</t>
  </si>
  <si>
    <t>BOBOT STRUKTUR DAN PROSES</t>
  </si>
  <si>
    <t>PENCAPAIAN TUJUAN SPIP</t>
  </si>
  <si>
    <t>Efektivitas dan Efisiensi</t>
  </si>
  <si>
    <r>
      <rPr>
        <rFont val="Arial"/>
        <color theme="1"/>
        <sz val="12.0"/>
      </rPr>
      <t xml:space="preserve">Capaian </t>
    </r>
    <r>
      <rPr>
        <rFont val="Arial"/>
        <i/>
        <color theme="1"/>
        <sz val="12.0"/>
      </rPr>
      <t>Outcome</t>
    </r>
  </si>
  <si>
    <r>
      <rPr>
        <rFont val="Arial"/>
        <color theme="1"/>
        <sz val="12.0"/>
      </rPr>
      <t xml:space="preserve">Capaian </t>
    </r>
    <r>
      <rPr>
        <rFont val="Arial"/>
        <i/>
        <color theme="1"/>
        <sz val="12.0"/>
      </rPr>
      <t>Output</t>
    </r>
  </si>
  <si>
    <t>Keandalan Laporan Keuangan</t>
  </si>
  <si>
    <t>Opini LK</t>
  </si>
  <si>
    <t>Pengamanan atas Aset</t>
  </si>
  <si>
    <t>Catatan Pengamanan Aset</t>
  </si>
  <si>
    <t>Ketaatan pada Peraturan</t>
  </si>
  <si>
    <t>Temuan Ketaatan - BPK</t>
  </si>
  <si>
    <t>IEPK</t>
  </si>
  <si>
    <t>SUB JUMLAH HASIL</t>
  </si>
  <si>
    <t>BOBOT HASIL</t>
  </si>
  <si>
    <t>NILAI MATURITAS PENYELENGGARAAN SPIP</t>
  </si>
  <si>
    <t>LEVEL MATURITAS PENYELENGGARAAN SPIP</t>
  </si>
  <si>
    <t>NILAI INDEKS PENERAPAN MANAJEMEN RISIKO (MRI)</t>
  </si>
  <si>
    <t>AREA/KOMPONEN</t>
  </si>
  <si>
    <t>BOBOT</t>
  </si>
  <si>
    <t>SKOR PM</t>
  </si>
  <si>
    <t>SKOR PK</t>
  </si>
  <si>
    <t>NILAI</t>
  </si>
  <si>
    <t>PERENCANAAN</t>
  </si>
  <si>
    <t xml:space="preserve">      KUALITAS PERENCANAAN</t>
  </si>
  <si>
    <t>KAPABILITAS</t>
  </si>
  <si>
    <t xml:space="preserve">     KEPEMIMPINAN</t>
  </si>
  <si>
    <t xml:space="preserve">     KEBIJAKAN MANAJEMEN RISIKO</t>
  </si>
  <si>
    <t xml:space="preserve">     SUMBER DAYA MANUSIA</t>
  </si>
  <si>
    <t xml:space="preserve">     KEMITRAAN</t>
  </si>
  <si>
    <t xml:space="preserve">     PROSES MANAJEMEN RISIKO</t>
  </si>
  <si>
    <t>HASIL</t>
  </si>
  <si>
    <t xml:space="preserve">     AKTIVITAS PENANGANAN RISIKO</t>
  </si>
  <si>
    <t xml:space="preserve">     OUTCOMES</t>
  </si>
  <si>
    <t>TOTAL</t>
  </si>
  <si>
    <t>NILAI INDEKS EFEKTIVITAS PENCEGAHAN KORUPSI (IEPK)</t>
  </si>
  <si>
    <t>PILAR</t>
  </si>
  <si>
    <t>KAPABILITAS PENGELOLAAN RISIKO KORUPSI</t>
  </si>
  <si>
    <t xml:space="preserve">     KEBIJAKAN ANTIKORUPSI</t>
  </si>
  <si>
    <t xml:space="preserve">     SEPERANGKAT SISTEM ANTIKORUPSI</t>
  </si>
  <si>
    <t xml:space="preserve">     DUKUNGAN SUMBER DAYA</t>
  </si>
  <si>
    <t xml:space="preserve">     POWER (KUASA &amp; WEWEWANG)</t>
  </si>
  <si>
    <t xml:space="preserve">     PEMBELAJARAN ANTIKORUPSI</t>
  </si>
  <si>
    <t>PENERAPAN STRATEGI PENCEGAHAN</t>
  </si>
  <si>
    <t xml:space="preserve">     ASESMEN DAN MITIGASI RISIKO KORUPSI</t>
  </si>
  <si>
    <t xml:space="preserve">     SALURAN PELAPORAN INTERNAL YANG EFEKTIF DAN KREDIBEL</t>
  </si>
  <si>
    <t xml:space="preserve">     KEPEMIMPINAN ETIS</t>
  </si>
  <si>
    <t xml:space="preserve">     INTEGRITAS ORGANISASIONAL</t>
  </si>
  <si>
    <t xml:space="preserve">     IKLIM ETIS PRINSIP</t>
  </si>
  <si>
    <t>PENANGANAN KEJADIAN KORUPSI</t>
  </si>
  <si>
    <t xml:space="preserve">     INVESTIGASI</t>
  </si>
  <si>
    <t xml:space="preserve">     TINDAKAN KOREKTIF</t>
  </si>
  <si>
    <t>KAPABILITAS APIP</t>
  </si>
  <si>
    <t>Penilain Risiko</t>
  </si>
  <si>
    <t xml:space="preserve">Pemantauan </t>
  </si>
  <si>
    <t>BOBO STRUKTUR DAN PROSES</t>
  </si>
  <si>
    <t>PENJAMINAN KUALITAS HASIL PENILAIAN MANDIRI MATURITAS PENYELENGGARAAN SPIP
PEMERINTAH DAERAH …
Periode Penilaian 01 Juli 20XX-1 sampai dengan 30 Juni 20XX</t>
  </si>
  <si>
    <t>KERTAS KERJA PENILAIAN STRUKTUR DAN PROSES
KK LEAD II - STRUKTUR DAN PROSES</t>
  </si>
  <si>
    <t>Indeks KK No.
Disusun oleh/Tanggal
Direviu oleh/Tanggal
Disetujui oleh/Tanggal</t>
  </si>
  <si>
    <t>:
:
:
:</t>
  </si>
  <si>
    <t>Kode</t>
  </si>
  <si>
    <t>Uraian Subunsur</t>
  </si>
  <si>
    <t>No</t>
  </si>
  <si>
    <t>Uraian Parameter</t>
  </si>
  <si>
    <t>Kode Parameter</t>
  </si>
  <si>
    <t>2E
NILAI</t>
  </si>
  <si>
    <t>KEUANGAN
NILAI</t>
  </si>
  <si>
    <t>ASET
NILAI</t>
  </si>
  <si>
    <t>KETAATAN
NILAI</t>
  </si>
  <si>
    <t>KESIMPULAN NILAI</t>
  </si>
  <si>
    <t>VETO
(YA/TIDAK)</t>
  </si>
  <si>
    <t>NILAI AKHIR</t>
  </si>
  <si>
    <t>KETERANGAN / CATATAN</t>
  </si>
  <si>
    <t>SPIP</t>
  </si>
  <si>
    <t>MRI</t>
  </si>
  <si>
    <t>1.1</t>
  </si>
  <si>
    <t>Penegakan Integritas dan Nilai Etika</t>
  </si>
  <si>
    <t>Organisasi menegakkan integritas dan nilai etika dalam melaksanakan tugas dan fungsi organisasi
Organisasi menegakkan integritas dan nilai etika dalam  pengelolaan keuangan
Organisasi menegakkan integritas dan nilai etika dalam  pengelolaan aset
Organisasi menegakkan integritas dan nilai etika dalam  pelaksanaan tugasnya sesuai peraturan yang berlaku</t>
  </si>
  <si>
    <t>-</t>
  </si>
  <si>
    <t xml:space="preserve">Kebijakan eksplisit atas  pengendalian korupsi yang mencakup pernyataan kebijakan, penetapan struktur pengelola risiko korupsi, serta standar perilaku antikorupsi </t>
  </si>
  <si>
    <t xml:space="preserve">Organisasi menetapkan dan melaksanakan SOP antikorupsi yang mencakup tiga proses prinsip dalam pengelolaan risiko korupsi, yakni cegah, deteksi, dan respons. </t>
  </si>
  <si>
    <t>Unit kerja sebagai lingkungan belajar dikelola untuk memungkinkan pegawai di semua level berpartisipasi dalam program antikorupsi dengan menghindari perilaku koruptif dan menunjukkan sikap lugas ketika berhadapan dengan situasi yang memicu perilaku korupsi</t>
  </si>
  <si>
    <t>Integritas organisasional yang terwujud dalam transparansi dan akuntabilitas telah tercermin dalam visi, misi, tujuan, dan nilai-nilai organisasi/unit kerja</t>
  </si>
  <si>
    <t>Terdapat persepsi bersama bahwa yang dijadikan acuan utama sebagai perilaku etis adalah peraturan, SOP, hukum, atau standar profesional</t>
  </si>
  <si>
    <t>Kejadian korupsi/perilaku koruptif telah ditindaklanjuti oleh orang yang kompeten dan independen</t>
  </si>
  <si>
    <t>Atas hasil audit atau investigasi telah diambil langkah dalam rangka memperbaiki kerusakan yang ditimbulkan oleh praktik korupsi di dalam organisasi berupa pemastian pengenaan sanksi dan perbaikan melalui pemulihan kerugian dan peningkatan pengendalian.</t>
  </si>
  <si>
    <t>1.2</t>
  </si>
  <si>
    <t>Komitmen terhadap Kompetensi</t>
  </si>
  <si>
    <t>Tugas dan jabatan dalam organisasi dilaksanakan dan diisi oleh SDM yang kompeten</t>
  </si>
  <si>
    <t>1.3</t>
  </si>
  <si>
    <t>Kepemimpinan yang Kondusif</t>
  </si>
  <si>
    <t>Pimpinan organisasi menciptakan lingkungan kerja yang kondusif untuk pencapaian tujuan organisasi.</t>
  </si>
  <si>
    <t>Pimpinan Instansi Pemerintah mengalokasikan sumber daya untuk penerapan manajemen risiko.</t>
  </si>
  <si>
    <t>KEPEMIMPINAN</t>
  </si>
  <si>
    <t>Pimpinan Instansi Pemerintah menggunakan informasi terkait risiko dalam pengambilan keputusan</t>
  </si>
  <si>
    <t>Pimpinan Instansi Pemerintah mendorong penerapan manajemen risiko, melalui Penggunaan kinerja penerapan manajemen risiko sebagai indikator penilaian kinerja</t>
  </si>
  <si>
    <t>Program antikorupsi didukung dengan penyediaan alokasi sumberdaya secara eksplisit secara memadai, baik anggaran, personil, dan sarana prasarana</t>
  </si>
  <si>
    <t>Faktor kekuasaan dan wewenang yang melekat pada pimpinan unit kerja dipakai untuk tujuan mengelola risiko korupsi secara efektif (tidak membiarkan/ mengabaikan)</t>
  </si>
  <si>
    <t>Pimpinan mendorong bawahan untuk mengikutinya melalui atensi yang diberikan di berbagai kesempatan, keterbukaan dan transparansi, reinforcement, perlakuan adil, dan pengambilan keputusan yang menyertakan pertimbangan etis.</t>
  </si>
  <si>
    <t>1.4</t>
  </si>
  <si>
    <t>Struktur Organisasi Sesuai Kebutuhan</t>
  </si>
  <si>
    <t>Struktur organisasi dibentuk dalam rangka mendukung pencapaian sasaran strategis organisasi.
Struktur organisasi dibentuk dalam rangka mendukung pencapaian keandalan laporan keuangan
Struktur organisasi dibentuk dalam rangka mendukung pencapaian keamanan aset
Dalam Struktur organisasi terdapat unit yang melaksanakan fungsi kepatuhan internal.</t>
  </si>
  <si>
    <t>1.5</t>
  </si>
  <si>
    <t>Pendelegasian Wewenang dan Tanggung Jawab yang Tepat</t>
  </si>
  <si>
    <t>Wewenang dan tanggung jawab diberikan kepada pegawai yang tepat sesuai tingkatannya untuk mendukung efektivitas dan efisiensi pelaksanaan kegiatan dalam rangka percepatan pencapaian tujuan organisasi.
Pendelegasian Wewenang dan Tanggung Jawab memperhatikan benturan kepentingan</t>
  </si>
  <si>
    <t>1.6</t>
  </si>
  <si>
    <t>Penyusunan dan Penerapan Kebijakan yang Sehat tentang Pembinaan SDM</t>
  </si>
  <si>
    <t>Penerapan kebijakan manajemen dan praktik pembinaan SDM sehingga dapat digunakan secara maksimal untuk mencapai tujuan organisasi</t>
  </si>
  <si>
    <t xml:space="preserve">Pegawai telah mendapatkan fasilitas untuk meningkatkan kompetensi dan keterampilan terkait manajemen risiko </t>
  </si>
  <si>
    <t>SDM</t>
  </si>
  <si>
    <t>Pegawai memiliki kesadaran terkait manajemen risiko</t>
  </si>
  <si>
    <t>1.7</t>
  </si>
  <si>
    <t>Perwujudan Peran APIP yang Efektif</t>
  </si>
  <si>
    <t>Pengawasan APIP telah dapat memberikan nilai tambah pada perbaikan pengendalian organisasi</t>
  </si>
  <si>
    <t>1.8</t>
  </si>
  <si>
    <t>Hubungan Kerja yang Baik dengan Instansi Pemerintah Terkait</t>
  </si>
  <si>
    <t>Pimpinan organisasi menjalin hubungan kerja yang baik (kemitraan) dengan instansi lain terkait dengan upaya pencapaian tujuan organisasi.</t>
  </si>
  <si>
    <t>Dalam rangka menciptakan hubungan kerja yang baik, instansi Pemerintah telah mengidentifikasi, menilai, dan mengelola risiko (termasuk implikasi dari transfer risiko) terkait kemitraan</t>
  </si>
  <si>
    <t>KEMITRAAN</t>
  </si>
  <si>
    <t>2.1</t>
  </si>
  <si>
    <t>Identifikasi Risiko</t>
  </si>
  <si>
    <t>Pemerintah Daerah telah memiliki Kebijakan Manajemen Risiko.</t>
  </si>
  <si>
    <t>KEBIJAKAN</t>
  </si>
  <si>
    <t xml:space="preserve">Risiko telah teridentifikasi dan  dituangkan dalam register risiko
</t>
  </si>
  <si>
    <t>PROSES</t>
  </si>
  <si>
    <t>Proses manajemen risiko telah melekat pada proses bisnis Instansi Pemerintah</t>
  </si>
  <si>
    <t>2.2</t>
  </si>
  <si>
    <t>Analisis Risiko</t>
  </si>
  <si>
    <t>Seluruh risiko telah dianalisis dampak dan tingkat keterjadiannya</t>
  </si>
  <si>
    <t>Instansi pemerintah telah menentukan prioritas risiko</t>
  </si>
  <si>
    <t xml:space="preserve">Instansi Pemerintah telah menentukan rencana tindak pengendalian
</t>
  </si>
  <si>
    <t>Tindak pengendalian telah diimplementasikan</t>
  </si>
  <si>
    <t>Tindak pengendalian efektif menurunkan risiko</t>
  </si>
  <si>
    <t>Analisis dan asesmen risiko telah dilakukan  dan menghasilkan rancangan tindak pengendalian untuk memitigasi risiko korupsi yang sudah terpetakan</t>
  </si>
  <si>
    <t>3.1</t>
  </si>
  <si>
    <t>Reviu atas Kinerja</t>
  </si>
  <si>
    <t>Pimpinan organisasi membandingkan tolok ukur kinerja dengan capaian kinerja secara berkala untuk mengatasi hambatan kinerja, menetapkan strategi perbaikan, dan menilai kinerja suatu unit sampai dengan periode tertentu dalam rangka mengawal pencapaian tujuan organisasi.</t>
  </si>
  <si>
    <t>3.2</t>
  </si>
  <si>
    <t>Pembinaan SDM</t>
  </si>
  <si>
    <t>Pembinaan SDM dilakukan sehingga setiap pegawai dapat memberikan manfaat optimal dalam pencapaian tujuan organisasi</t>
  </si>
  <si>
    <t>3.3</t>
  </si>
  <si>
    <t>Pengendalian atas Pengelolaan Sistem Informasi</t>
  </si>
  <si>
    <t>Pengendalian atas pengelolaan sistem informasi dilakukan untuk memastikan sistem informasi dapat menyajikan data yang akurat dan tepat waktu untuk digunakan oleh pengguna.</t>
  </si>
  <si>
    <t>3.4</t>
  </si>
  <si>
    <t>Pengendalian Fisik atas Aset</t>
  </si>
  <si>
    <t>Pengelolaan BMN/D dilakukan untuk menjamin aset tersedia dan dapat digunakan dengan baik oleh pengguna dalam rangka mendukung kinerja organisasi.</t>
  </si>
  <si>
    <t>3.5</t>
  </si>
  <si>
    <t>Penetapan dan Reviu atas Indikator dan Ukuran Kinerja</t>
  </si>
  <si>
    <t>Kegiatan pengendalian atas penetapan dan reviu atas indikator dan ukuran kinerja dilakukan untuk menjamin keandalan ukuran dan ketepatan penetapan indikator masing-masing unit secara berjenjang dibandingkan dengan IKU organisasi.</t>
  </si>
  <si>
    <t>3.6</t>
  </si>
  <si>
    <t>Pemisahan Fungsi</t>
  </si>
  <si>
    <t>Terdapat pemisahan fungsi sehingga seluruh aspek utama transaksi dan kejadian tidak dikendalikan hanya oleh satu orang</t>
  </si>
  <si>
    <t>3.7</t>
  </si>
  <si>
    <t>Otorisasi atas Transaksi dan Kejadian yang Penting</t>
  </si>
  <si>
    <t>Terdapat proses untuk memastikan transaksi dan kejadian penting hanya dapat diotorisasi ketika memenuhi persyaratan dan dilakukan oleh pihak yang memiliki kewenangan</t>
  </si>
  <si>
    <t>3.8</t>
  </si>
  <si>
    <t>Pencatatan yang Akurat dan Tepat Waktu atas Transaksi dan Kejadian</t>
  </si>
  <si>
    <t>Terdapat proses untuk memastikan transaksi telah diklasifikasikan dengan layak dan dikelompokkan dengan benar serta dicatat dengan segera sehingga relevan, bernilai, dan berguna bagi manajemen</t>
  </si>
  <si>
    <t>3.9</t>
  </si>
  <si>
    <t>Pembatasan Akses atas Sumber Daya dan Pencatatannya</t>
  </si>
  <si>
    <t>Terdapat pembatasan atas kesempatan dan hak untuk menggunakan, atau memperoleh sumber daya dan mengakses pencatatannya</t>
  </si>
  <si>
    <t>3.10</t>
  </si>
  <si>
    <t>Akuntabilitas terhadap Sumber Daya dan Pencatatannya</t>
  </si>
  <si>
    <t>Terdapat pertanggungjawaban seseorang atau unit organisasi dalam mengelola sumber daya yang diberikan/dikuasakan kepadanya dalam rangka pencapaian tujuan organisasi</t>
  </si>
  <si>
    <t>3.11</t>
  </si>
  <si>
    <t>Dokumentasi yang Baik atas SPI serta Transaksi dan Kejadian Penting</t>
  </si>
  <si>
    <t>Terdapat pengelolaan, pemeliharaan, dan pendokumentasian secara berkala yang mencakup seluruh SPI serta transaksi dan kejadian penting yang dilaksanakan secara lengkap dan akurat untuk memfasilitasi penelusuran transaksi, kejadian, dan informasi terkait</t>
  </si>
  <si>
    <t>4.1</t>
  </si>
  <si>
    <t>Informasi yang Relevan</t>
  </si>
  <si>
    <t>Tersedianya informasi yang relevan untuk kebutuhan internal dan eksternal.</t>
  </si>
  <si>
    <t>Pimpinan Instansi Pemerintah membangun sistem pengaduan</t>
  </si>
  <si>
    <t>Strategi dan kebijakan manajemen risiko telah dikomunikasikan.</t>
  </si>
  <si>
    <t>Register risiko dan rencana tindak pengendalian telah dikomunikasikan ke pihak terkait</t>
  </si>
  <si>
    <t>Saluran pelaporan internal dikelola secara kredibel dalam menerima pelaporan dan memberikan perlindungan kepada pelapor sehingga kepedulian meningkat dan memberikan efek penggentar yang efektif.</t>
  </si>
  <si>
    <t>4.2</t>
  </si>
  <si>
    <t>Komunikasi yang Efektif</t>
  </si>
  <si>
    <t>Terlaksananya komunikasi yang efektif dengan internal dan eksternal</t>
  </si>
  <si>
    <t>5.1</t>
  </si>
  <si>
    <t>Pemantauan Berkelanjutan</t>
  </si>
  <si>
    <t>Pimpinan organisasi/penanggungjawab program dan kegiatan/penanggungjawab operasional mengevaluasi secara berkala pengendalian intern yang telah dilakukan dalam rangka mencapai tujuan organisasi.</t>
  </si>
  <si>
    <t xml:space="preserve">Proses manajemen risiko telah direviu </t>
  </si>
  <si>
    <t xml:space="preserve">Pemantauan/monitoring terhadap risiko telah dilakukan </t>
  </si>
  <si>
    <t>5.2</t>
  </si>
  <si>
    <t>Evaluasi Terpisah</t>
  </si>
  <si>
    <t>Evaluasi terpisah dilakukan oleh pegawai dengan keahlian tertentu yang disyaratkan dan dapat melibatkan APIP atau auditor eksternal untuk menilai kinerja sistem pengendalian intern, mengidentifikasi kelemahan pengendalian, menentukan penyebab dari kegagalan aktivitas pengendalian, serta pengaruhnya terhadap pencapaian tujuan instansi.</t>
  </si>
  <si>
    <t>Terdapat reviu independen terhadap proses manajemen risiko</t>
  </si>
  <si>
    <t>PENJAMINAN KUALITAS HASIL PENILAIAN MANDIRI
MATURITAS PENYELENGGARAAN SPIP TERINTEGRASI
PEMERINTAH DAERAH …
Periode Penilaian sampai dengan 30 Juni 20XX</t>
  </si>
  <si>
    <t>KERTAS KERJA PENILAIAN PENETAPAN TUJUAN
KK LEAD I - PENETAPAN TUJUAN</t>
  </si>
  <si>
    <t>A. Kualitas Sasaran Strategis (KK 1)</t>
  </si>
  <si>
    <t>Uraian</t>
  </si>
  <si>
    <t>KK</t>
  </si>
  <si>
    <t>Kolom</t>
  </si>
  <si>
    <t>Bobot</t>
  </si>
  <si>
    <t>Skor</t>
  </si>
  <si>
    <t>Skor Akhir</t>
  </si>
  <si>
    <t>1</t>
  </si>
  <si>
    <t xml:space="preserve">Sasaran Strategis </t>
  </si>
  <si>
    <t>a</t>
  </si>
  <si>
    <t>Sasaran strategis berorientasi hasil</t>
  </si>
  <si>
    <t>K</t>
  </si>
  <si>
    <t>b</t>
  </si>
  <si>
    <t>Sasaran strategis relevan menggambarkan mandat</t>
  </si>
  <si>
    <t>L</t>
  </si>
  <si>
    <t>c</t>
  </si>
  <si>
    <t>Indikator kinerja tepat</t>
  </si>
  <si>
    <t>M</t>
  </si>
  <si>
    <t>d</t>
  </si>
  <si>
    <t>Indikator kinerja cukup untuk mengukur sasaran</t>
  </si>
  <si>
    <t>N</t>
  </si>
  <si>
    <t>e</t>
  </si>
  <si>
    <t>Target kinerja tepat</t>
  </si>
  <si>
    <t>O</t>
  </si>
  <si>
    <t>2</t>
  </si>
  <si>
    <t>Sasaran Program</t>
  </si>
  <si>
    <t>Sasaran Program berorientasi hasil</t>
  </si>
  <si>
    <t>Sasaran program relevan dengan sasaran strategis dan menggambarkan tugas dan fungsi</t>
  </si>
  <si>
    <t>P</t>
  </si>
  <si>
    <t>Q</t>
  </si>
  <si>
    <t>R</t>
  </si>
  <si>
    <t>S</t>
  </si>
  <si>
    <t>Level</t>
  </si>
  <si>
    <t>B. Kualitas Strategi Pencapaian Sasaran Strategis (KK 2)</t>
  </si>
  <si>
    <t>Kualitas Sasaran Kegiatan</t>
  </si>
  <si>
    <t>Sasaran kegiatan berorientasi hasil</t>
  </si>
  <si>
    <t>Sasaran kegiatan relevan dengan sasaran program dan menggambarkan tugas dan fungsi</t>
  </si>
  <si>
    <t>T</t>
  </si>
  <si>
    <t>U</t>
  </si>
  <si>
    <t>V</t>
  </si>
  <si>
    <t>W</t>
  </si>
  <si>
    <t>Kualitas Rincian Output</t>
  </si>
  <si>
    <t>Rincian Output relevan dengan sasaran kegiatan</t>
  </si>
  <si>
    <t>X</t>
  </si>
  <si>
    <t>Gradasi Level</t>
  </si>
  <si>
    <t>sampai dengan 60%</t>
  </si>
  <si>
    <t>lebih besar dari 60% s.d. 70%</t>
  </si>
  <si>
    <t>lebih besar dari 70% s.d. 80%</t>
  </si>
  <si>
    <t>lebih besar dari 80% s.d. 90%</t>
  </si>
  <si>
    <t>lebih besar dari 90%</t>
  </si>
  <si>
    <t>PENJAMINAN KUALITAS HASIL PENILAIAN MANDIRI MATURITAS PENYELENGGARAAN SPIP TERINTEGRASI
KEMENTERIAN KOMUNIKASI DAN INFORMATIKA
Periode Penilaian sampai dengan 30 Juni 2025</t>
  </si>
  <si>
    <t>KK 1.1 - PENILAIAN PENETAPAN TUJUAN - SASARAN STRATEGIS KEMENTERIAN/LEMBAGA</t>
  </si>
  <si>
    <t>NO</t>
  </si>
  <si>
    <t>URAIAN SASARAN STRATEGIS</t>
  </si>
  <si>
    <t>URAIAN INDIKATOR KINERJA SASARAN</t>
  </si>
  <si>
    <t>TARGET KINERJA</t>
  </si>
  <si>
    <t>SASARAN STRATEGIS</t>
  </si>
  <si>
    <t>PENJAMINAN KUALITAS</t>
  </si>
  <si>
    <t>SASTRA BERORIENTASI HASIL</t>
  </si>
  <si>
    <t>SASTRA RELEVAN DAN MENGGAMBARKAN MANDAT</t>
  </si>
  <si>
    <t>INDIKATOR KINERJA TEPAT</t>
  </si>
  <si>
    <t>UJI KECUKUPAN INDIKATOR</t>
  </si>
  <si>
    <t>TARGET KINERJA TEPAT</t>
  </si>
  <si>
    <t>KETERANGAN</t>
  </si>
  <si>
    <t>Mempercepat Penyediaan Konektivitas Broadband Inklusif, Berkualitas, dan Terjangkau</t>
  </si>
  <si>
    <t>Skor Indeks Transformasi Digital Nasional Pilar Jaringan dan Infrastruktur</t>
  </si>
  <si>
    <t>56,08 Nilai</t>
  </si>
  <si>
    <t>Y</t>
  </si>
  <si>
    <t>Persentase (%) kecamatan yang terjangkau infrastruktur jaringan serat optik
broadband (Kumulatif) merupakan indikator bersifat outcome. Output dari IKSS ini
diantaranya Penyediaan Fiber Optik pada Daerah (Kecamatan) di Kawasan
Prioritas</t>
  </si>
  <si>
    <t>Mempercepat Penyediaan Sistem dan Jaringan Komunikasi untuk Layanan Khusus Secara Nasional</t>
  </si>
  <si>
    <t>Persentase Kab/Kota yang memanfaatkan sistem penyampaian informasi kebencanaan dan kegawatdaruratan</t>
  </si>
  <si>
    <t>33 Persen</t>
  </si>
  <si>
    <t>Akan diperbaiki dalam Renstra Kominfo periode berikutnya 2025-2029, mengingat
Renstra tahun berjalan hanya dapat diperbaiki jika terdapat beberapa kondisi
seperti kebijakan pemerintah (paling rendah dituangkan dalam Perpres), perubahan
SOTK yang dituangkan dalam Perpres dan Kebijakan Nasional Perencanaan dan
Penganggaran (RSPP)</t>
  </si>
  <si>
    <t>Meningkatnya Pertumbuhan Ekonomi dari Pengembangan Ekosistem Digital Nasional</t>
  </si>
  <si>
    <t>Indeks TDN Pilar Bisnis</t>
  </si>
  <si>
    <t>40,38 Nilai</t>
  </si>
  <si>
    <t>Persentase (%) rumah tangga terlayani jaringan internet akses fixed broadband
terhadap total rumah Tangga (Kumulatif) merupakan indiaktor bersifat outcome.
Output dari IKSS ini diantaranya</t>
  </si>
  <si>
    <t xml:space="preserve">Indikator belum menunjukan efek keberlanjutan , masih menujukan impact jangan pendek  </t>
  </si>
  <si>
    <t>Mengakselerasi Kualitas dan Produktivitas Masyarakat Digital</t>
  </si>
  <si>
    <t>Indeks Masyarakat Digital Indonesia (IMDI)</t>
  </si>
  <si>
    <t>45,23 Nilai</t>
  </si>
  <si>
    <t>Indikator ini terdapat dalam RPJMN Tahun 2020-2024. IKSS pada Renstra
mengacu pada RPJMN sehingga untuk perbaikan indikator perlu dilakukan
koordinasi dengan Bappenas untuk periode RPJMN berikutnya, mengingat tahun
Tahun 2024 merupakan akhir periode dari RPJMN Tahun 2020-2024.</t>
  </si>
  <si>
    <t>Mempercepat pemanfaatan teknologi untuk pemerintahan digital yang terpadu dan citizen centric</t>
  </si>
  <si>
    <t>Indeks Transformasi Digital Nasional Pilar Pemerintah</t>
  </si>
  <si>
    <t>54,05 Nilai</t>
  </si>
  <si>
    <t>Memenuhi Kriteria</t>
  </si>
  <si>
    <t>Menciptakan ruang digital yang aman dan berdaulat</t>
  </si>
  <si>
    <t>Indeks Ruang Digital Kondusif</t>
  </si>
  <si>
    <t>3 Nilai</t>
  </si>
  <si>
    <t>Meningkatnya kualitas pengelolaan layanan publik Kemenkomdigi</t>
  </si>
  <si>
    <t>Indeks Kepuasan masyarakat terhadap layanan publik Kemenkomdigi</t>
  </si>
  <si>
    <t>&gt;3.5 Nilai</t>
  </si>
  <si>
    <t>Persentase (%) jangkauan populasi penyiaran digital (Kumulatif) merupakan
indikator bersifat outcome. Output dari IKSS ini diantaranya penyediaan Set Top
Box (STB), pembangunan menara Transmitter, revitalisasi perangkat penyiaran
digital LPP TVRI, Penyiapan Regulasi dll.</t>
  </si>
  <si>
    <t>Meningkatnya efektivitas penyelenggaraan informasi dan komunikasi publik</t>
  </si>
  <si>
    <t>Indeks Komunikasi Pembangunan dan Informasi Publik (KPIP)</t>
  </si>
  <si>
    <t>71 Nilai</t>
  </si>
  <si>
    <t>Persentase (%) cakupan layanan pos (Kumulatif) merupakan indiaktor bersifat
outcome, Output dari IKSS ini diantaranya penyusunan Kebijakan Pemberian
Subsidi Operasional Pada Layanan Pos Universal</t>
  </si>
  <si>
    <t>Mewujudkan Transformasi Internal Manajemen adaptif dan resilien</t>
  </si>
  <si>
    <t>Indeks Reformasi Birokrasi Kemenkomdigi</t>
  </si>
  <si>
    <t>87 Nilai</t>
  </si>
  <si>
    <t>Indeks Pembangunan TIK (IPTIK) Nasional</t>
  </si>
  <si>
    <t>6,10 Nilai</t>
  </si>
  <si>
    <t>Indikator kinerja baru mengukur pemanfaatan spektrum frekuensi radio, tetapi tidak mengukur aspek kualitas pengelolaan layanan publik. Untuk sepenuhnya selaras dengan sasaran strategis, perlu ada indikator tambahan yang mengukur peningkatan kualitas layanan publik di bidang pos, telekomunikasi, dan informatika</t>
  </si>
  <si>
    <t>Kontribusi Komdigi pada Nilai Ekonomi Digital</t>
  </si>
  <si>
    <t>137.888.51
 Rp</t>
  </si>
  <si>
    <t>Indikator ini terdapat dalam RPJMN Tahun 2020-2024. IKSS pada Renstra mengacu pada RPJMN sehingga untuk perbaikan indikator perlu dilakukan koordinasi dengan Bappenas untuk periode RPJMN berikutnya, mengingat tahun 2024 merupakan akhir periode dari RPJMN Tahun 2020-2024.</t>
  </si>
  <si>
    <t>Indeks TDN pilar Masyarakat</t>
  </si>
  <si>
    <t>52,08 Nilai</t>
  </si>
  <si>
    <t>Indikator ini terdapat dalam RPJMN Tahun 2020-2024 tagging PN 7 (Memperkuat Stabilitas Polhankam dan Transformasi pelayanan Publik). Seharusnya indikator ini masuk ke dalam PN 3 (Meningkatkan Sumber Daya Manusia Berkualitas dan Berdaya Saing) terkait Peningkatan Sumber Daya Manusia dan Daya Saing. Untuk perbaikan tagging indikator perlu dilakukan koordinasi dengan Bappenas untuk periode RPJMN berikutnya, mengingat tahun 2024 merupakan akhir periode dari RPJMN Tahun 2020-2024.</t>
  </si>
  <si>
    <t xml:space="preserve">Indikator kinerja masih bersifat umum </t>
  </si>
  <si>
    <t>Indeks Opini Badan Pemeriksaan Keuangan (BPK) atas Laporan Keuangan</t>
  </si>
  <si>
    <t>WTP Nilai</t>
  </si>
  <si>
    <t xml:space="preserve">indikator kinerja masih belum menggambarkan transformasi bersifat internal karena aspek resiliensi cakupannya bukan hanya laporan keuangan akan tetapi cakupannya sangat luas seperti Tata Kelola, SDM, Teknologi dan infrastruktur digital dsb </t>
  </si>
  <si>
    <t>Peningkatan kota/kab yang memiliki internet broadband berkecepatan giga (min. 1 Gbps)</t>
  </si>
  <si>
    <t>TBD Nilai</t>
  </si>
  <si>
    <t>Target Kinerja masih dalam tahap diskusi dengan Ditjen Terkait</t>
  </si>
  <si>
    <t>Kontribusi sektor informasi dan komunikasi terhadap PDB</t>
  </si>
  <si>
    <t>4,3 Persen</t>
  </si>
  <si>
    <t>Peningkatan Tenaga Kerja Sektor TIK (kumulatif) (%)</t>
  </si>
  <si>
    <t>1310
 Persen</t>
  </si>
  <si>
    <t>Target direvisi menjadi sebesar 3,2%</t>
  </si>
  <si>
    <t>Tingkat Dampak Kerja Sama Internasional terhadap Kolaborasi Pemangku Kebijakan Digital</t>
  </si>
  <si>
    <t>4 Nilai</t>
  </si>
  <si>
    <t>Tingkat ASN yang memiliki kompetensi digital</t>
  </si>
  <si>
    <t>Target masih didiskusikan dengan BPSDM</t>
  </si>
  <si>
    <t xml:space="preserve">belum menunjukan indikator yang efektif </t>
  </si>
  <si>
    <t>PENILAIAN MANDIRI MATURITAS PENYELENGGARAAN SPIP
Kementerian Komunikasi dan Digital RI Periode penilaian 01 Juli 2024 s.d 30 Juni 2025</t>
  </si>
  <si>
    <r>
      <rPr>
        <rFont val="Arial"/>
        <b/>
        <color theme="1"/>
        <sz val="10.0"/>
      </rPr>
      <t>KK 1.2 - PENILAIAN PENETAPAN TUJUAN - SASARAN PROGRAM KEMENTERIAN LEMBAGA</t>
    </r>
  </si>
  <si>
    <r>
      <rPr>
        <rFont val="Arial"/>
        <b/>
        <color theme="1"/>
        <sz val="10.0"/>
      </rPr>
      <t>No</t>
    </r>
  </si>
  <si>
    <r>
      <rPr>
        <rFont val="Arial"/>
        <b/>
        <color theme="1"/>
        <sz val="10.0"/>
      </rPr>
      <t>SASARAN STRATEGIS</t>
    </r>
  </si>
  <si>
    <r>
      <rPr>
        <rFont val="Arial"/>
        <b/>
        <color theme="1"/>
        <sz val="10.0"/>
      </rPr>
      <t>KUALITAS SASARAN PROGRAM</t>
    </r>
  </si>
  <si>
    <r>
      <rPr>
        <rFont val="Arial"/>
        <b/>
        <color theme="1"/>
        <sz val="10.0"/>
      </rPr>
      <t>Keterangan</t>
    </r>
  </si>
  <si>
    <r>
      <rPr>
        <rFont val="Arial"/>
        <b/>
        <color theme="1"/>
        <sz val="10.0"/>
      </rPr>
      <t>URAIAN SASARAN STRATEGIS</t>
    </r>
  </si>
  <si>
    <r>
      <rPr>
        <rFont val="Arial"/>
        <b/>
        <color theme="1"/>
        <sz val="10.0"/>
      </rPr>
      <t>SASTRA RELEVAN DAN MENGGAMBARKAN MANDAT</t>
    </r>
  </si>
  <si>
    <r>
      <rPr>
        <rFont val="Arial"/>
        <b/>
        <color theme="1"/>
        <sz val="10.0"/>
      </rPr>
      <t>NAMA PROGRAM</t>
    </r>
  </si>
  <si>
    <r>
      <rPr>
        <rFont val="Arial"/>
        <b/>
        <color theme="1"/>
        <sz val="10.0"/>
      </rPr>
      <t>URAIAN SASARAN PROGRAM</t>
    </r>
  </si>
  <si>
    <r>
      <rPr>
        <rFont val="Arial"/>
        <b/>
        <color theme="1"/>
        <sz val="10.0"/>
      </rPr>
      <t>INDIKATOR KINERJA SASARAN</t>
    </r>
  </si>
  <si>
    <r>
      <rPr>
        <rFont val="Arial"/>
        <b/>
        <color theme="1"/>
        <sz val="10.0"/>
      </rPr>
      <t>TARGET KINERJA</t>
    </r>
  </si>
  <si>
    <r>
      <rPr>
        <rFont val="Arial"/>
        <b/>
        <color theme="1"/>
        <sz val="10.0"/>
      </rPr>
      <t>SASARAN PROGRAM BERORIENTASI HASIL</t>
    </r>
  </si>
  <si>
    <r>
      <rPr>
        <rFont val="Arial"/>
        <b/>
        <color theme="1"/>
        <sz val="10.0"/>
      </rPr>
      <t>SASPRO RELEVAN DENGAN SASTRA DAN MENGGAMBARKAN TUGAS DAN FUNGSI</t>
    </r>
  </si>
  <si>
    <r>
      <rPr>
        <rFont val="Arial"/>
        <b/>
        <color theme="1"/>
        <sz val="10.0"/>
      </rPr>
      <t>INDIKATOR KINERJA TEPAT</t>
    </r>
  </si>
  <si>
    <r>
      <rPr>
        <rFont val="Arial"/>
        <b/>
        <color theme="1"/>
        <sz val="10.0"/>
      </rPr>
      <t>UJI KECUKUPAN INDIKATOR</t>
    </r>
  </si>
  <si>
    <r>
      <rPr>
        <rFont val="Arial"/>
        <b/>
        <color theme="1"/>
        <sz val="10.0"/>
      </rPr>
      <t>TARGET KINERJA TEPAT</t>
    </r>
  </si>
  <si>
    <t>SASARAN OPD BERORIENTASI HASIL</t>
  </si>
  <si>
    <t>SASTRA OPD RELEVAN DAN MENGGAMBARKAN MANDAT</t>
  </si>
  <si>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</si>
  <si>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</si>
  <si>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</si>
  <si>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Meningkatnya Kualitas Internet Broadband Nasional</t>
    </r>
  </si>
  <si>
    <t>Rata-rata kecepatan internet mobile broadband di wilayah Indonesia</t>
  </si>
  <si>
    <t>45 Mbps</t>
  </si>
  <si>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</si>
  <si>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</si>
  <si>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</si>
  <si>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</si>
  <si>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</si>
  <si>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</si>
  <si>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</si>
  <si>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</si>
  <si>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</si>
  <si>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Meningkatnya Kualitas Internet Broadband Nasional</t>
    </r>
  </si>
  <si>
    <r>
      <rPr>
        <rFont val="Arial MT"/>
        <color theme="1"/>
        <sz val="10.0"/>
      </rPr>
      <t>Kecepatan Internet Jaringan Pita Lebar Tetap (Fixed Broadband)</t>
    </r>
  </si>
  <si>
    <r>
      <rPr>
        <rFont val="Arial MT"/>
        <color theme="1"/>
        <sz val="10.0"/>
      </rPr>
      <t>32 Mbps</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</si>
  <si>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</si>
  <si>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</si>
  <si>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</si>
  <si>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</si>
  <si>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</si>
  <si>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</si>
  <si>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</si>
  <si>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</si>
  <si>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</si>
  <si>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t>Meningkatnya Kualitas Internet Broadband Nasional</t>
  </si>
  <si>
    <t>Persentase (%) Penanganan Gangguan Spektrum Frekuensi Radio (SFR)</t>
  </si>
  <si>
    <r>
      <rPr>
        <rFont val="Arial MT"/>
        <color theme="1"/>
        <sz val="10.0"/>
      </rPr>
      <t>95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</si>
  <si>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</si>
  <si>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</si>
  <si>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</si>
  <si>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</si>
  <si>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</si>
  <si>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</si>
  <si>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t xml:space="preserve">belum menunjukan aspek kualitas dan kuantitas </t>
  </si>
  <si>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</si>
  <si>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</si>
  <si>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</si>
  <si>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Meningkatnya Kualitas Internet Broadband Nasional</t>
    </r>
  </si>
  <si>
    <r>
      <rPr>
        <rFont val="Arial MT"/>
        <color theme="1"/>
        <sz val="10.0"/>
      </rPr>
      <t>Persentase (%) Tingkat Kepatuhan Standar Teknis Alat dan /atau Perangkat Telekomunikasi dan Digital</t>
    </r>
  </si>
  <si>
    <r>
      <rPr>
        <rFont val="Arial MT"/>
        <color theme="1"/>
        <sz val="10.0"/>
      </rPr>
      <t>75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</si>
  <si>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</si>
  <si>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</si>
  <si>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</si>
  <si>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</si>
  <si>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</si>
  <si>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</si>
  <si>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</si>
  <si>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</si>
  <si>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</si>
  <si>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Meningkatnya Kualitas Internet Broadband Nasional</t>
    </r>
  </si>
  <si>
    <t>Persentase (%) Tersedianya Layanan Akses Internet Pita Lebar Dengan Kecepatan yang Lebih Tinggi Menggunakan Spektrum Frekuensi Radio (SFR)</t>
  </si>
  <si>
    <r>
      <rPr>
        <rFont val="Arial MT"/>
        <color theme="1"/>
        <sz val="10.0"/>
      </rPr>
      <t>100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</si>
  <si>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</si>
  <si>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</si>
  <si>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</si>
  <si>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</si>
  <si>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</si>
  <si>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</si>
  <si>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t>Indikator :
tingkat efisiensi</t>
  </si>
  <si>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</si>
  <si>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</si>
  <si>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</si>
  <si>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Meningkatnya Kualitas Internet Broadband Nasional</t>
    </r>
  </si>
  <si>
    <t>Persentase (%) Tindak Lanjut Hasil Pengawasan terhadap Kualitas Layanan dan Aduan Masyarakat</t>
  </si>
  <si>
    <r>
      <rPr>
        <rFont val="Arial MT"/>
        <color theme="1"/>
        <sz val="10.0"/>
      </rPr>
      <t>100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</si>
  <si>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</si>
  <si>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</si>
  <si>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</si>
  <si>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</si>
  <si>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</si>
  <si>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</si>
  <si>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t xml:space="preserve">Indikator :
tingkat efektivitas </t>
  </si>
  <si>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</si>
  <si>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</si>
  <si>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</si>
  <si>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Mempercepat Terwujudnya Coverage Broadband yang Merata ke Seluruh Indonesia</t>
    </r>
  </si>
  <si>
    <t>Persentase (%) Cakupan Luas Pemukiman yang Tercover Layanan Mobile Broadband</t>
  </si>
  <si>
    <r>
      <rPr>
        <rFont val="Arial MT"/>
        <color theme="1"/>
        <sz val="10.0"/>
      </rPr>
      <t xml:space="preserve">97,6
</t>
    </r>
    <r>
      <rPr>
        <rFont val="Arial MT"/>
        <color theme="1"/>
        <sz val="10.0"/>
      </rPr>
      <t>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</si>
  <si>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</si>
  <si>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</si>
  <si>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</si>
  <si>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</si>
  <si>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</si>
  <si>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Nomenklatur Sasaran Program telah direvisi menjadi "Meningkatnya Coverage Broadband yang menjangkau ke seluruh indonesia"</t>
    </r>
  </si>
  <si>
    <t xml:space="preserve">Indikator : 
harusnya berfokus ke pemerataan jangkauan terhadap layanan 
belum menunjukan aspek kebijkan yang lebih jelas </t>
  </si>
  <si>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</si>
  <si>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</si>
  <si>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</si>
  <si>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Mempercepat Terwujudnya Coverage Broadband yang Merata ke Seluruh Indonesia</t>
    </r>
  </si>
  <si>
    <t>Persentase (%) Jangkauan Jaringan Fiber Optik Kecamatan</t>
  </si>
  <si>
    <r>
      <rPr>
        <rFont val="Arial MT"/>
        <color theme="1"/>
        <sz val="10.0"/>
      </rPr>
      <t xml:space="preserve">71,5
</t>
    </r>
    <r>
      <rPr>
        <rFont val="Arial MT"/>
        <color theme="1"/>
        <sz val="10.0"/>
      </rPr>
      <t>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</si>
  <si>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</si>
  <si>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</si>
  <si>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</si>
  <si>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</si>
  <si>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</si>
  <si>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t>Nomenklatur Indikator telah direvisi menjadi "Persentase jaringan fiber optic menjangkau desa/kelurahan"</t>
  </si>
  <si>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</si>
  <si>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</si>
  <si>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</si>
  <si>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Meningkatnya Penetrasi dan Utilisasi (Take Up) Internet Broadband</t>
    </r>
  </si>
  <si>
    <r>
      <rPr>
        <rFont val="Arial MT"/>
        <color theme="1"/>
        <sz val="10.0"/>
      </rPr>
      <t>Persentase (%) Peningkatan Jumlah Pelanggan Jaringan Tetap Pita Lebar Nasional</t>
    </r>
  </si>
  <si>
    <r>
      <rPr>
        <rFont val="Arial MT"/>
        <color theme="1"/>
        <sz val="10.0"/>
      </rPr>
      <t xml:space="preserve">2,43
</t>
    </r>
    <r>
      <rPr>
        <rFont val="Arial MT"/>
        <color theme="1"/>
        <sz val="10.0"/>
      </rPr>
      <t>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</si>
  <si>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</si>
  <si>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</si>
  <si>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</si>
  <si>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</si>
  <si>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</si>
  <si>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telah diubah menjadi "Persentase (%) Tersedianya Akses Internet di Sektor Publik"</t>
    </r>
  </si>
  <si>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</si>
  <si>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</si>
  <si>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</si>
  <si>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t>Mewujudkan Industri Telekomunikasi dan Data Center yang berkelanjutan</t>
  </si>
  <si>
    <t>Rasio Biaya Hak Penggunaan (BHP) Spektrum Frekuensi Radio (SFR) terhadap Gross Revenue Industri dalam Rangka Keberlanjutan Industri Telekomunikasi</t>
  </si>
  <si>
    <r>
      <rPr>
        <rFont val="Arial MT"/>
        <color theme="1"/>
        <sz val="10.0"/>
      </rPr>
      <t>9,7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</si>
  <si>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</si>
  <si>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</si>
  <si>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</si>
  <si>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</si>
  <si>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</si>
  <si>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</si>
  <si>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</si>
  <si>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</si>
  <si>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</si>
  <si>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Mewujudkan Industri Telekomunikasi dan Data Center yang berkelanjutan</t>
    </r>
  </si>
  <si>
    <t>Kapasitas Data Center per kapita (Watt per kapita)</t>
  </si>
  <si>
    <r>
      <rPr>
        <rFont val="Arial MT"/>
        <color theme="1"/>
        <sz val="10.0"/>
      </rPr>
      <t>0,85 Watt Per Kapita</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</si>
  <si>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</si>
  <si>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</si>
  <si>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</si>
  <si>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</si>
  <si>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</si>
  <si>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Terdapat perubahan target menjadi "1,47 Watt per kapita"</t>
    </r>
  </si>
  <si>
    <t>ditambahkan tingkat ketersedian agar dapat terlihat kuantitasnya</t>
  </si>
  <si>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</si>
  <si>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</si>
  <si>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</si>
  <si>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Meningkatnya Pengembangan Industri Perangkat Digital yang Aman</t>
    </r>
  </si>
  <si>
    <t>Persentase (%) Pengembangan Industri Perangkat Digital Dalam Negeri</t>
  </si>
  <si>
    <r>
      <rPr>
        <rFont val="Arial MT"/>
        <color theme="1"/>
        <sz val="10.0"/>
      </rPr>
      <t>20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</si>
  <si>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</si>
  <si>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</si>
  <si>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</si>
  <si>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</si>
  <si>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</si>
  <si>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Nomenklatur Indikator mengalami perubahan menjadi "Nilai ekspor jasa telekomunikasi, komputer, dan informasi "</t>
    </r>
  </si>
  <si>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</si>
  <si>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</si>
  <si>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</si>
  <si>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Meningkatnya cakupan dan kualitas layanan broadband di wilayah non komersial</t>
    </r>
  </si>
  <si>
    <r>
      <rPr>
        <rFont val="Arial MT"/>
        <color theme="1"/>
        <sz val="10.0"/>
      </rPr>
      <t>Jumlah Desa di Wilayah 3T Yang Mendapatkan Akses Seluler 4G (Kumulatif)</t>
    </r>
  </si>
  <si>
    <r>
      <rPr>
        <rFont val="Arial MT"/>
        <color theme="1"/>
        <sz val="10.0"/>
      </rPr>
      <t xml:space="preserve">1.044
</t>
    </r>
    <r>
      <rPr>
        <rFont val="Arial MT"/>
        <color theme="1"/>
        <sz val="10.0"/>
      </rPr>
      <t>Lokasi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</si>
  <si>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</si>
  <si>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</si>
  <si>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</si>
  <si>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</si>
  <si>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</si>
  <si>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Pada Rancangan Renstra 2025-2029, sasaran program &amp; indikator program dari BAKTI bergabung bersama Ditjen Infrastruktur Digital</t>
    </r>
  </si>
  <si>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</si>
  <si>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</si>
  <si>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</si>
  <si>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Meningkatnya cakupan dan kualitas layanan broadband di wilayah non komersial</t>
    </r>
  </si>
  <si>
    <r>
      <rPr>
        <rFont val="Arial MT"/>
        <color theme="1"/>
        <sz val="10.0"/>
      </rPr>
      <t>Jumlah Lokasi Penyediaan Akses Internet di Wilayah Tertinggal, Terdepan, Terluar, Kawasan Prioritas, dan Lokasi Layanan Publik (Kumulatif)</t>
    </r>
  </si>
  <si>
    <r>
      <rPr>
        <rFont val="Arial MT"/>
        <color theme="1"/>
        <sz val="10.0"/>
      </rPr>
      <t xml:space="preserve">27.869
</t>
    </r>
    <r>
      <rPr>
        <rFont val="Arial MT"/>
        <color theme="1"/>
        <sz val="10.0"/>
      </rPr>
      <t>Lokasi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</si>
  <si>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</si>
  <si>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</si>
  <si>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</si>
  <si>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</si>
  <si>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</si>
  <si>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Pada Rancangan Renstra 2025-2029, sasaran program &amp; indikator program dari BAKTI bergabung bersama Ditjen Infrastruktur Digital</t>
    </r>
  </si>
  <si>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</si>
  <si>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</si>
  <si>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</si>
  <si>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Meningkatnya cakupan dan kualitas layanan broadband di wilayah non komersial</t>
    </r>
  </si>
  <si>
    <r>
      <rPr>
        <rFont val="Arial MT"/>
        <color theme="1"/>
        <sz val="10.0"/>
      </rPr>
      <t>Persentase (%) Pemanfaatan Kapasitas Palapa Ring Barat 70%, Palapa Ring Tengah 45%, Palapa Ring Timur 45%, dengan Service Level Agreement (SLA) Minimal 95%</t>
    </r>
  </si>
  <si>
    <r>
      <rPr>
        <rFont val="Arial MT"/>
        <color theme="1"/>
        <sz val="10.0"/>
      </rPr>
      <t>53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</si>
  <si>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</si>
  <si>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</si>
  <si>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</si>
  <si>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</si>
  <si>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</si>
  <si>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Pada Rancangan Renstra 2025-2029, sasaran program &amp; indikator program dari BAKTI bergabung bersama Ditjen Infrastruktur Digital</t>
    </r>
  </si>
  <si>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</si>
  <si>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</si>
  <si>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</si>
  <si>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Meningkatnya cakupan dan kualitas layanan broadband di wilayah non komersial</t>
    </r>
  </si>
  <si>
    <r>
      <rPr>
        <rFont val="Arial MT"/>
        <color theme="1"/>
        <sz val="10.0"/>
      </rPr>
      <t>Jumlah Kapasitas Penyediaan Satelit Multifungsi (SATRIA-1) (Kumulatif)</t>
    </r>
  </si>
  <si>
    <r>
      <rPr>
        <rFont val="Arial MT"/>
        <color theme="1"/>
        <sz val="10.0"/>
      </rPr>
      <t>150 Gbps</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</si>
  <si>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</si>
  <si>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</si>
  <si>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</si>
  <si>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</si>
  <si>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</si>
  <si>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Pada Rancangan Renstra 2025-2029, sasaran program &amp; indikator program dari BAKTI bergabung bersama Ditjen Infrastruktur Digital</t>
    </r>
  </si>
  <si>
    <r>
      <rPr>
        <rFont val="Arial MT"/>
        <color theme="1"/>
        <sz val="10.0"/>
      </rPr>
      <t>Mempercepat Penyediaan Konektivitas Broadband Inklusif, Berkualitas, dan Terjangkau</t>
    </r>
  </si>
  <si>
    <r>
      <rPr>
        <rFont val="Arial MT"/>
        <color theme="1"/>
        <sz val="10.0"/>
      </rPr>
      <t>Y</t>
    </r>
  </si>
  <si>
    <r>
      <rPr>
        <rFont val="Arial MT"/>
        <color theme="1"/>
        <sz val="10.0"/>
      </rPr>
      <t>Program Pengembangan dan Penguatan Infrastruktur Digital</t>
    </r>
  </si>
  <si>
    <r>
      <rPr>
        <rFont val="Arial MT"/>
        <color theme="1"/>
        <sz val="10.0"/>
      </rPr>
      <t>Meningkatnya cakupan dan kualitas layanan broadband di wilayah non komersial</t>
    </r>
  </si>
  <si>
    <r>
      <rPr>
        <rFont val="Arial MT"/>
        <color theme="1"/>
        <sz val="10.0"/>
      </rPr>
      <t>Jumlah Solusi Ekosistem Dalam Rangka Peningkatan Produktivitas masyarakat melalui Pemanfaatan Infrastruktur Dan Penguatan Ekosistem di WPUTI (Kumulatif)</t>
    </r>
  </si>
  <si>
    <r>
      <rPr>
        <rFont val="Arial MT"/>
        <color theme="1"/>
        <sz val="10.0"/>
      </rPr>
      <t xml:space="preserve">15
</t>
    </r>
    <r>
      <rPr>
        <rFont val="Arial MT"/>
        <color theme="1"/>
        <sz val="10.0"/>
      </rPr>
      <t>Kelompok Masyarakat</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</si>
  <si>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</si>
  <si>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</si>
  <si>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</si>
  <si>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</si>
  <si>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</si>
  <si>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Pada Rancangan Renstra 2025-2029, sasaran program &amp; indikator program dari BAKTI bergabung bersama Ditjen Infrastruktur Digital</t>
    </r>
  </si>
  <si>
    <r>
      <rPr>
        <rFont val="Arial MT"/>
        <color theme="1"/>
        <sz val="10.0"/>
      </rPr>
      <t>Mempercepat Penyediaan Sistem dan Jaringan Komunikasi untuk Layanan Khusus Secara Nasional</t>
    </r>
  </si>
  <si>
    <r>
      <rPr>
        <rFont val="Arial MT"/>
        <color theme="1"/>
        <sz val="10.0"/>
      </rPr>
      <t>Y</t>
    </r>
  </si>
  <si>
    <r>
      <rPr>
        <rFont val="Arial MT"/>
        <color theme="1"/>
        <sz val="10.0"/>
      </rPr>
      <t>Program Pengembangan dan Penguatan Infrastruktur Digital</t>
    </r>
  </si>
  <si>
    <r>
      <rPr>
        <rFont val="Arial MT"/>
        <color theme="1"/>
        <sz val="10.0"/>
      </rPr>
      <t>Meningkatnya Akselerasi Penyediaan Infrastruktur dan Sumber Daya untuk Layanan Khusus</t>
    </r>
  </si>
  <si>
    <r>
      <rPr>
        <rFont val="Arial MT"/>
        <color theme="1"/>
        <sz val="10.0"/>
      </rPr>
      <t>Persentase (%) Kabupaten/Kota yang Terfasilitasi Layanan Infrastruktur Telekomunikasi untuk Keperluan Perlindungan Masyarakat dan Penanggulangan Bencana</t>
    </r>
  </si>
  <si>
    <r>
      <rPr>
        <rFont val="Arial MT"/>
        <color theme="1"/>
        <sz val="10.0"/>
      </rPr>
      <t xml:space="preserve">33,2
</t>
    </r>
    <r>
      <rPr>
        <rFont val="Arial MT"/>
        <color theme="1"/>
        <sz val="10.0"/>
      </rPr>
      <t>Persen (kumulatif)</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</si>
  <si>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</si>
  <si>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</si>
  <si>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</si>
  <si>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</si>
  <si>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</si>
  <si>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Sasaran Program telah berubah menjadi " Presentase Kab/Kota yang sudah terintegrasi Sistem Informasi dan Infrastruktur Jaringan Komunikasi Layanan Khusus Publik" dan target telah direvisi menjadi "35%"</t>
    </r>
  </si>
  <si>
    <r>
      <rPr>
        <rFont val="Arial MT"/>
        <color theme="1"/>
        <sz val="10.0"/>
      </rPr>
      <t>Meningkatnya Pertumbuhan Ekonomi dari Pengembangan Ekosistem Digital Nasional</t>
    </r>
  </si>
  <si>
    <r>
      <rPr>
        <rFont val="Arial MT"/>
        <color theme="1"/>
        <sz val="10.0"/>
      </rPr>
      <t>Y</t>
    </r>
  </si>
  <si>
    <r>
      <rPr>
        <rFont val="Arial MT"/>
        <color theme="1"/>
        <sz val="10.0"/>
      </rPr>
      <t>Program Pengembangan dan Penguatan Ekosistem dan Ruang Digital</t>
    </r>
  </si>
  <si>
    <r>
      <rPr>
        <rFont val="Arial MT"/>
        <color theme="1"/>
        <sz val="10.0"/>
      </rPr>
      <t>Meningkatnya Pertumbuhan Industri Pos Logistik dan Penyiaran</t>
    </r>
  </si>
  <si>
    <r>
      <rPr>
        <rFont val="Arial MT"/>
        <color theme="1"/>
        <sz val="10.0"/>
      </rPr>
      <t>Persentase pertumbuhan sektor penyiaran</t>
    </r>
  </si>
  <si>
    <r>
      <rPr>
        <rFont val="Arial MT"/>
        <color theme="1"/>
        <sz val="10.0"/>
      </rPr>
      <t>TBD TBD</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</si>
  <si>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</si>
  <si>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</si>
  <si>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</si>
  <si>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</si>
  <si>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</si>
  <si>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</si>
  <si>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Pertumbuhan Ekonomi dari Pengembangan Ekosistem Digital Nasional</t>
    </r>
  </si>
  <si>
    <r>
      <rPr>
        <rFont val="Arial MT"/>
        <color theme="1"/>
        <sz val="10.0"/>
      </rPr>
      <t>Y</t>
    </r>
  </si>
  <si>
    <r>
      <rPr>
        <rFont val="Arial MT"/>
        <color theme="1"/>
        <sz val="10.0"/>
      </rPr>
      <t>Program Pengembangan dan Penguatan Ekosistem dan Ruang Digital</t>
    </r>
  </si>
  <si>
    <r>
      <rPr>
        <rFont val="Arial MT"/>
        <color theme="1"/>
        <sz val="10.0"/>
      </rPr>
      <t>Meningkatnya Pertumbuhan Industri Gim dan Startup Digital Nasional</t>
    </r>
  </si>
  <si>
    <r>
      <rPr>
        <rFont val="Arial MT"/>
        <color theme="1"/>
        <sz val="10.0"/>
      </rPr>
      <t>Tingkat kesuksesan startup nasional / success rate startup</t>
    </r>
  </si>
  <si>
    <r>
      <rPr>
        <rFont val="Arial MT"/>
        <color theme="1"/>
        <sz val="10.0"/>
      </rPr>
      <t>7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</si>
  <si>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</si>
  <si>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</si>
  <si>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</si>
  <si>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</si>
  <si>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</si>
  <si>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</si>
  <si>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Pertumbuhan Ekonomi dari Pengembangan Ekosistem Digital Nasional</t>
    </r>
  </si>
  <si>
    <r>
      <rPr>
        <rFont val="Arial MT"/>
        <color theme="1"/>
        <sz val="10.0"/>
      </rPr>
      <t>Y</t>
    </r>
  </si>
  <si>
    <r>
      <rPr>
        <rFont val="Arial MT"/>
        <color theme="1"/>
        <sz val="10.0"/>
      </rPr>
      <t>Program Pengembangan dan Penguatan Ekosistem dan Ruang Digital</t>
    </r>
  </si>
  <si>
    <r>
      <rPr>
        <rFont val="Arial MT"/>
        <color theme="1"/>
        <sz val="10.0"/>
      </rPr>
      <t>Meningkatnya Pertumbuhan Industri Gim dan Startup Digital Nasional</t>
    </r>
  </si>
  <si>
    <t>Kontribusi startup digital terhadap nilai ekonomi digital</t>
  </si>
  <si>
    <r>
      <rPr>
        <rFont val="Arial MT"/>
        <color theme="1"/>
        <sz val="10.0"/>
      </rPr>
      <t>TBD TBD</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</si>
  <si>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</si>
  <si>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</si>
  <si>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</si>
  <si>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</si>
  <si>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</si>
  <si>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Sasaran program berubah menjadi "Meningkatnya Penciptaan Nilai Ekonomi Digital dengan Penguatan Ekosistem Digital Nasional" dan target masih didiskusikan dengan Ditjen terkait</t>
    </r>
  </si>
  <si>
    <t>indikator belum dapat diukur</t>
  </si>
  <si>
    <r>
      <rPr>
        <rFont val="Arial MT"/>
        <color theme="1"/>
        <sz val="10.0"/>
      </rPr>
      <t>Meningkatnya Pertumbuhan Ekonomi dari Pengembangan Ekosistem Digital Nasional</t>
    </r>
  </si>
  <si>
    <r>
      <rPr>
        <rFont val="Arial MT"/>
        <color theme="1"/>
        <sz val="10.0"/>
      </rPr>
      <t>Y</t>
    </r>
  </si>
  <si>
    <r>
      <rPr>
        <rFont val="Arial MT"/>
        <color theme="1"/>
        <sz val="10.0"/>
      </rPr>
      <t>Program Pengembangan dan Penguatan Ekosistem dan Ruang Digital</t>
    </r>
  </si>
  <si>
    <r>
      <rPr>
        <rFont val="Arial MT"/>
        <color theme="1"/>
        <sz val="10.0"/>
      </rPr>
      <t>Meningkatnya Pertumbuhan Industri Gim dan Startup Digital Nasional</t>
    </r>
  </si>
  <si>
    <r>
      <rPr>
        <rFont val="Arial MT"/>
        <color theme="1"/>
        <sz val="10.0"/>
      </rPr>
      <t>Kontribusi Komdigi dalam persentase pertumbuhan gim nasional</t>
    </r>
  </si>
  <si>
    <r>
      <rPr>
        <rFont val="Arial MT"/>
        <color theme="1"/>
        <sz val="10.0"/>
      </rPr>
      <t>TBD TBD</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</si>
  <si>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</si>
  <si>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</si>
  <si>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</si>
  <si>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</si>
  <si>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</si>
  <si>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Sasaran program berubah menjadi "Meningkatnya Penciptaan Nilai Ekonomi Digital dengan Penguatan Ekosistem Digital Nasional" dan target masih didiskusikan dengan Ditjen terkait</t>
    </r>
  </si>
  <si>
    <r>
      <rPr>
        <rFont val="Arial MT"/>
        <color theme="1"/>
        <sz val="10.0"/>
      </rPr>
      <t>Meningkatnya Pertumbuhan Ekonomi dari Pengembangan Ekosistem Digital Nasional</t>
    </r>
  </si>
  <si>
    <r>
      <rPr>
        <rFont val="Arial MT"/>
        <color theme="1"/>
        <sz val="10.0"/>
      </rPr>
      <t>Y</t>
    </r>
  </si>
  <si>
    <r>
      <rPr>
        <rFont val="Arial MT"/>
        <color theme="1"/>
        <sz val="10.0"/>
      </rPr>
      <t>Program Pengembangan dan Penguatan Ekosistem dan Ruang Digital</t>
    </r>
  </si>
  <si>
    <r>
      <rPr>
        <rFont val="Arial MT"/>
        <color theme="1"/>
        <sz val="10.0"/>
      </rPr>
      <t>Meningkatnya Pertumbuhan Industri Pos Logistik dan Penyiaran</t>
    </r>
  </si>
  <si>
    <r>
      <rPr>
        <rFont val="Arial MT"/>
        <color theme="1"/>
        <sz val="10.0"/>
      </rPr>
      <t>Persentase pertumbuhan sektor pos</t>
    </r>
  </si>
  <si>
    <r>
      <rPr>
        <rFont val="Arial MT"/>
        <color theme="1"/>
        <sz val="10.0"/>
      </rPr>
      <t>9.5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</si>
  <si>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</si>
  <si>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</si>
  <si>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</si>
  <si>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</si>
  <si>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</si>
  <si>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Program berubah menjadi "Pertumbuhan Sektor Pos Logistik"</t>
    </r>
  </si>
  <si>
    <r>
      <rPr>
        <rFont val="Arial MT"/>
        <color theme="1"/>
        <sz val="10.0"/>
      </rPr>
      <t>Meningkatnya Pertumbuhan Ekonomi dari Pengembangan Ekosistem Digital Nasional</t>
    </r>
  </si>
  <si>
    <r>
      <rPr>
        <rFont val="Arial MT"/>
        <color theme="1"/>
        <sz val="10.0"/>
      </rPr>
      <t>Y</t>
    </r>
  </si>
  <si>
    <r>
      <rPr>
        <rFont val="Arial MT"/>
        <color theme="1"/>
        <sz val="10.0"/>
      </rPr>
      <t>Program Pengembangan dan Penguatan Ekosistem dan Ruang Digital</t>
    </r>
  </si>
  <si>
    <r>
      <rPr>
        <rFont val="Arial MT"/>
        <color theme="1"/>
        <sz val="10.0"/>
      </rPr>
      <t>Meningkatnya Produktivitas di Sektor-sektor Prioritas dengan Pemanfaatan Teknologi Digital</t>
    </r>
  </si>
  <si>
    <r>
      <rPr>
        <rFont val="Arial MT"/>
        <color theme="1"/>
        <sz val="10.0"/>
      </rPr>
      <t>Persentase peningkatan produktivitas pelaku usaha di sektor produktif melalui pemanfaatan teknologi digital</t>
    </r>
  </si>
  <si>
    <r>
      <rPr>
        <rFont val="Arial MT"/>
        <color theme="1"/>
        <sz val="10.0"/>
      </rPr>
      <t>10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</si>
  <si>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</si>
  <si>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</si>
  <si>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</si>
  <si>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</si>
  <si>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</si>
  <si>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berubah menjadi "Persentase tingkat pertumbuhan pelaku usaha bidang teknologi baru"</t>
    </r>
  </si>
  <si>
    <r>
      <rPr>
        <rFont val="Arial MT"/>
        <color theme="1"/>
        <sz val="10.0"/>
      </rPr>
      <t>Meningkatnya Pertumbuhan Ekonomi dari Pengembangan Ekosistem Digital Nasional</t>
    </r>
  </si>
  <si>
    <r>
      <rPr>
        <rFont val="Arial MT"/>
        <color theme="1"/>
        <sz val="10.0"/>
      </rPr>
      <t>Y</t>
    </r>
  </si>
  <si>
    <r>
      <rPr>
        <rFont val="Arial MT"/>
        <color theme="1"/>
        <sz val="10.0"/>
      </rPr>
      <t>Program Pengembangan dan Penguatan Ekosistem dan Ruang Digital</t>
    </r>
  </si>
  <si>
    <r>
      <rPr>
        <rFont val="Arial MT"/>
        <color theme="1"/>
        <sz val="10.0"/>
      </rPr>
      <t>Meningkatnya Produktivitas di Sektor-sektor Prioritas dengan Pemanfaatan Teknologi Digital</t>
    </r>
  </si>
  <si>
    <r>
      <rPr>
        <rFont val="Arial MT"/>
        <color theme="1"/>
        <sz val="10.0"/>
      </rPr>
      <t>Persentase rata-rata peningkatan produktivitas sektor pasca adopsi digital</t>
    </r>
  </si>
  <si>
    <r>
      <rPr>
        <rFont val="Arial MT"/>
        <color theme="1"/>
        <sz val="10.0"/>
      </rPr>
      <t>TBD TBD</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</si>
  <si>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</si>
  <si>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</si>
  <si>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</si>
  <si>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</si>
  <si>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</si>
  <si>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</si>
  <si>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efektivitas penyelenggaraan informasi dan komunikasi publik</t>
    </r>
  </si>
  <si>
    <r>
      <rPr>
        <rFont val="Arial MT"/>
        <color theme="1"/>
        <sz val="10.0"/>
      </rPr>
      <t>Y</t>
    </r>
  </si>
  <si>
    <r>
      <rPr>
        <rFont val="Arial MT"/>
        <color theme="1"/>
        <sz val="10.0"/>
      </rPr>
      <t>Program Komunikasi Publik dan Media</t>
    </r>
  </si>
  <si>
    <r>
      <rPr>
        <rFont val="Arial MT"/>
        <color theme="1"/>
        <sz val="10.0"/>
      </rPr>
      <t>Meningkatnya efektivitas penyelenggaraan komunikasi publik nasional</t>
    </r>
  </si>
  <si>
    <r>
      <rPr>
        <rFont val="Arial MT"/>
        <color theme="1"/>
        <sz val="10.0"/>
      </rPr>
      <t>Tingkat jangkauan komunikasi publik</t>
    </r>
  </si>
  <si>
    <r>
      <rPr>
        <rFont val="Arial MT"/>
        <color theme="1"/>
        <sz val="10.0"/>
      </rPr>
      <t>75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</si>
  <si>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</si>
  <si>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</si>
  <si>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</si>
  <si>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</si>
  <si>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</si>
  <si>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</si>
  <si>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efektivitas penyelenggaraan informasi dan komunikasi publik</t>
    </r>
  </si>
  <si>
    <r>
      <rPr>
        <rFont val="Arial MT"/>
        <color theme="1"/>
        <sz val="10.0"/>
      </rPr>
      <t>Y</t>
    </r>
  </si>
  <si>
    <r>
      <rPr>
        <rFont val="Arial MT"/>
        <color theme="1"/>
        <sz val="10.0"/>
      </rPr>
      <t>Program Komunikasi Publik dan Media</t>
    </r>
  </si>
  <si>
    <r>
      <rPr>
        <rFont val="Arial MT"/>
        <color theme="1"/>
        <sz val="10.0"/>
      </rPr>
      <t>Meningkatnya efektivitas penyelenggaraan komunikasi publik nasional</t>
    </r>
  </si>
  <si>
    <r>
      <rPr>
        <rFont val="Arial MT"/>
        <color theme="1"/>
        <sz val="10.0"/>
      </rPr>
      <t>Tingkat pemerataan aksesibilitas informasi publik pada kelompok masyarakat marginal (mencakup masyarakat di wilayah 3T, kelompok rentan, dan penyandang disabilitas)</t>
    </r>
  </si>
  <si>
    <r>
      <rPr>
        <rFont val="Arial MT"/>
        <color theme="1"/>
        <sz val="10.0"/>
      </rPr>
      <t>75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</si>
  <si>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</si>
  <si>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</si>
  <si>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</si>
  <si>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</si>
  <si>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</si>
  <si>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</si>
  <si>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efektivitas penyelenggaraan informasi dan komunikasi publik</t>
    </r>
  </si>
  <si>
    <r>
      <rPr>
        <rFont val="Arial MT"/>
        <color theme="1"/>
        <sz val="10.0"/>
      </rPr>
      <t>Y</t>
    </r>
  </si>
  <si>
    <r>
      <rPr>
        <rFont val="Arial MT"/>
        <color theme="1"/>
        <sz val="10.0"/>
      </rPr>
      <t>Program Komunikasi Publik dan Media</t>
    </r>
  </si>
  <si>
    <r>
      <rPr>
        <rFont val="Arial MT"/>
        <color theme="1"/>
        <sz val="10.0"/>
      </rPr>
      <t>Meningkatnya efektivitas penyelenggaraan komunikasi publik nasional</t>
    </r>
  </si>
  <si>
    <r>
      <rPr>
        <rFont val="Arial MT"/>
        <color theme="1"/>
        <sz val="10.0"/>
      </rPr>
      <t>Tingkat kepuasan masyarakat terhadap akses dan kualitas informasi publik</t>
    </r>
  </si>
  <si>
    <r>
      <rPr>
        <rFont val="Arial MT"/>
        <color theme="1"/>
        <sz val="10.0"/>
      </rPr>
      <t>75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</si>
  <si>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</si>
  <si>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</si>
  <si>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</si>
  <si>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</si>
  <si>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</si>
  <si>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</si>
  <si>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efektivitas penyelenggaraan informasi dan komunikasi publik</t>
    </r>
  </si>
  <si>
    <r>
      <rPr>
        <rFont val="Arial MT"/>
        <color theme="1"/>
        <sz val="10.0"/>
      </rPr>
      <t>Y</t>
    </r>
  </si>
  <si>
    <r>
      <rPr>
        <rFont val="Arial MT"/>
        <color theme="1"/>
        <sz val="10.0"/>
      </rPr>
      <t>Program Komunikasi Publik dan Media</t>
    </r>
  </si>
  <si>
    <r>
      <rPr>
        <rFont val="Arial MT"/>
        <color theme="1"/>
        <sz val="10.0"/>
      </rPr>
      <t>Meningkatnya keterbukaan informasi publik</t>
    </r>
  </si>
  <si>
    <r>
      <rPr>
        <rFont val="Arial MT"/>
        <color theme="1"/>
        <sz val="10.0"/>
      </rPr>
      <t>Tingkat kepuasan masyarakat terhadap keterbukaan informasi</t>
    </r>
  </si>
  <si>
    <r>
      <rPr>
        <rFont val="Arial MT"/>
        <color theme="1"/>
        <sz val="10.0"/>
      </rPr>
      <t>76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</si>
  <si>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</si>
  <si>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</si>
  <si>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</si>
  <si>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</si>
  <si>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</si>
  <si>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</si>
  <si>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efektivitas penyelenggaraan informasi dan komunikasi publik</t>
    </r>
  </si>
  <si>
    <r>
      <rPr>
        <rFont val="Arial MT"/>
        <color theme="1"/>
        <sz val="10.0"/>
      </rPr>
      <t>Y</t>
    </r>
  </si>
  <si>
    <r>
      <rPr>
        <rFont val="Arial MT"/>
        <color theme="1"/>
        <sz val="10.0"/>
      </rPr>
      <t>Program Komunikasi Publik dan Media</t>
    </r>
  </si>
  <si>
    <r>
      <rPr>
        <rFont val="Arial MT"/>
        <color theme="1"/>
        <sz val="10.0"/>
      </rPr>
      <t>Meningkatnya kualitas ekosistem media yang terpercaya</t>
    </r>
  </si>
  <si>
    <r>
      <rPr>
        <rFont val="Arial MT"/>
        <color theme="1"/>
        <sz val="10.0"/>
      </rPr>
      <t>Persentase (%) peningkatan kualitas pengelolaan media</t>
    </r>
  </si>
  <si>
    <r>
      <rPr>
        <rFont val="Arial MT"/>
        <color theme="1"/>
        <sz val="10.0"/>
      </rPr>
      <t>65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</si>
  <si>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</si>
  <si>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</si>
  <si>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</si>
  <si>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</si>
  <si>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</si>
  <si>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</si>
  <si>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efektivitas penyelenggaraan informasi dan komunikasi publik</t>
    </r>
  </si>
  <si>
    <r>
      <rPr>
        <rFont val="Arial MT"/>
        <color theme="1"/>
        <sz val="10.0"/>
      </rPr>
      <t>Y</t>
    </r>
  </si>
  <si>
    <r>
      <rPr>
        <rFont val="Arial MT"/>
        <color theme="1"/>
        <sz val="10.0"/>
      </rPr>
      <t>Program Komunikasi Publik dan Media</t>
    </r>
  </si>
  <si>
    <r>
      <rPr>
        <rFont val="Arial MT"/>
        <color theme="1"/>
        <sz val="10.0"/>
      </rPr>
      <t>Meningkatnya efektivitas penyelenggaraan komunikasi publik nasional</t>
    </r>
  </si>
  <si>
    <r>
      <rPr>
        <rFont val="Arial MT"/>
        <color theme="1"/>
        <sz val="10.0"/>
      </rPr>
      <t>Keberhasilan pengelolaan isu dan situasi krisis komunikasi publik</t>
    </r>
  </si>
  <si>
    <r>
      <rPr>
        <rFont val="Arial MT"/>
        <color theme="1"/>
        <sz val="10.0"/>
      </rPr>
      <t>65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</si>
  <si>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</si>
  <si>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</si>
  <si>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</si>
  <si>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</si>
  <si>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</si>
  <si>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</si>
  <si>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kualitas pengelolaan layanan publik Kemenkomdigi</t>
    </r>
  </si>
  <si>
    <r>
      <rPr>
        <rFont val="Arial MT"/>
        <color theme="1"/>
        <sz val="10.0"/>
      </rPr>
      <t>Y</t>
    </r>
  </si>
  <si>
    <r>
      <rPr>
        <rFont val="Arial MT"/>
        <color theme="1"/>
        <sz val="10.0"/>
      </rPr>
      <t>Program Pengembangan dan Penguatan Infrastruktur Digital</t>
    </r>
  </si>
  <si>
    <r>
      <rPr>
        <rFont val="Arial MT"/>
        <color theme="1"/>
        <sz val="10.0"/>
      </rPr>
      <t>Meningkatnya Kualitas Layanan Publik Bidang Infrastruktur Digital</t>
    </r>
  </si>
  <si>
    <r>
      <rPr>
        <rFont val="Arial MT"/>
        <color theme="1"/>
        <sz val="10.0"/>
      </rPr>
      <t>Persentase (%) Realisasi Penerimaan PNBP Infrastruktur Digital</t>
    </r>
  </si>
  <si>
    <r>
      <rPr>
        <rFont val="Arial MT"/>
        <color theme="1"/>
        <sz val="10.0"/>
      </rPr>
      <t>100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</si>
  <si>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</si>
  <si>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</si>
  <si>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</si>
  <si>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</si>
  <si>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</si>
  <si>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</si>
  <si>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kualitas pengelolaan layanan publik Kemenkomdigi</t>
    </r>
  </si>
  <si>
    <r>
      <rPr>
        <rFont val="Arial MT"/>
        <color theme="1"/>
        <sz val="10.0"/>
      </rPr>
      <t>Y</t>
    </r>
  </si>
  <si>
    <r>
      <rPr>
        <rFont val="Arial MT"/>
        <color theme="1"/>
        <sz val="10.0"/>
      </rPr>
      <t>Program Pengembangan dan Penguatan Infrastruktur Digital</t>
    </r>
  </si>
  <si>
    <r>
      <rPr>
        <rFont val="Arial MT"/>
        <color theme="1"/>
        <sz val="10.0"/>
      </rPr>
      <t>Meningkatnya Kualitas Layanan Publik Bidang Infrastruktur Digital</t>
    </r>
  </si>
  <si>
    <r>
      <rPr>
        <rFont val="Arial MT"/>
        <color theme="1"/>
        <sz val="10.0"/>
      </rPr>
      <t>Indeks Integritas Pelayanan Publik (IIPP) Bidang Infrastruktur Digital</t>
    </r>
  </si>
  <si>
    <r>
      <rPr>
        <rFont val="Arial MT"/>
        <color theme="1"/>
        <sz val="10.0"/>
      </rPr>
      <t>8,5 Nilai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</si>
  <si>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</si>
  <si>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</si>
  <si>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</si>
  <si>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</si>
  <si>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</si>
  <si>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</si>
  <si>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kualitas pengelolaan layanan publik Kemenkomdigi</t>
    </r>
  </si>
  <si>
    <r>
      <rPr>
        <rFont val="Arial MT"/>
        <color theme="1"/>
        <sz val="10.0"/>
      </rPr>
      <t>Y</t>
    </r>
  </si>
  <si>
    <r>
      <rPr>
        <rFont val="Arial MT"/>
        <color theme="1"/>
        <sz val="10.0"/>
      </rPr>
      <t>Program Pengembangan dan Penguatan Infrastruktur Digital</t>
    </r>
  </si>
  <si>
    <r>
      <rPr>
        <rFont val="Arial MT"/>
        <color theme="1"/>
        <sz val="10.0"/>
      </rPr>
      <t>Meningkatnya Kualitas Layanan Publik Bidang Infrastruktur Digital</t>
    </r>
  </si>
  <si>
    <r>
      <rPr>
        <rFont val="Arial MT"/>
        <color theme="1"/>
        <sz val="10.0"/>
      </rPr>
      <t>Indeks Kepuasan Masyarakat (IKM) Terhadap Layanan Publik Bidang Infrastruktur Digital</t>
    </r>
  </si>
  <si>
    <r>
      <rPr>
        <rFont val="Arial MT"/>
        <color theme="1"/>
        <sz val="10.0"/>
      </rPr>
      <t>3,6 Nilai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</si>
  <si>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</si>
  <si>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</si>
  <si>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</si>
  <si>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</si>
  <si>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</si>
  <si>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</si>
  <si>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kualitas pengelolaan layanan publik Kemenkomdigi</t>
    </r>
  </si>
  <si>
    <r>
      <rPr>
        <rFont val="Arial MT"/>
        <color theme="1"/>
        <sz val="10.0"/>
      </rPr>
      <t>Y</t>
    </r>
  </si>
  <si>
    <r>
      <rPr>
        <rFont val="Arial MT"/>
        <color theme="1"/>
        <sz val="10.0"/>
      </rPr>
      <t>Program Pengembangan dan Penguatan Ekosistem dan Ruang Digital</t>
    </r>
  </si>
  <si>
    <r>
      <rPr>
        <rFont val="Arial MT"/>
        <color theme="1"/>
        <sz val="10.0"/>
      </rPr>
      <t>Meningkatnya Kualitas Layanan Publik Bidang Ekosistem Digital</t>
    </r>
  </si>
  <si>
    <r>
      <rPr>
        <rFont val="Arial MT"/>
        <color theme="1"/>
        <sz val="10.0"/>
      </rPr>
      <t>Indeks integritas dan pelayanan publik (IIPP) bidang ekosistem digital</t>
    </r>
  </si>
  <si>
    <r>
      <rPr>
        <rFont val="Arial MT"/>
        <color theme="1"/>
        <sz val="10.0"/>
      </rPr>
      <t>9.55 Nilai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</si>
  <si>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</si>
  <si>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</si>
  <si>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</si>
  <si>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</si>
  <si>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</si>
  <si>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</si>
  <si>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kualitas pengelolaan layanan publik Kemenkomdigi</t>
    </r>
  </si>
  <si>
    <r>
      <rPr>
        <rFont val="Arial MT"/>
        <color theme="1"/>
        <sz val="10.0"/>
      </rPr>
      <t>Y</t>
    </r>
  </si>
  <si>
    <r>
      <rPr>
        <rFont val="Arial MT"/>
        <color theme="1"/>
        <sz val="10.0"/>
      </rPr>
      <t>Program Pengembangan dan Penguatan Ekosistem dan Ruang Digital</t>
    </r>
  </si>
  <si>
    <r>
      <rPr>
        <rFont val="Arial MT"/>
        <color theme="1"/>
        <sz val="10.0"/>
      </rPr>
      <t>Meningkatnya Kualitas Layanan Publik Bidang Ekosistem Digital</t>
    </r>
  </si>
  <si>
    <r>
      <rPr>
        <rFont val="Arial MT"/>
        <color theme="1"/>
        <sz val="10.0"/>
      </rPr>
      <t>Persentase Realisasi Penerimaan PNBP Bidang Ekosistem Digital</t>
    </r>
  </si>
  <si>
    <r>
      <rPr>
        <rFont val="Arial MT"/>
        <color theme="1"/>
        <sz val="10.0"/>
      </rPr>
      <t>100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</si>
  <si>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</si>
  <si>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</si>
  <si>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</si>
  <si>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</si>
  <si>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</si>
  <si>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</si>
  <si>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Meningkatnya kualitas pengelolaan layanan publik Kemenkomdigi</t>
    </r>
  </si>
  <si>
    <r>
      <rPr>
        <rFont val="Arial MT"/>
        <color theme="1"/>
        <sz val="10.0"/>
      </rPr>
      <t>Y</t>
    </r>
  </si>
  <si>
    <r>
      <rPr>
        <rFont val="Arial MT"/>
        <color theme="1"/>
        <sz val="10.0"/>
      </rPr>
      <t>Program Pengembangan dan Penguatan Ekosistem dan Ruang Digital</t>
    </r>
  </si>
  <si>
    <r>
      <rPr>
        <rFont val="Arial MT"/>
        <color theme="1"/>
        <sz val="10.0"/>
      </rPr>
      <t>Meningkatnya Kualitas Layanan Publik Bidang Ekosistem Digital</t>
    </r>
  </si>
  <si>
    <r>
      <rPr>
        <rFont val="Arial MT"/>
        <color theme="1"/>
        <sz val="10.0"/>
      </rPr>
      <t>Indeks Kepuasan masyarakat terhadap layanan publik bidang Ekosistem Digital</t>
    </r>
  </si>
  <si>
    <r>
      <rPr>
        <rFont val="Arial MT"/>
        <color theme="1"/>
        <sz val="10.0"/>
      </rPr>
      <t>3.75 Nilai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</si>
  <si>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</si>
  <si>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</si>
  <si>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</si>
  <si>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</si>
  <si>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</si>
  <si>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</si>
  <si>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</si>
  <si>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</si>
  <si>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</si>
  <si>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</si>
  <si>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r>
      <rPr>
        <rFont val="Arial MT"/>
        <color theme="1"/>
        <sz val="10.0"/>
      </rPr>
      <t>Nilai Indeks Reformasi Birokrasi Ditjen Ekosistem Digital Tahun 2025</t>
    </r>
  </si>
  <si>
    <r>
      <rPr>
        <rFont val="Arial MT"/>
        <color theme="1"/>
        <sz val="10.0"/>
      </rPr>
      <t>84 Nilai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</si>
  <si>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</si>
  <si>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</si>
  <si>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</si>
  <si>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</si>
  <si>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</si>
  <si>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</si>
  <si>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</si>
  <si>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</si>
  <si>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</si>
  <si>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</si>
  <si>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t>Nilai Kualitas Pelaporan Keuangan Unit Akuntansi Pembantu Pengguna Anggaran Eselon I (UAPPA-E1) Atas Laporan Keuangan Ditjen Infrastruktur Digital Tahun 2025</t>
  </si>
  <si>
    <r>
      <rPr>
        <rFont val="Arial MT"/>
        <color theme="1"/>
        <sz val="10.0"/>
      </rPr>
      <t>90 Nilai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</si>
  <si>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</si>
  <si>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</si>
  <si>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</si>
  <si>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</si>
  <si>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</si>
  <si>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ini telah diturunkan ke level kegiatan pada rancangan akhir renstra 2025-2029</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</si>
  <si>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</si>
  <si>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</si>
  <si>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</si>
  <si>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</si>
  <si>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r>
      <rPr>
        <rFont val="Arial MT"/>
        <color theme="1"/>
        <sz val="10.0"/>
      </rPr>
      <t>Nilai Kinerja Anggaran Ditjen Infrastruktur Digital Tahun 2025</t>
    </r>
  </si>
  <si>
    <r>
      <rPr>
        <rFont val="Arial MT"/>
        <color theme="1"/>
        <sz val="10.0"/>
      </rPr>
      <t>70 Nilai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</si>
  <si>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</si>
  <si>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</si>
  <si>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</si>
  <si>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</si>
  <si>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</si>
  <si>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ini telah diturunkan ke level kegiatan pada rancangan akhir renstra 2025-2029</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</si>
  <si>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</si>
  <si>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</si>
  <si>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</si>
  <si>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</si>
  <si>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t>Persentase (%) Penggunaan Produk dalam Negeri dalam Belanja Pengadaan Barang dan Jasa Ditjen Infrastruktur Digital Tahun 2025</t>
  </si>
  <si>
    <r>
      <rPr>
        <rFont val="Arial MT"/>
        <color theme="1"/>
        <sz val="10.0"/>
      </rPr>
      <t>40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</si>
  <si>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</si>
  <si>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</si>
  <si>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</si>
  <si>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</si>
  <si>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</si>
  <si>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ini telah di drop dikarenakan bukan bagian dari RB Tematik Tahun 2025</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</si>
  <si>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</si>
  <si>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</si>
  <si>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</si>
  <si>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</si>
  <si>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r>
      <rPr>
        <rFont val="Arial MT"/>
        <color theme="1"/>
        <sz val="10.0"/>
      </rPr>
      <t xml:space="preserve">Persentase (%) Belanja Pengadaan Barang dan Jasa Ditjen Infrastruktur Digitalyang dilakukan secara elektronik
</t>
    </r>
    <r>
      <rPr>
        <rFont val="Arial MT"/>
        <color theme="1"/>
        <sz val="10.0"/>
      </rPr>
      <t>(E-Purchasing) Tahun 2025</t>
    </r>
  </si>
  <si>
    <r>
      <rPr>
        <rFont val="Arial MT"/>
        <color theme="1"/>
        <sz val="10.0"/>
      </rPr>
      <t>30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</si>
  <si>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</si>
  <si>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</si>
  <si>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</si>
  <si>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</si>
  <si>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</si>
  <si>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ini telah di drop dikarenakan bukan bagian dari Stranas PK Tahun 2025</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</si>
  <si>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</si>
  <si>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</si>
  <si>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</si>
  <si>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</si>
  <si>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r>
      <rPr>
        <rFont val="Arial MT"/>
        <color theme="1"/>
        <sz val="10.0"/>
      </rPr>
      <t>Indeks Reformasi Birokrasi Ditjen Komunikasi Publik dan Media berdasarkan Realisasi Rencana Aksi RB Tematik Tahun 2025</t>
    </r>
  </si>
  <si>
    <r>
      <rPr>
        <rFont val="Arial MT"/>
        <color theme="1"/>
        <sz val="10.0"/>
      </rPr>
      <t>84 Nilai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</si>
  <si>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</si>
  <si>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</si>
  <si>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</si>
  <si>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</si>
  <si>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</si>
  <si>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Nomenklatur indikator telah diubah menjadi "Persentase Implementasi RB di Ditjen KPM bdsrkan realisasi RB Tematik Tahun 2025" pada rancangan akhir renstra tahun 2025-2029</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</si>
  <si>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</si>
  <si>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</si>
  <si>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</si>
  <si>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</si>
  <si>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r>
      <rPr>
        <rFont val="Arial MT"/>
        <color theme="1"/>
        <sz val="10.0"/>
      </rPr>
      <t>Nilai Kualitas Pelaporan Keuangan Unit Akuntansi Pembantu Pengguna Anggaran Eselon I (UAPPA E1) atas Laporan Keuangan Ditjen KPM Tahun 2025</t>
    </r>
  </si>
  <si>
    <r>
      <rPr>
        <rFont val="Arial MT"/>
        <color theme="1"/>
        <sz val="10.0"/>
      </rPr>
      <t>80 Nilai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</si>
  <si>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</si>
  <si>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</si>
  <si>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</si>
  <si>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</si>
  <si>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</si>
  <si>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ini telah diturunkan ke level kegiatan pada rancangan akhir renstra 2025-2029</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</si>
  <si>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</si>
  <si>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</si>
  <si>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</si>
  <si>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</si>
  <si>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r>
      <rPr>
        <rFont val="Arial MT"/>
        <color theme="1"/>
        <sz val="10.0"/>
      </rPr>
      <t>Persentase (%) Batas Tertinggi Temuan Hasil Pemeriksaan BPK di BAKTI Tahun 2025</t>
    </r>
  </si>
  <si>
    <r>
      <rPr>
        <rFont val="Arial MT"/>
        <color theme="1"/>
        <sz val="10.0"/>
      </rPr>
      <t>1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</si>
  <si>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</si>
  <si>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</si>
  <si>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</si>
  <si>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</si>
  <si>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</si>
  <si>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ini telah diturunkan ke level kegiatan pada rancangan akhir renstra 2025-2029</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</si>
  <si>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</si>
  <si>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</si>
  <si>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</si>
  <si>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</si>
  <si>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t>Persentase (%) Penyelesaian Tindak Lanjut Hasil Pemeriksaan BPK Pada Tahun Berjalan di BAKTI pada Tahun 2025</t>
  </si>
  <si>
    <r>
      <rPr>
        <rFont val="Arial MT"/>
        <color theme="1"/>
        <sz val="10.0"/>
      </rPr>
      <t>70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</si>
  <si>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</si>
  <si>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</si>
  <si>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</si>
  <si>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</si>
  <si>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</si>
  <si>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ini telah diturunkan ke level kegiatan pada rancangan akhir renstra 2025-2029</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</si>
  <si>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</si>
  <si>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</si>
  <si>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</si>
  <si>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</si>
  <si>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r>
      <rPr>
        <rFont val="Arial MT"/>
        <color theme="1"/>
        <sz val="10.0"/>
      </rPr>
      <t>Persentase (%) Penyelesaian Tindak Lanjut Hasil Pemeriksaan BPK Pada Tahun Sebelumnya di BAKTI pada Tahun 2025</t>
    </r>
  </si>
  <si>
    <r>
      <rPr>
        <rFont val="Arial MT"/>
        <color theme="1"/>
        <sz val="10.0"/>
      </rPr>
      <t>30 Persen</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</si>
  <si>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</si>
  <si>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</si>
  <si>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</si>
  <si>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</si>
  <si>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</si>
  <si>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ini telah diturunkan ke level kegiatan pada rancangan akhir renstra 2025-2029</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</si>
  <si>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</si>
  <si>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</si>
  <si>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</si>
  <si>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</si>
  <si>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r>
      <rPr>
        <rFont val="Arial MT"/>
        <color theme="1"/>
        <sz val="10.0"/>
      </rPr>
      <t xml:space="preserve">Nilai EKA BLU BAKTI
</t>
    </r>
    <r>
      <rPr>
        <rFont val="Arial MT"/>
        <color theme="1"/>
        <sz val="10.0"/>
      </rPr>
      <t>Tahun 2025 pada Aplikasi SMART</t>
    </r>
  </si>
  <si>
    <r>
      <rPr>
        <rFont val="Arial MT"/>
        <color theme="1"/>
        <sz val="10.0"/>
      </rPr>
      <t>83 Nilai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</si>
  <si>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</si>
  <si>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</si>
  <si>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</si>
  <si>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</si>
  <si>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</si>
  <si>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ini telah diturunkan ke level kegiatan pada rancangan akhir renstra 2025-2029</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</si>
  <si>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</si>
  <si>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</si>
  <si>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</si>
  <si>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</si>
  <si>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r>
      <rPr>
        <rFont val="Arial MT"/>
        <color theme="1"/>
        <sz val="10.0"/>
      </rPr>
      <t>Indeks Kepuasan Pegawai Terhadap layanan Dukungan Manajemen BAKTI Tahun 2025</t>
    </r>
  </si>
  <si>
    <r>
      <rPr>
        <rFont val="Arial MT"/>
        <color theme="1"/>
        <sz val="10.0"/>
      </rPr>
      <t>3 Nilai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</si>
  <si>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</si>
  <si>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</si>
  <si>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</si>
  <si>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</si>
  <si>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</si>
  <si>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ini telah diturunkan ke level kegiatan pada rancangan akhir renstra 2025-2029</t>
    </r>
  </si>
  <si>
    <r>
      <rPr>
        <rFont val="Arial MT"/>
        <color theme="1"/>
        <sz val="10.0"/>
      </rPr>
      <t>Mewujudkan Transformasi Internal Manajemen adaptif dan resilien</t>
    </r>
  </si>
  <si>
    <r>
      <rPr>
        <rFont val="Arial MT"/>
        <color theme="1"/>
        <sz val="10.0"/>
      </rPr>
      <t>Y</t>
    </r>
  </si>
  <si>
    <r>
      <rPr>
        <rFont val="Arial MT"/>
        <color theme="1"/>
        <sz val="10.0"/>
      </rPr>
      <t>Program Dukungan Manajemen</t>
    </r>
  </si>
  <si>
    <r>
      <rPr>
        <rFont val="Arial MT"/>
        <color theme="1"/>
        <sz val="10.0"/>
      </rPr>
      <t>Meningkatkan efektivitas dan efisiensi pengelolaan birokrasi di Komdigi untuk mendukung transformasi digital nasional</t>
    </r>
  </si>
  <si>
    <r>
      <rPr>
        <rFont val="Arial MT"/>
        <color theme="1"/>
        <sz val="10.0"/>
      </rPr>
      <t>Nilai Kualitas Pelaporan Keuangan Unit Akuntansi Pembantu Pengguna Anggaran Eselon I (UAPPA Esselon 1) atas Laporan Keuangan BAKTI Tahun 2024</t>
    </r>
  </si>
  <si>
    <r>
      <rPr>
        <rFont val="Arial MT"/>
        <color theme="1"/>
        <sz val="10.0"/>
      </rPr>
      <t>80 Nilai</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</si>
  <si>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</si>
  <si>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</si>
  <si>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</si>
  <si>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</si>
  <si>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Y</t>
    </r>
  </si>
  <si>
    <r>
      <rPr>
        <rFont val="Arial MT"/>
        <color theme="1"/>
        <sz val="10.0"/>
      </rPr>
      <t>Indikator ini telah diturunkan ke level kegiatan pada rancangan akhir renstra 2025-2029</t>
    </r>
  </si>
  <si>
    <t>PENJAMINAN KUALITAS HASIL PENILAIAN MANDIRI MATURITAS PENYELENGGARAAN SPIP TERINTEGRASI
KEMENTERIAN KOMUNIKASI DAN INFORMATIKA
Periode Penilaian sampai dengan 30 Juni 2024</t>
  </si>
  <si>
    <t>KK 2.1 - PENILAIAN PENETAPAN TUJUAN - SASARAN KEGIATAN</t>
  </si>
  <si>
    <t>SASARAN PROGRAM</t>
  </si>
  <si>
    <t>UNIT KERJA</t>
  </si>
  <si>
    <t>NAMA KEGIATAN</t>
  </si>
  <si>
    <t>SASARAN KEGIATAN</t>
  </si>
  <si>
    <t>INDIKATOR KINERJA</t>
  </si>
  <si>
    <t xml:space="preserve"> TARGET KINERJA</t>
  </si>
  <si>
    <t>KUALITAS SASARAN KEGIATAN</t>
  </si>
  <si>
    <t>NAMA PROGRAM</t>
  </si>
  <si>
    <t>URAIAN SASARAN PROGRAM</t>
  </si>
  <si>
    <t>SASPRO RELEVAN DENGAN SASTRA DAN MENGGAMBARKAN TUGAS DAN FUNGSI</t>
  </si>
  <si>
    <t>SASTRA KEGIATAN
BERORIENTASI HASIL</t>
  </si>
  <si>
    <t>SASKEG RELEVAN DENGAN SASPRO DAN MENGGAMBARKAN TUGAS DAN FUNGSI</t>
  </si>
  <si>
    <t xml:space="preserve">Direktorat Jenderal Komunikasi Publik dan Media </t>
  </si>
  <si>
    <t>Program Komunikasi Publik dan Media</t>
  </si>
  <si>
    <t>Meningkatnya efektivitas penyelenggaraan komunikasi publik nasional</t>
  </si>
  <si>
    <t>Direktorat Informasi Publik</t>
  </si>
  <si>
    <t>Penguatan Komunikasi dan Informasi Publik Nasional</t>
  </si>
  <si>
    <t>Menyediakan Konten Informasi Publik yang Berkualitas, Relevan, dan Kredibel</t>
  </si>
  <si>
    <t>Tingkat kepatuhan standar konten informasi publik dan manajemen aset K/L/D</t>
  </si>
  <si>
    <t>-Saskeg masih berorientasi pada proses
-Indikator untuk mengkukur kualitas, relevansi, dan kredibilitas seperti apa?</t>
  </si>
  <si>
    <t xml:space="preserve">Saskeg merupakan turunan dari Draft Perpres SKPN. Indeks komunikasi pembangunan dan informasi publik mengukur 5 aspek, bisa terukur kualittasnya. 
-Manajemen aset berupa informasi </t>
  </si>
  <si>
    <t>Cara mengkukur kualitas, relevansi, dan kredibilitas. Apa indikatornya?</t>
  </si>
  <si>
    <t>Tingkat aksesibilitas digital informasi untuk penyandang disabilitas</t>
  </si>
  <si>
    <t>-Saskeg masih berorientasi pada proses
-Indikator ini tidak menjawab kualitas, relevansi, dan kredibilitas. 
-Uji kecukupan indikator tidak dapat menjawab saskeg
-Belum ada baseline penentuan target</t>
  </si>
  <si>
    <t>Web Content Accessibility Guidelines (WCAG)
--&gt;WCAG adalah framework yang tepat dan standar untuk mengukur target aksesibilitas digital Anda sebesar 65%</t>
  </si>
  <si>
    <t>Output yang diharapkan adalah Permenkomdigi.
K/L/D akan diukur penyediaan fitur yang aksesibel untuk penyandang disabilitas</t>
  </si>
  <si>
    <t>-Indikator ini tidak menjawab kualitas, relevansi, dan kredibilitas. 
-Uji kecukupan indikator tidak dapat menjawab saskeg
-Belum ada baseline penentuan target</t>
  </si>
  <si>
    <t>Persentase konten komunikasi publik yang dapat memperkuat kohesivitas sosial berlandaskan nilai-nilai Pancasila</t>
  </si>
  <si>
    <t>Saskeg masih berorientasi pada proses</t>
  </si>
  <si>
    <t>Merupakan turunan dari RPJMN</t>
  </si>
  <si>
    <t>Kohesivitas : agar ditanyakan</t>
  </si>
  <si>
    <t>Direktorat Komunikasi Publik</t>
  </si>
  <si>
    <t xml:space="preserve">Meningkatnya kualitas tata kelola dan penyelenggaraan komunikasi publik
</t>
  </si>
  <si>
    <t>Tingkat kepatuhan penyelenggaraan komunikasi publik K/L/D</t>
  </si>
  <si>
    <t>-kepatuhan penyelenggaraan tidak mengukur peningkatan penyelenggaraan kompub
-tidak ada indikator untuk mengukur penyelenggaraan kompub
-indikator tambahan untuk mengukur peningkatan  penyelenggaraan kompun
-belum ada baseline penentuan target</t>
  </si>
  <si>
    <r>
      <rPr>
        <rFont val="Arial"/>
        <b/>
        <color theme="1"/>
        <sz val="12.0"/>
      </rPr>
      <t>Laporan Audit Kepatuhan Komunikasi Publik</t>
    </r>
    <r>
      <rPr>
        <rFont val="Arial"/>
        <color theme="1"/>
        <sz val="12.0"/>
      </rPr>
      <t xml:space="preserve"> yang disusun berdasarkan standar dan peraturan pemerintah yang berlaku.</t>
    </r>
  </si>
  <si>
    <r>
      <rPr>
        <rFont val="Arial"/>
        <b/>
        <color theme="1"/>
        <sz val="12.0"/>
      </rPr>
      <t>Laporan Audit Kepatuhan Komunikasi Publik</t>
    </r>
    <r>
      <rPr>
        <rFont val="Arial"/>
        <color theme="1"/>
        <sz val="12.0"/>
      </rPr>
      <t xml:space="preserve"> yang disusun berdasarkan standar dan peraturan pemerintah yang berlaku.</t>
    </r>
  </si>
  <si>
    <t>Indikator sudah cukup karena akan dibuatkan NSPK yang mengatur takel dan penyelenggaraannya.
Target merupakan jumlah K/L yang patuh</t>
  </si>
  <si>
    <t>Direktorat Kemitraan Komunikasi Lembaga dan Kehumasan</t>
  </si>
  <si>
    <t>Pengembangan Ekosistem Media, Kehumasan, dan Kemitraan Komunikasi Publik</t>
  </si>
  <si>
    <t>Penguatan Kehumasan dan Kemitraan Komunikasi Publik</t>
  </si>
  <si>
    <t xml:space="preserve">Tingkat keterlibatan mitra strategis dalam komunikasi publik
</t>
  </si>
  <si>
    <t>-Saskeg masih berorientasi pada proses
-Indikator kinerja tidak spesifik
-Mitra strategis siapa?
-Belum ada baseline penentuan target</t>
  </si>
  <si>
    <t>-Laporan Monitoring dan Evaluasi Kemitraan Komunikasi Publik
-Perjanjian Kerja Sama (PKS) atau Memorandum of Understanding (MoU):
-Rencana Kerja Kolaborasi (Joint Action Plan)</t>
  </si>
  <si>
    <t>Pada RO ada terkait target lembaga</t>
  </si>
  <si>
    <t>-Indikator kinerja tidak spesifik
-Mitra strategis siapa? 
-Belum ada baseline penentuan target</t>
  </si>
  <si>
    <t xml:space="preserve">Tingkat akses media informasi pemerintah oleh masyarakat
</t>
  </si>
  <si>
    <t>-Saskeg masih berorientasi pada proses
-Indikator kinerja tidak spesifik dan relevan 
-Belum ada baseline penentuan target</t>
  </si>
  <si>
    <t>-Laporan Analitik Akses Media Informasi Publik
- Laporan Survei Persepsi dan Jangkauan Publik (Data Kualitatif &amp; Pelengkap)</t>
  </si>
  <si>
    <t>-Indikator kinerja tidak spesifik dan relevan 
--Belum ada baseline penentuan target</t>
  </si>
  <si>
    <t>Monumen Pers Nasional</t>
  </si>
  <si>
    <t>Terselenggaranya Layanan pemanfaatan informasi media cetak dan koleksi benda bersejarah bagi masyarakat</t>
  </si>
  <si>
    <t xml:space="preserve">Persentase (%) Kepuasan Pengunjung Terhadap Layanan Monumen Pers Nasional
</t>
  </si>
  <si>
    <t>-Saskeg masih berorientasi pada proses
-Belum ada baseline penentuan target</t>
  </si>
  <si>
    <t>-Belum ada baseline penentuan target</t>
  </si>
  <si>
    <t>Museum Penerangan</t>
  </si>
  <si>
    <t xml:space="preserve">Terselenggaranya Layanan Informasi Benda-benda Bersejarah di Bidang Komunikasi dan Informasi
</t>
  </si>
  <si>
    <t>Persentase (%) Kepuasan Pengunjung Terhadap Layanan Museum Penerangan</t>
  </si>
  <si>
    <t>Meningkatnya keterbukaan informasi publik</t>
  </si>
  <si>
    <t xml:space="preserve">Kepatuhan Dalam Pelaksanaan Keterbukaan Informasi Publik
</t>
  </si>
  <si>
    <t xml:space="preserve">Tingkat kepatuhan K/L/D dalam pelaksanaan keterbukaan informasi publik
</t>
  </si>
  <si>
    <t>Laporan Hasil Monitoring dan Evaluasi (Monev) Keterbukaan Informasi Publik</t>
  </si>
  <si>
    <t>Meningkatnya kualitas ekosistem media yang terpercaya</t>
  </si>
  <si>
    <t>Direktorat Ekosistem Media</t>
  </si>
  <si>
    <t xml:space="preserve">Mewujudkan ekosistem media yang sehat di era digital
</t>
  </si>
  <si>
    <t xml:space="preserve">Tingkat resiliensi media 
</t>
  </si>
  <si>
    <t>-Belum ada baseline penentuan target
-maksud resiliensi media? apakah kemampuan survival media?</t>
  </si>
  <si>
    <t>-SOP atau Protokol Manajemen Krisis Komunikasi
-Laporan Simulasi Krisis (Crisis Drill Report)
-Laporan Analisis Isu dan Sentimen Media</t>
  </si>
  <si>
    <t>Tingkat keterlibatan publik dalam komunikasi publik</t>
  </si>
  <si>
    <t>-Belum ada baseline penentuan target
-hubungan keterlibatan publik dengan ekosistem media sehat?</t>
  </si>
  <si>
    <t>Laporan Analitik Media Sosial</t>
  </si>
  <si>
    <t>Program Dukungan Manajemen</t>
  </si>
  <si>
    <t>Meningkatkan efektivitas dan efisiensi pengelolaan birokrasi di Komdigi untuk mendukung transformasi digital nasional</t>
  </si>
  <si>
    <t>Sekretariat Ditjen Komunikasi Publik dan Media</t>
  </si>
  <si>
    <t>Pengelolaan Keuangan, BMN dan Umum Direktorat Jenderal Komunikasi Publik dan Media</t>
  </si>
  <si>
    <t xml:space="preserve">Meningkatnya Kualitas Tata Kelola Ditjen KPM yang Bersih dan Efisien
</t>
  </si>
  <si>
    <t>Nilai Indeks Reformasi Birokrasi Ditjen KPM Tahun 2025</t>
  </si>
  <si>
    <t>-bagaimana menkuantifikasi nilai 84 sementara skrg hanya memantau renaksi RB Tematik?
-nilai LAKIP 2024 adalah 85-&gt;100</t>
  </si>
  <si>
    <t>Nilai Akuntabilitas Kinerja (AKIP) Ditjen KPM Tahun 2025</t>
  </si>
  <si>
    <t>-nilai LAKIP 2024 75-&gt;67</t>
  </si>
  <si>
    <t>Persentase (%) Batas Tertinggi Temuan Hasil Pemeriksaan BPK di Ditjen KPM Tahun 2025</t>
  </si>
  <si>
    <t>-nilai LAKIP 1%-&gt;0.001%</t>
  </si>
  <si>
    <t>Nilai Kinerja Anggaran Ditjen KPM Tahun 2025</t>
  </si>
  <si>
    <t>kenapa hanya 88? capaian LAKIP 2024 92--&gt;95</t>
  </si>
  <si>
    <t>Nilai SPIP Ditjen KPM Tahun 2025</t>
  </si>
  <si>
    <t>Berdasarkan LAKIP 2024 4.33-&gt;3.88</t>
  </si>
  <si>
    <t>Indeks kepuasan pegawai terhadap layanan Dukungan Manajemen Ditjen KPM Tahun 2025</t>
  </si>
  <si>
    <t>Berdasarkan LAKIP 2024 4.27-&gt;4.28</t>
  </si>
  <si>
    <t>Persentase Penyelesaian Tindak Lanjut Hasil Pemeriksaan BPK Tahun Berjalan di Ditjen KPM Tahun 2025</t>
  </si>
  <si>
    <t>di LAKIP 70-&gt;100</t>
  </si>
  <si>
    <t>Persentase Penyelesaian Tindak Lanjut Hasil Pemeriksaan BPK Tahun Sebelumnya di Ditjen KPM Tahun 2025</t>
  </si>
  <si>
    <t>di LAKIP 30-&gt;87</t>
  </si>
  <si>
    <t>Nilai Kualitas Pelaporan Keuangan Unit Akuntansi Pembantu Pengguna Anggaran Eselon I (UAPPA E1) Ditjen KPM Tahun 2025</t>
  </si>
  <si>
    <t>di LAKIP 2024 100-&gt;95, kenapa 2025 hanya 80?</t>
  </si>
  <si>
    <t>Nilai Kualitas Pelaporan Keuangan Unit Akuntansi Kuasa Pengguna Anggaran (UAKPA) Ditjen KPM Tahun 2025</t>
  </si>
  <si>
    <t>di LAKIP 100-&gt;97</t>
  </si>
  <si>
    <t xml:space="preserve">Direktorat Jenderal Infrastruktur Digital </t>
  </si>
  <si>
    <t>Program Pengembangan dan Penguatan Infrastruktur Digital</t>
  </si>
  <si>
    <t>Meningkatnya Kualitas Layanan Publik Bidang Infrastruktur Digital</t>
  </si>
  <si>
    <t>Direktorat Layanan Infrastruktur Digital</t>
  </si>
  <si>
    <t>Layanan Publik Bidang Sumber Daya dan Perangkat Digital</t>
  </si>
  <si>
    <t>Meningkatnya kualitas layanan publik dan PNBP bidang Infrastruktur Digital</t>
  </si>
  <si>
    <t>Indeks Kepuasan Masyarakat (IKM) Layanan Perizinan Spektrum Frekuensi Radio, Sertifikasi Operator Radio, dan Sertifikasi Perangkat Digital</t>
  </si>
  <si>
    <t>3,6 Nilai</t>
  </si>
  <si>
    <t>sesuai</t>
  </si>
  <si>
    <t>Indeks Integritas Pelayanan Publik (IIPP) Layanan Perizinan Spektrum Frekuensi Radio, Sertifikasi Operator Radio, dan Sertifikasi Perangkat Digital</t>
  </si>
  <si>
    <t>8,5 Nilai</t>
  </si>
  <si>
    <t>Persentase Capaian target PNBP SFR, Sertifikasi alat dan perangkat Digital</t>
  </si>
  <si>
    <t>100 Persen</t>
  </si>
  <si>
    <t>Penjelasan Indikator Saskeg : Pengelolaan sumber daya frekuensi dan sertifikasi perangkat untuk mendukung pendapatan negara dan transformasi digital serta pelayanan publik yang prima dan kepatuhan pelaku usaha terhadap regulasi</t>
  </si>
  <si>
    <t>Meningkatkan efektivitas dan efisiensi pengelolaan birokrasi di Komdigi untuk mendukung transformasi
 digital nasional</t>
  </si>
  <si>
    <t>Sekretariat Ditjen Infrastruktur Digital</t>
  </si>
  <si>
    <t>Pengelolaan Keuangan, BMN dan Umum Direktorat Jenderal Infrastruktur Digital</t>
  </si>
  <si>
    <t>Meningkatnya kualitas tata kelola internal Ditjen Infrastruktur Digital</t>
  </si>
  <si>
    <t>Nilai AKIP Ditjen Infrastruktur Digital Tahun 2025</t>
  </si>
  <si>
    <t>77,10 Nilai</t>
  </si>
  <si>
    <t>Persentase (%) Batas Tertinggi Temuan Hasil Pemeriksaan BPK di Ditjen Infrastruktur Digital Tahun 2025</t>
  </si>
  <si>
    <t>1 Persen</t>
  </si>
  <si>
    <t>Nilai Kinerja Anggaran Ditjen Infrastruktur Digital Tahun 2025</t>
  </si>
  <si>
    <t>70 Nilai</t>
  </si>
  <si>
    <t>Nilai Maturitas SPIP Ditjen Infrastruktur Digital Tahun 2025</t>
  </si>
  <si>
    <t>3,57 Nilai</t>
  </si>
  <si>
    <t>Indeks kepuasan pegawai terhadap layanan Dukungan Manajemen Ditjen Infrastruktur Digital Tahun 2025</t>
  </si>
  <si>
    <t>4,25 Nilai</t>
  </si>
  <si>
    <t>Nilai Kualitas Pelaporan Keuangan Unit Akuntansi Pembantu Pengguna Anggaran Eselon I (UAPPA-E1) Atas Laporan
 Keuangan Ditjen Infrastruktur Digital Tahun 2025</t>
  </si>
  <si>
    <t>90 Nilai</t>
  </si>
  <si>
    <t>Nilai Kualitas Pelaporan Keuangan Unit Akuntansi Kuasa Pengguna Anggaran (UAKPA) Atas Laporan Keuangan Ditjen Infrastruktur Digital Tahun 2025</t>
  </si>
  <si>
    <t>83 Nilai</t>
  </si>
  <si>
    <t>Persentase (%) Penyelesaian Tindak Lanjut Hasil Pemeriksaan BPK pada Tahun Berjalan di Ditjen Infrastruktur Digital pada Tahun 2025</t>
  </si>
  <si>
    <t>70 Persen</t>
  </si>
  <si>
    <t>Persentase (%) Penyelesaian Tindak Lanjut Hasil Pemeriksaan BPK pada Tahun Sebelumnya di Ditjen Infrastruktur Digital pada Tahun 2025</t>
  </si>
  <si>
    <t>30 Persen</t>
  </si>
  <si>
    <t>Indeks Reformasi Birokrasi Ditjen Infrastruktur Digital Tahun 2025 berdasarkan Realisasi Rencana Aksi RB Tematik Ditjen Infrastruktur Digital</t>
  </si>
  <si>
    <t>100 Nilai</t>
  </si>
  <si>
    <t>Sesuai</t>
  </si>
  <si>
    <t>Mempercepat Terwujudnya Coverage Broadband yang Merata ke Seluruh Indonesia</t>
  </si>
  <si>
    <t>Dit Akselerasi Infrastruktur Digital</t>
  </si>
  <si>
    <t>Akselerasi pengembangan infrastruktur digital</t>
  </si>
  <si>
    <t>Meningkatnya Coverage Broadband ke Seluruh Wilayah Indonesia</t>
  </si>
  <si>
    <t>Jumlah Rekomendasi kebijakan tentang Pedoman Pembangunan dan Penggunaan Bersama Menara Telekomunikasi</t>
  </si>
  <si>
    <t>1 Rekomendasi Kebijakan</t>
  </si>
  <si>
    <t>Indikator Kinerja kurang mendukung Sasaran Kegiatan</t>
  </si>
  <si>
    <t>Jumlah Rekomendasi Kebijakan Penyelenggaraan Layanan Telekomunikasi Universal</t>
  </si>
  <si>
    <t>Indikator Kinerja kurang mendukung sasaran kegiatan</t>
  </si>
  <si>
    <t>Jumlah Rekomendasi Kebijakan Skema Penyediaan Fiber Optik pada Daerah (Kecamatan) Belum Terjangkau Serat Optik</t>
  </si>
  <si>
    <t>Jumlah Rekomendasi Kebijakan Fasilitasi Penerapan Infrastruktur Pasif Bersama Sarana Jaringan Utilitas Terpadu (SJUT)</t>
  </si>
  <si>
    <t>Jumlah Fasilitasi Penyelenggara Jaringan Bergerak Seluler dalam Penggelaran Jaringan 5G</t>
  </si>
  <si>
    <t>2 Fasilitasi</t>
  </si>
  <si>
    <t>Jumlah Fasilitasi Penggelaran Infrastruktur dan Peningkatan Kualitas Layanan Seluler 4G oleh Penyelenggara Jaringan Bergerak Seluler</t>
  </si>
  <si>
    <t>7 Badan Usaha</t>
  </si>
  <si>
    <t>Meningkatnya Penetrasi dan Utilisasi (Take Up) Internet Broadband</t>
  </si>
  <si>
    <t>Meningkatnya Penetrasi Penggunaan Broadband Nasional</t>
  </si>
  <si>
    <t>Jumlah Akses Internet Tetap Pitalebar untuk Pelaku Usaha Rumah Tangga dan Fasiltas Umum (Fasilitas Pendidikan, Kesehatan dan Kantor Pemerintah)</t>
  </si>
  <si>
    <t>1.000
 Titik/Lokasi</t>
  </si>
  <si>
    <t>Meningkatnya Akselerasi Penyediaan Infrastruktur dan Sumber Daya untuk Layanan Khusus</t>
  </si>
  <si>
    <t>Mempercepat Integrasi Sistem Kebencanaan dan Kedaruratan</t>
  </si>
  <si>
    <t>Jumlah Lembaga/ Instansi yang Terintegrasi Sistem Informasi Kebencanaan</t>
  </si>
  <si>
    <t>2 Lembaga</t>
  </si>
  <si>
    <t>Jumlah Pemerintah Kabupaten/ Kota yang Difasilitasi Mengimplementasikan Layanan Panggilan Darurat 112</t>
  </si>
  <si>
    <t>26 Daerah (Prov/Kab/Kota)</t>
  </si>
  <si>
    <t>Jumlah Rekomendasi Kebijakan terkait Penyediaan Sistem Komunikasi Nasional Pelindungan Masyarakat dan Penanggulangan Bencana (PMPB)</t>
  </si>
  <si>
    <t>Dit Penataan Spektrum Frekuensi Radio, Orbit Satelit dan Standardisasi Infrastruktur Digital</t>
  </si>
  <si>
    <t>Penataan Spektrum Frekuensi Radio dan Standarisasi Perangkat Digital</t>
  </si>
  <si>
    <t>Meningkatnya kualitas internet broadband melalui penataan spektrum frekuensi radio</t>
  </si>
  <si>
    <t>Pita yang dimanfaatkan untuk Layanan Broadband</t>
  </si>
  <si>
    <t>3 Pita</t>
  </si>
  <si>
    <t>Sesuai, Kegiatan ini selaras dengan sasaran program “Mempercepat Terwujudnya Coverage Broadband yang Merata ke Seluruh Indonesia”, karena ketersediaan pita frekuensi merupakan syarat utama dalam memperluas jangkauan layanan internet ke seluruh pelosok negeri secara merata dan berkelanjutan.</t>
  </si>
  <si>
    <t>Meningkatnya Pengembangan Industri Perangkat Digital yang Aman</t>
  </si>
  <si>
    <t>Menguatnya industri perangkat dalam negeri yang aman dan terstandardisasi</t>
  </si>
  <si>
    <t>Persentase kepatuhan penyelenggara telekomunikasi dalam pengelolaan e-waste</t>
  </si>
  <si>
    <t>75 Persen</t>
  </si>
  <si>
    <t>Relevansi Sasaran Kegiatan dengan Sasaran Programnya :Kegiatan ini sangat relevan dengan sasaran program “Meningkatnya Pengembangan Industri Perangkat Digital yang Aman”, karena penguatan standardisasi dan regulasi teknis menjadi fondasi penting dalam mendorong pertumbuhan industri perangkat yang aman, terpercaya, dan mampu bersaing di pasar domestik maupun global. Persentase kepatuhan pengelolaan e-waste, indikator ini menunjukkan bahwa Ditjen Infradig menghitung kepatuhan pengelolaan e-waste yang dilakukan penyelenggara telekomunikasi setiap tahunnya dengan objek yang berbeda-beda setiap tahun, seperti operator seluler, penyelenggara ISP.</t>
  </si>
  <si>
    <t>Jumlah rekomendasi kebijakan perlindungan pengguna perangkat telekomunikasi</t>
  </si>
  <si>
    <t>3 Rekomendasi Kebijakan</t>
  </si>
  <si>
    <t>Jumlah rekomendasi kebijakan perlindungan pengguna, indikator ini menunjukkan bahwa perlu disusun rekomendasi kebijakan untuk memastikan pancaran/radiasi dari perangkat telekomunikasi aman untuk penggunanya</t>
  </si>
  <si>
    <t>Persentase penetapan standar teknis alat/perangkat telekomunikasi</t>
  </si>
  <si>
    <t>Indikator ini menunjukkan bahwa setiap tahun disusun standar teknis perangkat, sehingga perangkat-perangkat yang masuk dan digunakan di Indonesia sesuai dengan standar teknis yang ditetapkan tersebut sehingga tidak menimbulkan interferensi, gangguan antar perangkat dan dapat saling terhubung</t>
  </si>
  <si>
    <t>Persentase pengembangan industri perangkat digital dalam negeri</t>
  </si>
  <si>
    <t>20 Persen</t>
  </si>
  <si>
    <t>Persentase pengembangan industri perangkat digital dalam negeri, indikator ini menunjukkan bahwa Dit Infradig mendukung pengembangan industri perangkat digital dalam negeri melalui fasilitasi pengembangan industri perangkat dalam negri dengan target 1 perusahaan setiap tahunnya</t>
  </si>
  <si>
    <t>Persentase Registrasi Data IMEI untuk Keperluan Pemerintah yang Diproses Tepat Waktu</t>
  </si>
  <si>
    <t>90 Persen</t>
  </si>
  <si>
    <t>Persentase registrasi IMEI yang diproses tepat waktu, indikator ini menghitung persentase registrasi IMEI yang masuk yamg diproses tepat waktu</t>
  </si>
  <si>
    <t>Jumlah layanan Kesesuaian dan Harmonisasi Perangkat Digital</t>
  </si>
  <si>
    <t>2 Layanan</t>
  </si>
  <si>
    <t>Jumlah layanan kesesuaian dan harmonisasi perangkat digital, indikator ini menunjukan bagaimana pelaksanaan layanan Imei dan Penetapan Balai Uji di Ditjen Infradig</t>
  </si>
  <si>
    <t>Menyediakan alokasi spektrum frekuensi radio untuk kebutuhan layanan khusus dan penyiaran</t>
  </si>
  <si>
    <t>Jumlah Rekomendasi Kebijakan untuk Harmonisasi dan Inovasi Pemanfaatan Spektrum Frekuensi Radio</t>
  </si>
  <si>
    <t>2 Rekomendasi Kebijakan</t>
  </si>
  <si>
    <t>Indikator kinerja kurang mendukung sasaran kegiatan</t>
  </si>
  <si>
    <t>Presentase Stasiun Radio Teresterial yang Dinotifikasi</t>
  </si>
  <si>
    <t>80 Persen</t>
  </si>
  <si>
    <t>Jumlah Layanan khusus dan penyiaran yang ditetapkan dan dioptimalkan pengaturan penggunaan spektrum frekuensi radionya</t>
  </si>
  <si>
    <t>1 Layanan</t>
  </si>
  <si>
    <t>Indikator kinerja “Jumlah layanan khusus dan penyiaran yang ditetapkan dan dioptimalkan pengaturan penggunaan spektrum frekuensi radionya” menunjukkan bahwa perlu dilakukan pengaturan spektrum frekuensi radio sesuai dengan perkembangan pembahasan di tingkat internasional, bisa mengakomodir pembaruan dari pengaturan yang telah ada sebelumnya maupun penetapan pengaturan baru yang belum pernah ada karena adanya perkembangan teknologi.</t>
  </si>
  <si>
    <t>Dit Strategi dan Kebijakan Infrastruktur Digital</t>
  </si>
  <si>
    <t>Pengembangan Strategi dan Kebijakan Infrastruktur Digital</t>
  </si>
  <si>
    <t>Meningkatnya Pertumbuhan Industri Telekomunikasi</t>
  </si>
  <si>
    <t>Pertumbuhan Pendapatan Industri Telekomunikasi</t>
  </si>
  <si>
    <t>5 Persen</t>
  </si>
  <si>
    <t>Perubahan Renstra :Sasaran Program : Meningkatnya Pertumbuhan Industri Telekomunikasi dan Data Center yang Berkelanjutan Sasaran Kegiatan : Meningkatnya Pertumbuhan Industri Telekomunikasi untuk Mendukung Peningkatan Penggelaran Konektivitas Digital NasionalUntuk mengukur pertumbuhan industri telekomunikasi salah satunya dengan menggunakan parameter pertumbuhan pendapatan industri telekomunikasiPertumbuhan pendapatan industri telekomunikasi diukur berdasarkan parameter total pendapatan penyelenggara telekomunikasi. Pengukuran dilakukan tiap tahun dengan lagging 1 tahun pelaksanaan program.</t>
  </si>
  <si>
    <t>Meningkatnya Distribusi Lokasi Data Center</t>
  </si>
  <si>
    <t>Pertumbuhan lokasi data center di Indonesia</t>
  </si>
  <si>
    <t>14 Lokasi Data Center (kumulatif)</t>
  </si>
  <si>
    <t>Pertumbuhan distribusi lokasi data center secara kumulatif di Indonesia merujuk pada peningkatan jumlah dan distribusi lokasi pusat data (data center) yang dibangun dan dioperasikan di seluruh wilayah Indonesia.Indikator ini berfokus pada pertumbuhan lokasi DC di Indonesia, dimana harapannya DC tidak terpusat pada satu lokasi saja, sehingga ketika terjadi disaster/serangan siber, ada DC di lokasi lain. Selain itu, pada industri DC juga perlu sistem mirroring sehingga penyedia DC didorong memiliki infrastruktur DC tidak hanya di 1 region tetapi juga menyebar ke region lainnya.
 Hal ini untuk mengurangi latency ke pengguna</t>
  </si>
  <si>
    <t>Balai Besar Pengujian Perangkat Telekomunikasi</t>
  </si>
  <si>
    <t>Meningkatnya Kualitas Layanan Pengujian Perangkat Digital dan Kalibrasi Alat Ukur</t>
  </si>
  <si>
    <t>Indeks Kepuasan Masyarakat atas Layanan Pengujian Perangkat Digital dan kalibrasi alat ukur</t>
  </si>
  <si>
    <t>3.6 Nilai</t>
  </si>
  <si>
    <t>Indeks Integritas Pelayanan Publik atas layanan pengujian perangkat digital dan kalibrasi alat ukur</t>
  </si>
  <si>
    <t>8.5 Nilai</t>
  </si>
  <si>
    <t>Persentase (%) Capaian target PNBP Pengujian Perangkat Digital dan Kalibrasi Alat Ukur</t>
  </si>
  <si>
    <t>100 %</t>
  </si>
  <si>
    <t>Penjelasan Indikator Saskeg : Salah satu tolak ukur bahwa kualitas layanan pengujian dan kalibrasi meningkat, adalah perolehan PNBP pengujian dan kalibrasi terpenuhi pada akhir tahun mencapa 100% dari target PNBP yang telah ditetapkan, hal ini mengindikasikan bahwa banyak pemohon atau masyarakat datang ke BBPPT untuk mengajukan permohonan pengujian maupun kalibrasi yang disebabkan kepuasan mereka tehadap kualitas pelayanan di BBPPT yang semakin baik.</t>
  </si>
  <si>
    <t>Persentase (%) Pemenuhan SLA Pengujian Perangkat Digital dan Kalibrasi Alat Ukur</t>
  </si>
  <si>
    <t>96 %</t>
  </si>
  <si>
    <t>Penjelasan Indikator Sasaran Kegiatan :Sasaran kegiatan meningkatnya kualitas layanan pengujian dan kalibrasi alat ukur dapat diukur antara lain dengan melihat persentase pemenuhan Service Level Agreement (SLA) Pengujian dan kaibrasi alat ukur sebesar 96%. Cara menghitungnya adalah membandingkan antara jumlah penyelesaian permohonan pengujian dan kalibrasi sesuai Jangka Waktu Pelaksanaan Pengujian dalam Keputusan Kepala BBPPT Nomor 70 Tahun 2024 tentang Standar Pelayanan BBPPT, dibandingkan dengan jumlah permohonan pengujian dan kalibrasi yang masuk pada tahun berjalan.Jika target pemenuhan SLA tercapai 96%, maka menunjukkan/mengindikasikan bahwa kualitas layanan pengujian perangkat digital dan kalibrasi alat ukur meningkat</t>
  </si>
  <si>
    <t>Dit Pengendalian Infrastruktur Digital</t>
  </si>
  <si>
    <t>Monitoring dan Pengendalian Spektrum Frekuensi Radio, Perangkat Digital dan Kualitas Layanan Telekomunikasi</t>
  </si>
  <si>
    <t>Meningkatnya kualitas pengendalian spektrum frekuensi radio, perangkat telekomunikasi dan layanan telekomunikasi</t>
  </si>
  <si>
    <t>Persentase tingkat kepatuhan standar teknis alat dan/atau perangkat telekomunikasi dan digital</t>
  </si>
  <si>
    <t>Penjelasan Indikator Sasaran Kegiatan : indikator kinerja "persentase kepatuhan alat telekomunikasi dan/atau perangkat telekomunikasi yang memenuhi standar teknis" merupakan Prosentase kepatuhan dari pengguna dan penjual alat dan perangkat telekomunikasi yang beredar di masyarakat baik peredaran secara online di e-commerce maupun secara offline yang bersertifikat dan sesuai dengan standar teknis. Diukur per tahun oleh UPT seluruh wilayahRelevansi Sasaran Kegiatan dengan Sasaran Programnya : Sasaran Kegiatan "Meningkatnya kualitas pengendalian spektrum frekuensi radio, perangkat telekomunikasi dan layanan telekomunikasi" mendukung pencapaian sasaran program "Meningkatnya kualitas internet broadband Nasional" karena terwujudnya tertib penggunaan SFR sesuai perijinan, terwujudnya kepatuhan penggunaan alat dan/atau perangkat telekomunikasi serta layanan telekomunikasi mobile dan fixed broadband yang memenuhi standar kualitas pelayanan merupakan faktor penting dalam meningkatnya kualitas internet broadband</t>
  </si>
  <si>
    <t>Persentase penanganan sanksi administrasi Spektrum Frekuensi Radio dan Alat dan/atau Perangkat Telekomunikasi</t>
  </si>
  <si>
    <t>Penjelasan Indikator Sasaran Kegiatan :Indikator Kinerja "Persentase penanganan sanksi administrasi Spektrum Frekuensi Radio dan Alat dan/atau Perangkat Telekomunikasi" merupakan penanganan denda administrasi terhadap spektrum frekuensi radio dan alat dan perangkat telekomunikasi yang terindikasi telah melakukan pelanggaran penggunaan dan perdagangan yang tidak memiliki izin dan tidak sesuai dengan parameter teknis yang terdapat di aturan dan peraturan yang berlaku</t>
  </si>
  <si>
    <t>Persentase Operasional Perangkat Sistem Monitoring Frekuensi Radio (SMFR)</t>
  </si>
  <si>
    <t>85 Persen</t>
  </si>
  <si>
    <t>Indikator ini untuk mengukur kondisi perangkat di UPT serta pemanfaatannya dalam kegiatan monitoring spektrum frekuensi radio. Perangkat yang masuk dalam perhitungan hanya stasiun monitor tetap/transportable dan stasiun bergerak. Pengukuran dilaksanakan oleh Pusat Monitoring Telekomunikasi (PMT) dan Balmon SFR</t>
  </si>
  <si>
    <t>Persentase (%) Tersedianya Data Hasil Pengukuran Kualitas Layanan</t>
  </si>
  <si>
    <t>Indikator ini mengukur kualitas layanan terhadap penyelenggaraan jaringan bergerak seluler di 80% kabupaten/kota wilayah kerjaUPT, dengan pengecualian terhadap 3 kabupaten/kota di wilayah Papua.</t>
  </si>
  <si>
    <t>Persentase (%) Penanganan Gangguan Spektrum Frekuensi Radio</t>
  </si>
  <si>
    <t>95 Persen</t>
  </si>
  <si>
    <t>Indikator ini mengukur efektivitas dalam melakukan penanganan gangguan pada Spektrum Frekuensi Radio di seluruh dinas pada periode waktu tertentu.Persentase ini menunjukkan seberapa banyak laporan gangguan yang berhasil ditangani dibandingkan dengan total laporan yang diterima.Tujuan penanganan gangguan Spektrum Frekuensi Radio pada umumnya adalah memberikan perlindungan kepada pengguna Spektrum Frekuensi Radio yang telah mempunyai Izin Penggunaan Stasiun Radio dan menjaga agar tertib dalam penggunaan Spektrum Frekuensi Radio</t>
  </si>
  <si>
    <t>Persentase kepatuhan alat telekomunikasi dan/atau perangkat telekomunikasi yang memenuhi standar teknis</t>
  </si>
  <si>
    <t>Indikator ini dicapai melalui pengawasan dan pengendalian terhadap peredaran alat dan/atau perangkat telekomunikasi dan digital yang dibuat, dirakit, dan/atau dimasukkan untuk diperdagangkan dan/atau digunakan di wilayah Negara Republik Indonesia.</t>
  </si>
  <si>
    <t>Direktorat Jenderal Ekosistem Digital</t>
  </si>
  <si>
    <t>Sekretariat Ditjen Ekosistem Digital</t>
  </si>
  <si>
    <t>Pengelolaan Keuangan, BMN dan Umum Direktorat Jenderal Ekosistem Digital</t>
  </si>
  <si>
    <t>Meningkatnya kualitas tata kelola Ditjen Ekosistem Digital yang transparan,akuntabel, bersih dan efisien</t>
  </si>
  <si>
    <t>Nilai Indeks Reformasi Birokrasi Ditjen Ekosistem Digital Tahun 2025</t>
  </si>
  <si>
    <t>84 Nilai</t>
  </si>
  <si>
    <t>Nilai Akuntabilitas Kinerja (AKIP) Ditjen Ekosistem Digital Tahun 2025</t>
  </si>
  <si>
    <t>75 Nilai</t>
  </si>
  <si>
    <t>Program Pengembangan dan Penguatan Ekosistem dan Ruang Digital</t>
  </si>
  <si>
    <t>Persentase (%) Batas Tertinggi Temuan Hasil Pemeriksaan BPK di Ditjen Ekosistem Digital Tahun 2025</t>
  </si>
  <si>
    <t>1
 Persentase</t>
  </si>
  <si>
    <t>Persentase Penyelesaian Tindak Lanjut Hasil Pemeriksaan BPK Pada Tahun Berjalan di Ditjen Ekosistem Digital pada Tahun 2025</t>
  </si>
  <si>
    <t>70
 Persentase</t>
  </si>
  <si>
    <t>Nilai Kinerja Anggaran Ditjen Ekosistem Digital Tahun 2025</t>
  </si>
  <si>
    <t>88 Nilai</t>
  </si>
  <si>
    <t>Persentase Penyelesaian Tindak Lanjut Hasil Pemeriksaan BPK Tahun Pada Sebelumnya di Ditjen Ekosistem Digital pada Tahun 2025</t>
  </si>
  <si>
    <t>30
 Persentase</t>
  </si>
  <si>
    <t>Nilai SPIP Ditjen Ekosistem Digital Tahun 2025</t>
  </si>
  <si>
    <t>3.5 Nilai</t>
  </si>
  <si>
    <t>Indeks kepuasan pegawai terhadap layanan Dukungan Manajemen Ditjen Ekosistem Digital Tahun 2025</t>
  </si>
  <si>
    <t>3.8 Nilai</t>
  </si>
  <si>
    <t>Nilai Kualitas Pelaporan Keuangan Unit Akuntansi Pembantu Pengguna Anggaran Eselon I (UAPPA E1)</t>
  </si>
  <si>
    <t>80 Nilai</t>
  </si>
  <si>
    <t>Nilai Kualitas Pelaporan Keuangan Unit Akuntansi Kuasa Pengguna Anggaran (UAKPA)</t>
  </si>
  <si>
    <t>Meningkatnya Pertumbuhan Industri Gim dan Startup Digital Nasional</t>
  </si>
  <si>
    <t>Direktorat Pengembangan Ekosistem Digital</t>
  </si>
  <si>
    <t>Pengembangan Ekosistem untuk Startup Digital dan Gim Nasional</t>
  </si>
  <si>
    <t>Meningkatnya Pengembangan Startup Digital</t>
  </si>
  <si>
    <t>Penambahan Kota yang memiliki Indeks Ekosistem Startup Digital Tier 1</t>
  </si>
  <si>
    <t>TBD TBD</t>
  </si>
  <si>
    <t>Target pada Dokumen Renja belum ada, namun telah ditetapkan pada Dokumen Perjanjian Kinerja dengan target sebesar 10%</t>
  </si>
  <si>
    <t>Rasio Startup yang Berhasil Scale Up</t>
  </si>
  <si>
    <t>Meningkatnya Pertumbuhan Ekosistem Gim Nasional</t>
  </si>
  <si>
    <t>Persentase pertumbuhan pengembangan dan penerbit gim lokal</t>
  </si>
  <si>
    <t>Target pada Dokumen Renja belum ada, namun telah ditetapkan pada Dokumen Perjanjian Kinerja dengan target sebesar 2%</t>
  </si>
  <si>
    <t>Tingkat kesesuaian penerbit gim yang beredar di Indonesia</t>
  </si>
  <si>
    <t>Target pada Dokumen Renja Eksisting belum ada, namun telah diusulkan pada Dokumen Renstra/Renja revisi</t>
  </si>
  <si>
    <t>Meningkatnya Produktivitas di Sektor-sektor Prioritas dengan Pemanfaatan Teknologi Digital</t>
  </si>
  <si>
    <t>Dit. Kecerdasan Artifisial dan Ekosistem Teknologi Baru</t>
  </si>
  <si>
    <t>Pengembangan Inovasi Digital dan Teknologi Baru</t>
  </si>
  <si>
    <t>Meningkatnya Digitalisasi di Sektor Strategis</t>
  </si>
  <si>
    <t>Tingkat maturitas digital di sektor prioritas</t>
  </si>
  <si>
    <t>Belum ada target kinerja pada dokumen RENJA, Indikator ini tidak ada pada dokumen perencanaan yang akan di revisi.</t>
  </si>
  <si>
    <t>Meningkatnya Inovasi Digital Berbasis Teknologi Baru</t>
  </si>
  <si>
    <t>Persentase pertumbuhan inovasi digital berbasis teknologi baru</t>
  </si>
  <si>
    <t>Persentase pertumbuhan inovasi digital berbasis greentech</t>
  </si>
  <si>
    <t>Meningkatnya Pertumbuhan Industri Pos Logistik dan Penyiaran</t>
  </si>
  <si>
    <t>Direktorat Pos dan Penyiaran</t>
  </si>
  <si>
    <t>Pengembangan Industri Pos dan Penyiaran</t>
  </si>
  <si>
    <t>Meningkatnya Pemerataan Layanan Pos di Seluruh Wilayah Indonesia</t>
  </si>
  <si>
    <t>Persentase kecamatan yang memiliki titik layanan pos</t>
  </si>
  <si>
    <t>69,5
 Persen</t>
  </si>
  <si>
    <t>Meningkatnya Kualitas dan Daya Saing Penyelenggara Pos Logistik</t>
  </si>
  <si>
    <t>Peningkatan Indeks kualitas regulasi/kebijakan bidang pos logistik</t>
  </si>
  <si>
    <t>2 Poin</t>
  </si>
  <si>
    <t>Integrated Index for Postal Development (2IPD)</t>
  </si>
  <si>
    <t>60 Poin</t>
  </si>
  <si>
    <t>Indeks Kinerja Industri Pos Nasional</t>
  </si>
  <si>
    <t>2,5 Poin</t>
  </si>
  <si>
    <t>Menguatnya Tata Kelola untuk Mendukung Keberlanjutan Industri Penyiaran</t>
  </si>
  <si>
    <t>Peningkatan Skor Indeks kualitas regulasi/kebijakan bidang penyiaran</t>
  </si>
  <si>
    <t>Indeks kualitas penyelenggaraan penyiaran</t>
  </si>
  <si>
    <t>Target kinerja belum ditetapkan</t>
  </si>
  <si>
    <t>Meningkatnya Kualitas Layanan Publik Bidang Ekosistem Digital</t>
  </si>
  <si>
    <t>Direktorat Layanan Ekosistem Digital</t>
  </si>
  <si>
    <t>Layanan Publik Bidang Pos Logistik, Penyiaran, Telekomunikasi, dan Informatika</t>
  </si>
  <si>
    <t>Mendorong Peningkatan Keandalan Layanan Publik Bidang Pos Logistik, Penyiaran, dan Telekomunikasi</t>
  </si>
  <si>
    <t>Indeks Kepuasan terhadap Layanan Publik bidang Pos</t>
  </si>
  <si>
    <t>3,5 Nilai</t>
  </si>
  <si>
    <t>Indeks Kepuasan terhadap Layanan Publik bidang Penyiaran</t>
  </si>
  <si>
    <t>Indeks Kepuasan terhadap Layanan Publik bidang Telekomunikasi</t>
  </si>
  <si>
    <t>Persentase (%) Capaian target PNBP Pos</t>
  </si>
  <si>
    <t>Persentase (%) Capaian target PNBP Penyiaran</t>
  </si>
  <si>
    <t>Direktorat Pengendalian Ekosistem Digital</t>
  </si>
  <si>
    <t>Pengelolaan data dan pengendalian bidang ekosistem digital</t>
  </si>
  <si>
    <t>Meningkatnya kepatuhan penyelenggaraan telekomunikasi, pos dan penyiaran</t>
  </si>
  <si>
    <t>Tingkat Kepatuhan Pemenuhan Kewajiban Penyelenggara Telekomunikasi, Pos logistik, dan Penyiaran</t>
  </si>
  <si>
    <t>Persentase Realisasi Penerimaan PNBP BHP Telekomunikasi</t>
  </si>
  <si>
    <t>Persentase Realisasi Penerimaan PNBP Kontribusi Penyelenggaraan LPU</t>
  </si>
  <si>
    <t>Meningkatnya Kualitas Pengelolaan Data dan Monitoring Kualitas Layanan Bidang Ekosistem Digital</t>
  </si>
  <si>
    <t>Tingkat ketersediaan data bidang pos logistik</t>
  </si>
  <si>
    <t>Tingkat kualitas layanan pos logistik</t>
  </si>
  <si>
    <t>Tingkat ketersediaan data bidang penyiaran</t>
  </si>
  <si>
    <t>Tingkat kualitas layanan penyiaran</t>
  </si>
  <si>
    <t>Tingkat ketersediaan data bidang telekomunikasi</t>
  </si>
  <si>
    <t>BADAN AKSESIBILITAS TELEKOMUNIKASI DAN INFORMASI</t>
  </si>
  <si>
    <t>SATUAN PEMERIKSAAN INTERN</t>
  </si>
  <si>
    <t>Pengelolaan Keuangan, BMN dan Umum BAKTI</t>
  </si>
  <si>
    <t>Meningkatnya kualitas manajemen keuangan dan BMN yang tertib dan sesuai peraturan perundangan BAKTI</t>
  </si>
  <si>
    <t>Persentase (%) Batas Tertinggi Temuan Hasil Pemeriksaan BPK di BAKTI Tahun 2025</t>
  </si>
  <si>
    <t>Persentase (%) Penyelesaian Tindak Lanjut Hasil Pemeriksaan BPK Tahun Pada Sebelumnya di BAKTI pada Tahun 2025</t>
  </si>
  <si>
    <t>Nilai Maturitas SPIP BAKTI Tahun 2025</t>
  </si>
  <si>
    <t>DIREKTORAT SUMBER DAYA DAN ADMINISTRASI</t>
  </si>
  <si>
    <t>Indeks Kepuasan Pegawai Terhadap layanan Dukungan Manajemen BAKTI Tahun 2025</t>
  </si>
  <si>
    <t>Nilai EKA BLU BAKTI Tahun 2025 pada Aplikasi SMART</t>
  </si>
  <si>
    <t>DIREKTORAT KEUANGAN</t>
  </si>
  <si>
    <t>Meningkatnya cakupan dan kualitas layanan broadband di wilayah non komersial</t>
  </si>
  <si>
    <t>DIREKTORAT INFRASTRUKTUR</t>
  </si>
  <si>
    <t>Penyediaan dan Pengelolaan Infrastruktur Telekomunikasi dan Informasi</t>
  </si>
  <si>
    <t>Terselenggaranya Aksesibilitas Telekomunikasi dan Informasi di Wilayah Pelayanan Universal Telekomunikasi dan Informatika</t>
  </si>
  <si>
    <t>Jumlah Lokasi Yang Terjangkau Jaringan Bergerak Seluler (Base Tranceiver Station/Lastmile 4 di Daerah 3T (Kumulatif)</t>
  </si>
  <si>
    <t>7.300
 Lokasi</t>
  </si>
  <si>
    <t>Jumlah Kapasitas Penyediaan Satelit Multifungsi (SATRIA) (Kumulatif)</t>
  </si>
  <si>
    <t>150 Gbps</t>
  </si>
  <si>
    <t>Jumlah lokasi ketersediaan akses internet di wilayah Tertinggal, Terdepan, Terluar, kawasan prioritas, dan lokasi layanan publik (kumulatif)</t>
  </si>
  <si>
    <t>36.830
 Lokasi</t>
  </si>
  <si>
    <t>Persentase (%) rata-rata SLA 95% di 57 Kab/Kota Palapa Ring</t>
  </si>
  <si>
    <t>DIREKTORAT LAYANAN TELEKOMUNIKASI DAN INFORMASI MASYARAKAT DAN PEMERINTAH</t>
  </si>
  <si>
    <t>Penyediaan dan Pengelolaan Layanan Telekomunikasi dan Informasi untuk masyarakat dan pemerintah</t>
  </si>
  <si>
    <t>Terlaksananya Penyediaan &amp; Pengelolaan Layanan Telekomunikasi dan Informasi untuk Masyarakat dan Pemerintah</t>
  </si>
  <si>
    <t>Jumlah Solusi Ekosistem Dalam Rangka Peningkatan Produktivitas Masyarakat Melalui Pemanfaatan Infrastruktur dan Penguatan Ekosistem di WPUTI</t>
  </si>
  <si>
    <t>15
 Kelompok Masyarakat</t>
  </si>
  <si>
    <t>DIREKTORAT LAYANAN TELEKOMUNIKASI DAN INFORMASI BADAN USAHA</t>
  </si>
  <si>
    <t>Penyediaan dan Pengelolaan Layanan Telekomunikasi dan Informasi untuk Badan Usaha</t>
  </si>
  <si>
    <t>Terlaksananya penyediaan dan pengelolaan layanan telekomunikasi dan informasi untuk badan usaha</t>
  </si>
  <si>
    <t>Persentase (%) pelaksanan program Direktorat Layanan Telekomunikasi dan Informatika Badan Usaha dalam rangka Pemanfaatan Kapasitas Palapa Ring Barat 70%, Palapa Ring Tengah 45% Palapa Ring Timur 45%, dengan Service Level Agreement (SLA) Minimal 95%</t>
  </si>
  <si>
    <t>53 Persen</t>
  </si>
  <si>
    <t>KKE 2.2 - RINCIAN OUTPUT</t>
  </si>
  <si>
    <t>PENILAIAN MANDIRI MATURITAS PENYELENGGARAAN SPIP TERINTEGRASI
KEMENTERIAN KOMUNIKASI DAN INFORMATIKA
Periode Penilaian sampai dengan 30 Juni 2023</t>
  </si>
  <si>
    <t>KK 2.2 - PENILAIAN PENETAPAN TUJUAN - RINCIAN OUTPUT</t>
  </si>
  <si>
    <t>SASARAN STRATEGIS KL</t>
  </si>
  <si>
    <t>RINCIAN OUTPUT</t>
  </si>
  <si>
    <t>PENJAMIN KUALITAS</t>
  </si>
  <si>
    <t>URAIAN SASARAN KEGIATAN</t>
  </si>
  <si>
    <t>SASARAN KEGIATAN RELEVAN DENGAN SASPRO DAN MENGGAMBARKAN TUGAS DAN FUNGSI</t>
  </si>
  <si>
    <t>RINCIAN OUTPUT RELEVAN DENGAN SASARAN KEGIATAN</t>
  </si>
  <si>
    <t>Monumen Pers Nasional (Solo)</t>
  </si>
  <si>
    <t>Layanan Pemanfaatan Informasi Media Cetak dan Koleksi Benda Bersejarah Bagi Masyarakat</t>
  </si>
  <si>
    <t>100000
 Orang</t>
  </si>
  <si>
    <t>Sesaio</t>
  </si>
  <si>
    <t>Rancangan Peraturan Menteri tentang Layanan Komunikasi dan Informasi Publik Berbasis Digital bagi Penyandang Disabilitas</t>
  </si>
  <si>
    <t>1 Rancangan PerMen</t>
  </si>
  <si>
    <t>Sosialisasi dan Bimtek Kebijakan Standardisasi Pengelolaan Akses dan Aset Konten Informasi Publik</t>
  </si>
  <si>
    <t>700 Orang</t>
  </si>
  <si>
    <t>NSPK Pengelolaan Akses dan Aset Konten Informasi Publik</t>
  </si>
  <si>
    <t>1 NSPK</t>
  </si>
  <si>
    <t>NSPK Standarisasi Konten Program Prioritas Pemerintah</t>
  </si>
  <si>
    <t>Pengelolaan Konten Kontra Narasi</t>
  </si>
  <si>
    <t>xxx Kegiatan</t>
  </si>
  <si>
    <t>Konten Informasi Publik Program Prioritas Pemerintah</t>
  </si>
  <si>
    <t>SESUAI</t>
  </si>
  <si>
    <t>Layanan Manajemen Aset dan Aksesibilitas Konten Informasi Publik</t>
  </si>
  <si>
    <t>Monitoring Isu dalam Pengelolaan Komunikasi Publik</t>
  </si>
  <si>
    <t>Monitoring dan Evaluasi Kualitas Konten Informasi K/L/D</t>
  </si>
  <si>
    <t>Aplikasi Monitoring Isu Berbagi Pakai</t>
  </si>
  <si>
    <t>1 Sistem Informasi</t>
  </si>
  <si>
    <t>Aplikasi Umum Layanan Informasi Publik Bagi K/L/D</t>
  </si>
  <si>
    <t>Kepatuhan Dalam Pelaksanaan Keterbukaan Informasi Publik</t>
  </si>
  <si>
    <t>Rancangan Revisi UU KIP</t>
  </si>
  <si>
    <t>1 RUU</t>
  </si>
  <si>
    <t>Bimtek PPID</t>
  </si>
  <si>
    <t>400 Orang</t>
  </si>
  <si>
    <t>Meningkatnya kualitas tata kelola dan penyelenggaraan komunikasi publik</t>
  </si>
  <si>
    <t>Rancangan Peraturan Presiden Sistem Komunikasi Publik Nasional (SKPN)</t>
  </si>
  <si>
    <t>1 R.Perpres</t>
  </si>
  <si>
    <t>Rekomendasi Hasil Survey Indeks KPIP</t>
  </si>
  <si>
    <t>1
 Rekomendasi Kebijakan</t>
  </si>
  <si>
    <t>NSPK Bidang Konkuren Komunikasi Publik</t>
  </si>
  <si>
    <t>NSPK Bidang Komunikasi Publik</t>
  </si>
  <si>
    <t>3 NSPK</t>
  </si>
  <si>
    <t>Rencana Komunikasi Strategis Pemerintah Tahunan</t>
  </si>
  <si>
    <t>8 Dokumen</t>
  </si>
  <si>
    <t>Bimbingan Teknis Implementasi Sub Urusan Komunikasi dan Informasi</t>
  </si>
  <si>
    <t>2000 Orang</t>
  </si>
  <si>
    <t>Pengelolaan Komunikasi Strategis Pemerintah</t>
  </si>
  <si>
    <t>12 Kegiatan</t>
  </si>
  <si>
    <t>Pengelolaan Krisis Komunikasi Nasional</t>
  </si>
  <si>
    <t>Pengelolaan dan Diseminasi Informasi Terkait Makan Siang Bergizi</t>
  </si>
  <si>
    <t>13818750
 Orang</t>
  </si>
  <si>
    <t>Pedoman Kemitraan Lembaga Informasi dan Kehumasan</t>
  </si>
  <si>
    <t>1 Pedoman</t>
  </si>
  <si>
    <t>Rancangan Peraturan Menteri Komdigi terkait Pengembangan Kemitraan Kehumasan Pemerintah</t>
  </si>
  <si>
    <t>1 R. Permen</t>
  </si>
  <si>
    <t>Rancangan Peraturan Menteri Komdigi terkait Pengembangan Kemitraan Komunikasi Strategis</t>
  </si>
  <si>
    <t>Kebijakan terkait Pranata Humas</t>
  </si>
  <si>
    <t>Aplikasi Kompetensi dan Karir JF Pranata Humas</t>
  </si>
  <si>
    <t>Kemitraan Kelembagaan Kehumasan Pemerintah (K/L/D)</t>
  </si>
  <si>
    <t>100 Lembaga</t>
  </si>
  <si>
    <t>Kemitraan Komunikasi Publik dengan Mitra Strategis</t>
  </si>
  <si>
    <t>150 Lembaga</t>
  </si>
  <si>
    <t>Museum Penerangan (TMII Jakarta)</t>
  </si>
  <si>
    <t>Terselenggaranya Layanan Informasi
 Benda-benda Bersejarah di Bidang Komunikasi dan Informasi</t>
  </si>
  <si>
    <t>Layanan Informasi Benda - Benda Bersejarah di Bidang Komunikasi dan Informasi</t>
  </si>
  <si>
    <t>50000 Orang</t>
  </si>
  <si>
    <t>Meningkatnya Kualitas Tata Kelola Ditjen KPM yang Bersih dan Efisien</t>
  </si>
  <si>
    <t>Layanan Manajemen Keuangan</t>
  </si>
  <si>
    <t>3 Dokumen</t>
  </si>
  <si>
    <t>Layanan BMN</t>
  </si>
  <si>
    <t>Layanan Hukum</t>
  </si>
  <si>
    <t>Layanan Umum</t>
  </si>
  <si>
    <t>Layanan Perkantoran</t>
  </si>
  <si>
    <t>Layanan Sarana Internal</t>
  </si>
  <si>
    <t>76 Unit</t>
  </si>
  <si>
    <t>Layanan Manajemen SDM</t>
  </si>
  <si>
    <t>Layanan Perencanaan dan Penganggaran</t>
  </si>
  <si>
    <t>2 Dokumen</t>
  </si>
  <si>
    <t>Layanan Pemantauan dan Evaluasi</t>
  </si>
  <si>
    <t>Mewujudkan ekosistem media yang sehat di era digital</t>
  </si>
  <si>
    <t>Kebijakan Pengembangan Ekosistem Media</t>
  </si>
  <si>
    <t>NSPK Pengelolaan Relasi Media</t>
  </si>
  <si>
    <t>Pengelolaan Relasi dan Pengembangan Media</t>
  </si>
  <si>
    <t>0 Kegiatan</t>
  </si>
  <si>
    <t>Pengelolaan Kerja Sama Media Massa</t>
  </si>
  <si>
    <t>Pengelolaan Kanal Redaksi Nasional</t>
  </si>
  <si>
    <t>Pengelolaan Engagement Publik Melalui Media</t>
  </si>
  <si>
    <t>Pengelolaan Penerbitan Izin dan Rekomendasi Kegiatan Jurnalistik Media Asing</t>
  </si>
  <si>
    <t>50 Lembaga</t>
  </si>
  <si>
    <t>Pembinaan Jabatan Fungsional Bidang Penyiaran</t>
  </si>
  <si>
    <t>3900 Orang</t>
  </si>
  <si>
    <t>Layanan Organisasi dan Tata Kelola Internal</t>
  </si>
  <si>
    <t>Layanan Data dan Informasi</t>
  </si>
  <si>
    <t>341 Unit</t>
  </si>
  <si>
    <t>13 Dokumen</t>
  </si>
  <si>
    <t>7 Dokumen</t>
  </si>
  <si>
    <t>17 Dokumen</t>
  </si>
  <si>
    <t>Dukungan Konferensi dan Event Pengembangan Teknologi di Bidang Pos dan Informatika</t>
  </si>
  <si>
    <t>2 Kegiatan</t>
  </si>
  <si>
    <t>Fasilitasi Digital Technopreneur</t>
  </si>
  <si>
    <t>5 Start Up</t>
  </si>
  <si>
    <t>Fasilitasi Akselerasi Startup Game</t>
  </si>
  <si>
    <t>10 Start Up</t>
  </si>
  <si>
    <t>Ekosistem Startup Digital Kota</t>
  </si>
  <si>
    <t>3 Kota</t>
  </si>
  <si>
    <t>Tidak memiliki Indikator Kinerja Output</t>
  </si>
  <si>
    <t>Rekomendasi Kebijakan Implementasi Klasifikasi Gim</t>
  </si>
  <si>
    <t>1
 Rekomendasi kebijakan</t>
  </si>
  <si>
    <t>Fasilitasi Pemanfaatan Teknologi Digital di Sektor Pertanian</t>
  </si>
  <si>
    <t>16 Kelompok Masyarakat</t>
  </si>
  <si>
    <t>Fasilitasi Pemanfaatan Teknologi Digital di Sektor Perikanan</t>
  </si>
  <si>
    <t>6 Kelompok Masyarakat</t>
  </si>
  <si>
    <t>Fasilitasi Pemanfaatan Teknologi Digital di Sektor Logistik</t>
  </si>
  <si>
    <t>5 Kelompok Masyarakat</t>
  </si>
  <si>
    <t>Fasilitasi bagi Penyelenggara Jasa Telekomunikasi Bidang IoT</t>
  </si>
  <si>
    <t>1 Industri</t>
  </si>
  <si>
    <t>Sistem Informasi Bidang Telekomunikasi (OM) - Aplikasi IoT Bizlator</t>
  </si>
  <si>
    <t>1 Aplikasi</t>
  </si>
  <si>
    <t>Sistem Informasi Publikasi dan Promosi Bidang AI dan Teknologi Baru (OM)</t>
  </si>
  <si>
    <t>2 Aplikasi</t>
  </si>
  <si>
    <t>Fasilitasi Pemanfaatan Teknologi Digital pada Kawasan Pertumbuhan</t>
  </si>
  <si>
    <t>Fasilitasi Pengembangan Inovasi Kecerdasan Artifisial Dan Teknologi Baru</t>
  </si>
  <si>
    <t>Rekomendasi kebijakan Sandbox teknologi, inovasi dan bisnis</t>
  </si>
  <si>
    <t>Rekomendasi Kebijakan Skema Pengaturan AI dan Teknologi Baru</t>
  </si>
  <si>
    <t>Peraturan Presiden tentang Penyelenggaraan Kewajiban Pelayanan Umum Layanan Pos Universal</t>
  </si>
  <si>
    <t>Rekomendasi Kebijakan Pemberian Subsidi Operasional Pada Layanan Pos Universal</t>
  </si>
  <si>
    <t>Fasilitasi Penyelenggara Pos dalam Pemanfaatan Aplikasi Geospasial Pos</t>
  </si>
  <si>
    <t>20 Badan usaha</t>
  </si>
  <si>
    <t>Aplikasi Sistem Informasi Manajemen LPU (SIM LPU)</t>
  </si>
  <si>
    <t>2 Modul Aplikasi</t>
  </si>
  <si>
    <t>Keputusan Menteri Tentang Pedoman Penilaian Kinerja Penyelenggara Pos dan Status Mutu Penyelenggaraan Pos</t>
  </si>
  <si>
    <t>1 Rancangan Peraturan</t>
  </si>
  <si>
    <t>Rekomendasi Kebijakan Penyelenggaraan Pos 5PL</t>
  </si>
  <si>
    <t>Rekomendasi Kebijakan Penerapan Kantor Pos Digital</t>
  </si>
  <si>
    <t>Rekomendasi Kebijakan Penerapan Logistik Halal dan Logistik Hijau</t>
  </si>
  <si>
    <t>2
 Rekomendasi Kebijakan</t>
  </si>
  <si>
    <t>Rekomendasi Kebijakan Peta Jalan Peningkatan Postal Development Level Indonesia</t>
  </si>
  <si>
    <t>Rekomendasi Kebijakan Revitalisasi Prangko</t>
  </si>
  <si>
    <t>Rekomendasi Kebijakan Tarif LPU</t>
  </si>
  <si>
    <t>Rekomendasi Kebijakan Penerapan Regulasi Predatory Pricing</t>
  </si>
  <si>
    <t>Rekomendasi Kebijakan Penilaian Kinerja dan Status Mutu Penyelenggara Pos</t>
  </si>
  <si>
    <t>Koordinasi Pembuatan Platform Orkestrator Kolaborasi Logistik Bersama</t>
  </si>
  <si>
    <t>9 kegiatan</t>
  </si>
  <si>
    <t>Fasilitasi Kerjasama Penyelenggara Pos dengan UMKM</t>
  </si>
  <si>
    <t>75000 UMKM</t>
  </si>
  <si>
    <t>Fasilitasi Pemanfaatan Layanan Tabungan Pos bagi Masyarakat</t>
  </si>
  <si>
    <t>1 Badan usaha</t>
  </si>
  <si>
    <t>Pengembangan Aplikasi Geospasial Pos (Geopos)</t>
  </si>
  <si>
    <t>1 Modul Aplikasi</t>
  </si>
  <si>
    <t>Platform Orkestrator Kolaborasi Logistik Bersama</t>
  </si>
  <si>
    <t>Aplikasi Dashboard Industri Pos</t>
  </si>
  <si>
    <t>Pemeliharaan Aplikasi Database Tarif Layanan Pos</t>
  </si>
  <si>
    <t>1 Unit</t>
  </si>
  <si>
    <t>Rancangan Peraturan Menteri Terkait Rencana Dasar Teknik Penyiaran</t>
  </si>
  <si>
    <t>Rekomendasi Kebijakan Terkait Penyelenggaraan Penyiaran</t>
  </si>
  <si>
    <t>4
 Rekomendasi Kebijakan</t>
  </si>
  <si>
    <t>Rekomendasi Kebijakan Terkait Rencana Dasar Teknik Penyiaran</t>
  </si>
  <si>
    <t>Fasilitasi Implementasi KBLI Penyiaran</t>
  </si>
  <si>
    <t>Terdapat update informasi kinerja yang memungkinkan RO ini sudah tidak lagi digunakan, karena tidak ada informasi RO dan Targetnya pada Aplikasi Renja (KRISNA)</t>
  </si>
  <si>
    <t>Fasilitasi Peningkatan Kualitas Lembaga Penyiaran Jasa Penyiaran Radio</t>
  </si>
  <si>
    <t>Rekomendasi Kebijakan Terkait Model Bisnis Dan Daya Saing Industri Penyiaran</t>
  </si>
  <si>
    <t>OM - Prasarana Digital Broadcasting System</t>
  </si>
  <si>
    <t>31
 Titik/Lokasi</t>
  </si>
  <si>
    <t>Pengembangan Dashboard Pembangunan, Jangkauan, dan Utilisasi Infrastruktur Penyiaran Publik</t>
  </si>
  <si>
    <t>Prasarana Digital Broadcasting System (DBS)</t>
  </si>
  <si>
    <t>6 Titik/Lokasi</t>
  </si>
  <si>
    <t>Tidak memiliki Indikator Kinerja</t>
  </si>
  <si>
    <t>Layanan Publik Bidang Telekomunikasi</t>
  </si>
  <si>
    <t>1 layanan</t>
  </si>
  <si>
    <t>Layanan Publik Bidang Penyiaran</t>
  </si>
  <si>
    <t>Layanan Publik Bidang Pos</t>
  </si>
  <si>
    <t>Aplikasi Sistem Perizinan Online Bidang Pos</t>
  </si>
  <si>
    <t>Sistem Informasi Manajemen Layanan Publik Bidang Penyiaran</t>
  </si>
  <si>
    <t>3 Modul Aplikasi</t>
  </si>
  <si>
    <t>Sistem Perizinan Telekomunikasi (OM)</t>
  </si>
  <si>
    <t>2 Unit</t>
  </si>
  <si>
    <t>Pusat Monitoring Telekomunikasi, Pos dan Penyiaran (OM)</t>
  </si>
  <si>
    <t>Laporan kepatuhan wajib lapor pos, telekomunikasi dan penyiaran yang memenuhi ketentuan peraturan perundang-undangan</t>
  </si>
  <si>
    <t>4903 Laporan</t>
  </si>
  <si>
    <t>Sistem informasi pengolahan data dan pelaporan penyelenggaraan pos dan Informatika</t>
  </si>
  <si>
    <t>3 Sistem Informasi</t>
  </si>
  <si>
    <t>Koordinasi Pusat Monitoring Telekomunikasi, Pos dan Penyiaran</t>
  </si>
  <si>
    <t>1 kegiatan</t>
  </si>
  <si>
    <t>Perangkat Pengukuran QoS Telekomunikasi dan Penyiaran</t>
  </si>
  <si>
    <t>8 Unit</t>
  </si>
  <si>
    <t>Pusat Monitoring Telekomunikasi, Pos dan Penyiaran</t>
  </si>
  <si>
    <t>Direktorat Jenderal Infrastruktur Digital</t>
  </si>
  <si>
    <t>LAYANAN PERIZINAN DAN SERTIFIKASI INFRASTRUKTUR DIGITAL</t>
  </si>
  <si>
    <t>6 Layanan</t>
  </si>
  <si>
    <t>SISTEM INFORMASI MANAJEMEN SPEKTRUM (SIMS)</t>
  </si>
  <si>
    <t>PEMELIHARAAN SISTEM INFORMASI MANAJEMEN SPEKTRUM (SIMS)</t>
  </si>
  <si>
    <t>Layanan Pengelolaan PNBP BHP SFR, dan Sertifikasi</t>
  </si>
  <si>
    <t>Pemeliharaan Infrastruktur dan Internet Perkantoran</t>
  </si>
  <si>
    <t>Layanan Hubungan Masyarakat dan Informasi</t>
  </si>
  <si>
    <t>4 Layanan</t>
  </si>
  <si>
    <t>18 Unit</t>
  </si>
  <si>
    <t>3 Layanan</t>
  </si>
  <si>
    <t>Layanan Kepatuhan Internal dan Manajemen Risiko</t>
  </si>
  <si>
    <t>Rekomendasi kebijakan tentang Pedoman Pembangunan dan Penggunaan Bersama Menara Telekomunikasi</t>
  </si>
  <si>
    <t>1 RPerpres</t>
  </si>
  <si>
    <t>Rekomendasi Kebijakan Penyelenggaraan Layanan Telekomunikasi Universal</t>
  </si>
  <si>
    <t>Rekomendasi Kebijakan Skema Penyediaan Fiber Optik pada Daerah (Kecamatan) Belum Terjangkau Serat Optik</t>
  </si>
  <si>
    <t>2 Kecamatan</t>
  </si>
  <si>
    <t>Rekomendasi kebijakan fasilitasi infrastruktur pasif bersama terkait Sarana Jaringan Utilitas Terpadu (SJUT)</t>
  </si>
  <si>
    <t>Fasilitasi Penyelenggara Jaringan Bergerak Seluler dalam Penggelaran Jaringan 5G</t>
  </si>
  <si>
    <t>3 Badan Usaha</t>
  </si>
  <si>
    <t>Fasilitasi Penggelaran Infrastruktur dan Peningkatan Kualitas Layanan Seluler 4G oleh Penyelenggara Jaringan Bergerak Seluler</t>
  </si>
  <si>
    <t>Akses Internet Tetap Pitalebar untuk Pelaku Usaha Rumah Tangga dan Fasilitas Umum (Fasilitas Pendidikan, Kesehatan dan Kantor Pemerintah)</t>
  </si>
  <si>
    <t>1000
 Titik/Lokasi</t>
  </si>
  <si>
    <t>Lembaga/ Instansi yang Terintegrasi Sistem Informasi Kebencanaan</t>
  </si>
  <si>
    <t>OM Sistem Informasi Kebencanaan Melalui Pelanggan Telekomunikasi, Lembaga Penyiaran dan Akses Digital</t>
  </si>
  <si>
    <t>3 Unit</t>
  </si>
  <si>
    <t>Pemerintah Kabupaten/ Kota yang Difasilitasi Mengimplementasikan Layanan Panggilan Darurat 112</t>
  </si>
  <si>
    <t>Kajian tentang Penyediaan Sistem Komunikasi Nasional untuk Pelindungan Masyarakat dan Penanggulangan Bencana (PMPB)</t>
  </si>
  <si>
    <t>Rekomendasi Kebijakan yang Mendukung Optimalisasi Pemanfaatan Spektrum Frekuensi Radio untuk Layanan Broadband</t>
  </si>
  <si>
    <t>8 Rekomendasi Kebijakan</t>
  </si>
  <si>
    <t>Layanan Kesesuaian dan Harmonisasi Perangkat Digital</t>
  </si>
  <si>
    <t>2 layanan</t>
  </si>
  <si>
    <t>Fasilitasi Pengembangan Industri Perangkat Digital dalam Negeri</t>
  </si>
  <si>
    <t>1 lembaga</t>
  </si>
  <si>
    <t>RO diubah menjadi Fasilitasi Linkmatch Industri TIK Dalam NegeriTarget 1 industri</t>
  </si>
  <si>
    <t>Rekomendasi Kebijakan Perlindungan Pengguna Perangkat Telekomunikasi</t>
  </si>
  <si>
    <t>Rekomendasi Standardisasi Perangkat Digital Data Center dan Cloud</t>
  </si>
  <si>
    <t>7 Rekomendasi Kebijakan</t>
  </si>
  <si>
    <t>Saskeg diubah menjadi Meningkatnya pertumbuhan industri data center dan cloud Nasional</t>
  </si>
  <si>
    <t>Rekomendasi Kebijakan untuk Harmonisasi dan Inovasi Pemanfaatan Spektrum Frekuensi Radio</t>
  </si>
  <si>
    <t>Rekomendasi Kebijakan pengaturan spektrum frekuensi radio untuk keperluan layanan publik dan instansi pemerintah</t>
  </si>
  <si>
    <t>Rekomendasi Kebijakan Peta Jalan (Roadmap) Infrastruktur Digital</t>
  </si>
  <si>
    <t>Rekomendasi Kebijakan Valuasi Spektrum Frekuensi Radio Untuk Mendukung Keberlanjutan Industri Telekomunikasi</t>
  </si>
  <si>
    <t>Rekomendasi Kebijakan Peningkatan Dan Penyediaan Layanan Broadband Pada Pemerintah Daerah</t>
  </si>
  <si>
    <t>Rekomendasi Kebijakan Kerjasama
 Over-The-Top (OTT) Dengan Penyelenggara Jaringan</t>
  </si>
  <si>
    <t>Rekomendasi Kebijakan Evaluasi Penerapan Pentarifan, Interkoneksi Dan Kompetisi</t>
  </si>
  <si>
    <t>Rekomendasi Kebijakan Optimalisasi Pemanfaatan Spektrum Frekuensi Radio</t>
  </si>
  <si>
    <t>Rekomendasi Modernisasi Kebijakan Infrastruktur Digital Atas Reviu Regulasi Penyelenggaraan Telekomunikasi</t>
  </si>
  <si>
    <t>Rekomendasi Kebijakan Untuk Mendukung Industri Data Center Dalam Negeri</t>
  </si>
  <si>
    <t>saskeg diubah menjadi :Meningkatnya pertumbuhan industri data center dan cloud nasionalRO diubah menjadi
 :Rekomendasi kebijakan pengembangan data center dan cloud</t>
  </si>
  <si>
    <t>Akreditasi, Sertifikasi, dan Recognisi Ruang Lingkup BBPPT</t>
  </si>
  <si>
    <t>7 dokumen</t>
  </si>
  <si>
    <t>Layanan Kalibrasi Perangkat Alat Ukur</t>
  </si>
  <si>
    <t>Layanan Pengujian Perangkat Telekomunikasi dan Digital</t>
  </si>
  <si>
    <t>Rekomendasi Peningkatan Layanan BBPPT</t>
  </si>
  <si>
    <t>5 dokumen</t>
  </si>
  <si>
    <t>Hasil akhir dari RO ini adalah 4 dokumen, yang melingkupi:- Dokumen hasil survey IKM dan IIPP- Dokumen hasil penilaian dari KemenpanRB- Dokumen hasil forum konsultasi publik- Dokumen hasil evaluasi tarifNamun dikarenakan adanya efisiensi pada tahun 2025, BBPPT hanya akan melakukan di antaranya, yaitu survey IKM dan IIPP.Perubahan menjadi 2 Layanan</t>
  </si>
  <si>
    <t>Fasilitasi Pengujian untuk Inovasi dan Pengembangan Perangkat Digital Dalam Negeri</t>
  </si>
  <si>
    <t>1 Lembaga</t>
  </si>
  <si>
    <t>Pemeliharaan dan Kalibrasi Alat Pengujian Perangkat Telekomunikasi dan Digital</t>
  </si>
  <si>
    <t>79 Unit</t>
  </si>
  <si>
    <t>Pengelolaan Teknologi Informasi BBPPT</t>
  </si>
  <si>
    <t>RO ini mengarah pada pemeliharaan dan pengelolaan sistem informasi, di mana 1 unit yang ditargetkan merupakan 1 unit kesisteman yang terdapat di balai uji.RO ini melingkupi di antaranya:- Sistem informasi pengujian dan kalibrasi- Manajemen alat ukur- Pengelolaan jaringan di Balai UjiRO ini mendukung IKK 1.4 Persentase (%) Pemenuhan SLA Pengujian Perangkat Digital dan Kalibrasi Alat Ukur</t>
  </si>
  <si>
    <t>Pemenuhan Kapasitas Pengujian Perangkat Telekomunikasi dan Digital di BBPPT</t>
  </si>
  <si>
    <t>Perubahan di renstra dari 1 unit menjadi 3 unit</t>
  </si>
  <si>
    <t>REKOMENDASI KEBIJAKAN PENGELOLAAN SANKSI ADMINISTRATIF SPEKTRUM FREKUENSI RADIO DAN ALAT DAN/ATAU PERANGKAT TELEKOMUNIKASI</t>
  </si>
  <si>
    <t>4
 REKOMENDASI KEBIJAKAN</t>
  </si>
  <si>
    <t>Roadmap Pengembangan Sistem dan Perangkat Infrastruktur Digital 2025-2029</t>
  </si>
  <si>
    <t>LAYANAN PENGAWASAN DAN PENGENDALIAN SPEKTRUM FREKUENSI RADIO</t>
  </si>
  <si>
    <t>Layanan Perlindungan Pengguna Perangkat Telekomunikasi</t>
  </si>
  <si>
    <t>LAYANAN PENANGANAN PELANGGARAN STANDAR ALAT DAN/ATAU PERANGKAT TELEKOMUNIKASI &amp; DIGITAL</t>
  </si>
  <si>
    <t>PEMELIHARAAN SMFR</t>
  </si>
  <si>
    <t>4 Unit</t>
  </si>
  <si>
    <t>PEMELIHARAAN APLIKASI MONITORING,EVALUASI DAN PENERTIBAN SPEKTRUM FREKUENSI RADIO</t>
  </si>
  <si>
    <t>SISTEM MONITORING FREKUENSI RADIO (SMFR)</t>
  </si>
  <si>
    <t>5 Unit</t>
  </si>
  <si>
    <t>Layanan Audit Internal</t>
  </si>
  <si>
    <t>Berdasarkan Renja Tahun 2025, bukan termasuk PN</t>
  </si>
  <si>
    <t>Layanan Kerjasama Kegiatan BAKTI</t>
  </si>
  <si>
    <t>1 Dokumen</t>
  </si>
  <si>
    <t>OM BTS 4G
 /Lastmile</t>
  </si>
  <si>
    <t>787
 Titik/Lokasi</t>
  </si>
  <si>
    <t>Berdasarkan Renja 2025</t>
  </si>
  <si>
    <t>OM BTS 4G
 /Lastmile Papua dan Papua Barat</t>
  </si>
  <si>
    <t>3539
 Titik/Lokasi</t>
  </si>
  <si>
    <t>Berdasarkan Renja Tahun 2025</t>
  </si>
  <si>
    <t>OM Akses Internet</t>
  </si>
  <si>
    <t>33018
 Titik/Lokasi</t>
  </si>
  <si>
    <t>OM SATRIA 1</t>
  </si>
  <si>
    <t>150 Unit</t>
  </si>
  <si>
    <t>OM Akses Internet Papua dan Papua Barat</t>
  </si>
  <si>
    <t>3812
 Titik/Lokasi</t>
  </si>
  <si>
    <t>OM Palapa Ring</t>
  </si>
  <si>
    <t>57
 Kab/Kota</t>
  </si>
  <si>
    <t>Solusi Ekosistem</t>
  </si>
  <si>
    <t>Berdasarkan Renja Tahun 2025 Termasuk Non PN</t>
  </si>
  <si>
    <t>Kerjasama Badan Usaha</t>
  </si>
  <si>
    <t>4 Badan usaha</t>
  </si>
  <si>
    <t>KERTAS KERJA PENILAIAN STRUKTUR DAN PROSES
KK 3.1 - PENILAIAN STRUKTUR DAN PROSES EFEKTIVITAS DAN EFISIENSI PENCAPAIAN TUJUAN ORGANISASI (T1)</t>
  </si>
  <si>
    <t>Grad.</t>
  </si>
  <si>
    <t>Kriteria</t>
  </si>
  <si>
    <t>Cara Pengujian</t>
  </si>
  <si>
    <t>Direktorat Ekosistem Digital</t>
  </si>
  <si>
    <t>Kesimpulan Akhir PM</t>
  </si>
  <si>
    <t>Pembuktian Tepat</t>
  </si>
  <si>
    <t>Modus Tepat</t>
  </si>
  <si>
    <t>Kesimpulan Akhir PK</t>
  </si>
  <si>
    <t>Catatan Jika Nilai PK Berbeda</t>
  </si>
  <si>
    <t>Uraian Hasil Pengujian</t>
  </si>
  <si>
    <t>Simpulan Level</t>
  </si>
  <si>
    <t>K/L/D menegakkan integritas dan nilai etika dalam melaksanakan tugas dan fungsi organisasi</t>
  </si>
  <si>
    <t>A</t>
  </si>
  <si>
    <t>Penegakan integritas dan nilai etika telah diperbaiki secara berkelanjutan sehingga tercipta suasana kerja organisasi yang kondusif yang dapat mendorong kinerja para pegawai secara optimal</t>
  </si>
  <si>
    <t>D</t>
  </si>
  <si>
    <t>Bahwa Penegakan integritas dan nilai etika telah diperbaiki secara berkelanjutan sehingga tercipta suasana kerja organisasi yang kondusif yang dapat mendorong kinerja para pegawai secara optimal dibuktikan dengan keberhasilan pembangunan zona integritas di unit kerja dilingkungan Ditjen SDPPI dan monev kinerja organisasi dan evaluasi penilaian SKP pegawai yang dilaksanakan secara berkala.
 Bukti dukung :
 1. Penghargaan Pembangunan Zona Integritas dan Pelayanan PublikTahun 2024 dari Menkominfo (B)
 2. Usulan Satker lulus TPP ke TPI (B)
 3. SK Pembentukan Tim Manajemen Risiko dan Kepatuhan Internal) (Permenkomdigi No 1 Tahun 2025 tentang OTK Kemkomdigi) (B)
 4. Monev Penilaian SKP Pegawai (B)
 5. Monev Pembangunan ZI (B)
 6. Monev Pelayanan (B)
 7. Sosialisasi Zona Integritas 2024(C)
 8. Penilaian Perilaku SKP Pegawai Tahun 2024 (C)
 9. Pemberian Hukdis Pegawai (C)
 10. Standar Pelayanan (C)
 11. Pembinaan Jabatan Fungsional (D)
 12. Pakta Integritas (C)
 13. Perpres 7 Tahun 2016 (E)
 14. PP No 50 Tahun 2018 (E)
 15. Permenkominfo No. 9 Tahun 2021 tentang Kamus Kompetensi Teknis Bidang Komunikasi dan Informatika (E)
 16. PP 94 Tahun 2021 tentang Disiplin Pegawai Negeri Sipil (E) 
 17. PM Kominfo NOMOR : 25/PER/M.KOMINFO/12/2011 tentang Kode Etik Pegawai Kemkominfo (E)
 18. PM Kominfo No 41 Tahun 2014 tentang Pedoman Kehadiran Pegawai Kemkominfo (E)
 19. PM Kominfo No 1 Tahun 2017 tentang Pelaksanaan Pemberian Tunkin bagi Pegawai Kemkominfo, yang mengatur pemberian tunkin dan pengurangan tunkin bagi pelanggar kedisiplinan dan kinerja. (E)</t>
  </si>
  <si>
    <t>Bahwa Penegakan integritas dan nilai etika di Ditjen PPI telah diperbaiki secara berkelanjutan sehingga tercipta suasana kerja organisasi yang kondusif yang dapat mendorong kinerja para pegawai secara optimal melalui :- Penilaian e-kinerja pegawai (A-E)- Penandatanganan pakta integritas (A-E)- Rekap Pemotongan Tunkin (A-E)- Penjatuhan SK Disip 5 (A-E)- Kode Etik Pegawai (A-E)- Nodin terkait Implementasi BerAKHLAK</t>
  </si>
  <si>
    <t xml:space="preserve">Bahwa penegakan integritas dan nilai etika telah dilaksanakan oleh pegawai dalam pelaksanaan tugas dan fungsinya dalam organisasi dengan pelaksanaan monitoring tingkat kedisiplinan pegawai (pemberian tunkin dan hukuman dinas), dan pendataan kompetensi pegawai namun belum seluruh pegawai menjadi SDM Fungsional dengan penetapan kompetensi tertentu
</t>
  </si>
  <si>
    <t>Grad. E Bakti memiliki kebijakan penegakan integritas dan nilai etika untuk seluruh pegawaiDengan bukti dukung sebagai berikut:1. PMK 25 Th 2011 Kode Etik Pegawai Kominfo2. Permen KOMINFO No.3 TAHUN 2018. 3. Perdirut Nomor 1 Tahun 2023 Perubahan atas Peraturan Direktur Utama BAKTI No 5 Tahun 2021 tentang Pokok-Pokok Peraturan Kepegawaian 4. Perdirut 5 Th 2019 Peraturan Kepegawaian di BAKTI5. Kepdirut 60 th 2019 Penilaian Kinerja tahun Kinerja 2018Grad. DKebijakan penegakan integritas dan nilai etika organisasi telah dilakukan sosialisasi kepada seluruh pegawaiDengan bukti dukung sebagai berikut:1. Screenshot JDIH Kominfo2. Laporan Sosialisasi Anti Korupsi Okt 2022Grad. C Penegakan integritas dan nilai etika telah dilaksanakan dalam pelaksanaan tugas dan fungsinya di BaktiDengan bukti dukung sebagai berikut:1. Pakta Integritas Dit. Infra 20232. Pakta Integritas Para Kadiv 20193 Potongan remun 20194. Rekap kehadiran pegawai 2019 Daftar potongan disiplin 2023Grad. BKebijakan dan implementasi organisasi telah dievaluasi dengan melakukan revisi Perdirut untuk meningkatkan integritas dan nilai etika para pegawaiDengan bukti dukung sebagai berikut:1. Perdirut 5/2019 tentang Kepegawaian Bakti2. Perdirut 5/2021 tentang Kepegawaian Bakti3. Perdirut 1/2023 tentang Kepegawaian Bakti Grad ATerdapat kebijakan penegakan integritas dan nilai etika untuk seluruh pegawai dalam organisasi :1. Perdirut Nomor 1 Tahun 2023 Perubahan atas Peraturan Direktur Utama BAKTI No 5 Tahun 2021 tentang Pokok-Pokok Peraturan Kepegawaian2. Terlampir Notadinas No 216 tgl 4 September 2023 dari Direktur Utama Tertuju Seluruh Pejabat dan Pegawai di Lingkungan BAKTIBahwa BAKTI telah memiliki kebijakan penegakan integritas, nilai etika, penegakan disiplin, pemberian reward and punishment serta sistem berupa aplikasi untuk data kepegawaian.Dengan bukti dukung sebagai berikut:1. Permen Kominfo No.3/2018 dan Perdirut No.5/2019 (E)2. BAKTI Anti Fraud (D)3. Dokumen potongan remunerasi telah terdapat praktik penegakan disiplin (C)4. Perbaikan atas aturan kepegawaian (yang didalamnya juga mengatur prilaku). Perdirut BP3TI No. 3 Th 2018 menjadi Perdirut BAKTI No. 5 Tahun 2019. Perubahan ketentuan tersebut tertuang di Pasal 1 Perdirut BAKTI No. 5 tahun 2019. (B)5. Penggunakan aplikasi baik itu E-SKP dan SAP untuk data kepegawaian (B)</t>
  </si>
  <si>
    <t>B</t>
  </si>
  <si>
    <t>Kebijakan dan implementasi organisasi telah dievaluasi untuk meningkatkan integritas dan nilai etika para pegawai</t>
  </si>
  <si>
    <t>C</t>
  </si>
  <si>
    <t>Penegakan integritas dan nilai etika telah dilaksanakan oleh pegawai dalam pelaksanaan tugas dan fungsinya dalam organisasi</t>
  </si>
  <si>
    <t>Kebijakan penegakan integritas dan nilai etika organisasi telah dipahami oleh seluruh pegawai</t>
  </si>
  <si>
    <t>E</t>
  </si>
  <si>
    <t>Terdapat kebijakan penegakan integritas dan nilai etika untuk seluruh pegawai dalam organisasi</t>
  </si>
  <si>
    <t>Pengelolaan kompetensi SDM telah diperbaiki secara berkelanjutan dan secara optimal mampu mendukung pencapaian tujuan organisasi</t>
  </si>
  <si>
    <t>Bahwa Ditjen SDPPI telah menerapkan standar kompetensi dan telah berhasil meningkatkan kinerja yang memberikan dampak bagi pencapaian tujuan organisasi, Keberhasilan pencapaian kinerja organisasi dapat dihubungkan dengan kompetensi SDM-nya, dan setiap posisi dalam organisasi telah diisi oleh SDM sesuai dengan standar kompetensinya
 Bukti dukung :
 1. Pemetaan kebutuhan pengembangaan kompetensi pegawai (B)
 2. usulan pengembangan kompetensi tahun 2024 (B)
 3. Monev pengembangan kompetensi tahun 2024 (B)
 4. Anjab Pengelola SFR tahun 2024 (B)
 5. Evaluasi Tugas dan FUngsi PPNS 2025 (B)
 6. Standar kompetensi pegawai Tahun 2024 (C)
 7. Dokumen Pemetaan Jabatan (C)
 8. Dokumen Kebutuhan ASN dan PPPK (C)
 9. Pembinaan dan Uji Kompetensi Jabatan Fungsional PFR (C)
 10. Perpres 7 Tahun 2016 (E)
 11. PP No 50 Tahun 2018 (E)
 12. Permenkominfo No. 9 Tahun 2021 tentang Kamus Kompetensi Teknis Bidang Komunikasi dan Informatika (E)</t>
  </si>
  <si>
    <t>Bahwa Standar kompetensi telah diimplementasikan/dimanfaatkan dalam pengelolaan/pembinaan SDM di lingkungan Ditjen PPI - Rekrutmen JPT eselon I dan 2 (C)- Dokumen identifikasi kebutuhan Diklat (C)- Dokumen Penetapan pelaksanaan Diklat Kementerian Kominfo (C)- Laporan Rapat Penyusunan Tabel Rancang Bangun dan Naskah AkademikKurikulum Pendidikan dan Pelatihan Dasar – Dasar Teknis Bidang Pos, Telekomunikasi, dan Penyiaran (C)- Laporan kegiatan penyusunan Standar Kompetensi (D)- permenpan RB No. 38/2017 ttg standar kompetensi Jabatan ASN (E)- telah disusun draf final standar kompetensi teknis JPT Ditjen PPI (E)- kamus kompetensi telah ditetapkan Permen No 9Tahun 2021 tentang Kamus Kompetensi di Lingkungan Kominfo (E)- Pemetaan Nomenklatur Jabatan Pelaksana dan Pembahasan Manajemen Jabatan Pelaksana" (E)- Surat Pemanggilan Tes CAT (B)- Pemanggilan Uji Kompetensi Kenaikan Jenjang JF Analis Kebijakan (B)- SK Penetapan Jabatan Dirjen PPI (A)- Berita Acara Pelantikan Dir PPI (A)-Pakta Integritas (A)</t>
  </si>
  <si>
    <t xml:space="preserve">Bahwa terdapat Standar Kompetensi Jabatan Struktural, Fungsioanal, dan Pelaksana yang dimanfaatkan untuk menganalisis kompetensi, rekrutmen dan pengembangan SDM dan dasar pertimbangan pengisian jabatan serta dokumen tersebut telah diyakini implementasinya sesuai dengan ketentuan yaitu Stankom JPT Madya yang telah ditte Eselon 1 Dirjen IKP atas ketentuan dalam Kepmenkominfo no. 63 tahun 2022 ttg Stankom JPT 
</t>
  </si>
  <si>
    <t>Grad: EBakti memiliki standar kompetensi yang jelas untuk seluruh jabatan dan posisi dalam organisasi Dengan bukti dukung sebagai berikut:1. Bakti_JF Role Profile2. Bakti Jobdesk3. PermenPanRB No.220/2008Grad: DStandar kompetensi telah dikomunikasikan kepada seluruh pegawai organisasi melalui email kepada seluruh pegawai Bakti Dengan bukti dukung sebagai berikut:1. Email standar kompetensi dan uraian tugas kepada pegawai2. Broadcast uraian tugas dan standar kompetensi kepada pegawai3. Nota dinas Dir. SDA ke Seluruh Pegawai BAKTI hal Penyusunan KPI Pegawai Tahun 2024 Grad: CStandar kompetensi telah diimplementasikan/dimanfaatkan dengan penunjukkan pengelola keuangan dan pengelolaan/pembinaan SDM organisasi dilakukan dengan adanya pelatihan sesuai dengan kompetensi pegawaiDengan bukti dukung sebagai berikut:1. SK KPA tentang PPK Bakti TA 20252. SK KPA tentang PUM Bakti TA 20253. SK KPA tentang Pejabat Pengadaan Bakti TA 20254. Sertifikasi Auditor untuk formasi SPI BaktiGrad: BDokumen evaluasi atas implementasi kinerja standar kompetensi organisasi dan implementasi telah dievaluasi untuk mengetahui efektivitasnya1. Laporan Internal Audit Capability Model (IACM)</t>
  </si>
  <si>
    <t>Parameter Tidak Terbukti pada Satker 2</t>
  </si>
  <si>
    <t>Standar kompetensi organisasi dan implementasi/pemanfaatannya telah dievaluasi untuk mengetahui efektivitasnya</t>
  </si>
  <si>
    <t>Standar kompetensi telah diimplementasikan/dimanfaatkan dalam pengelolaan/pembinaan SDM organisasi</t>
  </si>
  <si>
    <t>Standar kompetensi telah dikomunikasikan dan dipahami oleh seluruh pegawai organisasi</t>
  </si>
  <si>
    <t>Terdapat standar kompetensi yang jelas untuk seluruh jabatan dan posisi dalam organisasi</t>
  </si>
  <si>
    <t>4.25</t>
  </si>
  <si>
    <t>Pimpinan K/L/D menciptakan lingkungan kerja yang kondusif untuk pencapaian tujuan organisasi</t>
  </si>
  <si>
    <t>Penerapan manajemen kinerja, pengelolaan keuangan, manajemen SDM, serta manajemen risiko dapat meningkatkan efektivitas dan efisiensi kinerja seluruh level pimpinan dan pegawai</t>
  </si>
  <si>
    <t>Bahwa Ditjen SDPPI telah menerapkan manajemen kinerja, pengelolaan keuangan, manajemen SDM, serta manajemen risiko dapat meningkatkan efektivitas dan efisiensi kinerja seluruh level pimpinan dan pegawai sehingga capaian kinerja memenuhi target sesuai Laporan Kinerja Tahun 2024
 Bukti dukung :
 1. Laporan Capaian Perjanjian Kinerja Ditjen SDPPI (A)
 2. Laporan Penilaian Pengendalian Intern Pelaporan Keuangan (PIPK) (A)
 3. Laporan Penilaian SPIP Tahun 2024 (A)
 3. Laporan Capaian IKPA (B)
 4. Notula Rapat Pimpinan Evaluasi Kinerja (B)
 5. Bahan Rapat Pimpinan (B)
 6. Laporan Evaluasi MR dan tindaklanjutnya (B)
 7. All Hand Meeting Pimpinan dengan seluruh pegawai Dit Layanan (B)
 8. Laporan Rapat Akselerasi Pelaksanaan Anggaran Tahun 2024 (B)
 9. Sosialisasi ZI dan SPI di lingkungan Ditjen SDPPI (C)
 10. Laporan Koordinasi Kepegawaian Tahun 2024 (A)
 11. Perdirjen SDPPI No 06 Tahun 2021 tentang Juknis Pelaksanaan Anggaran di lingkungan Ditjen SDPPI (E) 
 12. Pedoman Menkominfo tentang Evaluasi SAKIP di lingkungan Kemkominfo (E)</t>
  </si>
  <si>
    <t>Bahwa Penerapan manajemen kinerja, pengelolaan keuangan, manajemen SDM, serta manajemen risiko dapat meningkatkan efektivitas dan efisiensi kinerja seluruh level pimpinan dan pegawai di lingkungan Ditjen PPI: - Monitoring kinerja pegawai melalui aplikasi e-Kinerja secara berkala (A) - SOP (A) - Rapim Ditjen PPI secara berkala (A) - Nota DinasValidasi Proses Bisnis SOP dan Tugas Fungsi Ditjen PPI (A) - Penilaian Kinerja PPNPN Ditjen PPI 2023 (A) - Rapat monev permasalahan pegawai (B) - Kegiatan Evaluasi Kebutuhan Persediaan di Lingkungan Ditjen PPI (B) - Rapat RKBMN (B) - Menerapkan MR di lingkungan Ditjen PPI. (piagam MR, Dokumen Manajemen Risiko, Laporan Monitori danEvaluasi MR Triwulanan) (C) - Daftar hadir pimpinan dan nilai SKP pimpinan. (diupload SKP Tahun 2022 yang sudah ditandatangan) (C) - Rapat manajemen SDM dan Organisasi melalui fisik maupun daring (D) - Interaksi Informal (WA) melalui grup pengelola kepegawaian (D) - Surat Izin Kegiatan (D) - Surat Undangan Rapat IKPA (E)</t>
  </si>
  <si>
    <t xml:space="preserve">Bahwa terdapat kegiatan dan dokumen yang menunjukkan adanya evaluasi berkala yang ditindaklanjuti melalui rapat koordinasi atau rapat Eselon I dan II yang diikuti oleh perwakilan dari pejabat dan pegawai Ditjen IKP untuk mendapatkan masukan terhadap program kegiatan yang telah dan akan dilaksanakan
</t>
  </si>
  <si>
    <t>Grad: E, D, CSeluruh pengambilan keputusan operasional unit kerja telah mempertimbangkan risiko yang dapat dilihat pada penanganan risiko yang secara rutin dipantau setiap tiga bulan dalam aplikasi IncrimaDengan bukti daya dukung sebagai berikut:1. Incrima2. Permintaan Idenitifkasi Risk Insidentil pada November 2024Gra BSeluruh pengambilan keputusan strategis K/L/D, strategis unit kerja, dan operasional unit kerja telah mempertimbangkan risiko dengan melakukan kajian risiko pada program utama Bakti yang akan berdampak pada tingkat Kementerian dengan dokumen pendukung Rencanan Bisnis Anggaran Tahun 20241. Rencana Bisnis Anggaran Tahun 2024</t>
  </si>
  <si>
    <t>Pimpinan organisasi melaksanakan evaluasi berkala atas kebijakan pengendalian intern dan berupaya mengatasi permasalahan yang berkaitan dengan lingkungan pengendalian yang kondusif</t>
  </si>
  <si>
    <t>Pimpinan organisasi melaksanakan kebijakan dan didukung dengan SDM yang bekerja sesuai dengan kebijakan yang ditetapkan</t>
  </si>
  <si>
    <t>Pimpinan organisasi terlibat dalam penyusunan dan penetapkan kebijakan yang mendukung penciptaan lingkungan kerja yang kondusif untuk pencapaian tujuan organisasi serta memahami substansi kebijakan pengendalian intern dan mendorong penerapan kebijakan dalam berbagai interaksi kepada jajaran di bawahnya</t>
  </si>
  <si>
    <t>Pimpinan organisasi terlibat dalam penyusunan dan penetapkan kebijakan yang mendukung penciptaan lingkungan kerja yang kondusif untuk pencapaian tujuan organisasi</t>
  </si>
  <si>
    <t>Pimpinan K/L/D mengalokasikan sumber daya untuk penerapan manajemen risiko</t>
  </si>
  <si>
    <t xml:space="preserve">Sudah mengalokasikan sumber daya secara memadai untuk penerapan manajemen risiko pada tingkat operasional unit kerja, strategis unit kerja, dan strategis K/L/D
</t>
  </si>
  <si>
    <t>Bahwa Kementerian Kominfo telah mengalokasikan sumber daya secara memadai untuk penerapan manajemen risiko pada tingkat operasional unit kerja dan strategis unit kerja dengan menganggarkan dana implementasi manajemen risiko pada tingkat operasional unit kerja seperti rapat terkait manajemen risiko, identifikasi dan analisis risiko, penyusunan profil risiko, implementasi RTP, kegiatan monev rencana kerja/DIPA dan dalam implementasi manajemen risiko tidak terkendala kekurangan dana ditingkat operasional dan strategis unit kerja.
 Dokumen Bukti Dukung: 
 1. SK UPR Tahun 2024 dan 2025 dan daftar anggota UPR yang telah mengikuti Pelatihan MR
 2. POK Anggaran MR
 3. SS Aplikasi MR
 4. Dok MR [BELUM ADA : Form 4 tw 2-4 &amp; 5 DitStand; Form 1-5 DitOps; Form 5 DitTan; Form 1-3 DitDal] 
 5. Asistensi dan pemantauan MR [BELUM ADA : Laporan monev MR Tw 2-4 Eselon I 2024; Laporan Monev MR Tw 1,3 dan 4 UPT 2024] 
 6. Program Pelatihan MR [BELUM ADA: PKS Pelatihan MR 2024 dengan BPKP, Kajian pelatihan MR; KAK Swakelola tipe II kerja sama dengan BPKP (sebelum ada PKS); Laporan Diklat MR Batch 1 / SUDAH ADA: Laporan Diklat MR Batch 2 ]</t>
  </si>
  <si>
    <t xml:space="preserve">Bahwa Kementerian Kominfo telah mengalokasikan sumber daya secara memadai untuk penerapan manajemen risiko pada tingkat operasional unit kerja dan strategis unit kerja dengan menganggarkan dana implementasi manajemen risiko pada tingkat operasional unit kerja seperti rapat terkait manajemen risiko, identifikasi dan analisis risiko, penyusunan profil risiko, implementasi RTP, kegiatan monev rencana kerja/DIPA dan dalam implementasi manajemen risiko tidak terkendala kekurangan dana ditingkat operasional dan strategis unit kerja
</t>
  </si>
  <si>
    <t>Sudah mengalokasikan sumber daya secara memadai untuk penerapan manajemen risiko pada tingkat operasional unit kerja dan strategis unit kerja namun pada tingkat srategis K/L/D belum memadai</t>
  </si>
  <si>
    <t>Sudah mengalokasikan sumber daya secara memadai untuk penerapan manajemen risiko pada tingkat operasional unit kerja dan strategis unit kerja</t>
  </si>
  <si>
    <t>Sudah mengalokasikan sumber daya secara memadai untuk penerapan manajemen risiko pada tingkat operasional unit kerja namun pada tingkat strategis unit kerja belum memadai</t>
  </si>
  <si>
    <t>Sudah mengalokasikan sumber daya untuk penerapan manajemen risiko pada tingkat operasional unit kerja namun belum memadai</t>
  </si>
  <si>
    <t>Pimpinan K/L/D menggunakan informasi terkait risiko dalam pengambilan keputusan</t>
  </si>
  <si>
    <t xml:space="preserve">Seluruh pengambilan keputusan strategis K/L/D, strategis unit kerja, dan operasional unit kerja telah mempertimbangkan risiko dan memberikan dampak bagi pencapaian tujuan organisasi
</t>
  </si>
  <si>
    <t>Bahwa seluruh pengambilan keputusan operasional unit kerja di Ditjen Infradigi telah mempertimbangkan risiko. Hal tersebut berawal dari informasi risiko dalam peta risiko yang dihasilkan kemudian digunakan untuk menyusun rencana/mitigasi tindak pengendalian dan melakukan rencana aksi untuk mengurangi risiko yang mungkin terjadi.
 Dokumen Bukti Dukung: 
 1. TOR Satuan Kerja atau level eselon II terkait Output Manajemen Risiko pada Renja Tahun 2024/2024 (E-B) 
 2. Dokumen MR (Piagam risiko, SK UPR, Formulir 1 sd 4) yang sudah ditandatangani oleh pimpinan Tahun 2024 (E-B) [BELUM ADA : Form 4 tw 2-4 &amp; 5 DitStand; Form 1-5 DitOps; Form 5 DitTan; Form 1-3 DitDal] 
 3. Monev Triwulanan MR (B)</t>
  </si>
  <si>
    <t xml:space="preserve">Bahwa seluruh pengambilan keputusan operasional unit kerja di Kementerian Kominfo telah mempertimbangkan risiko. Hal tersebut berawal dari informasi risiko dalam peta risiko yang dihasilkan kemudian digunakan untuk menyusun rencana/mitigasi tindak pengendalian dan melakukan rencana aksi untuk mengurangi risiko yang mungkin terjadi.
</t>
  </si>
  <si>
    <t xml:space="preserve">Seluruh pengambilan keputusan strategis K/L/D, strategis unit kerja, dan operasional unit kerja telah mempertimbangkan risiko
</t>
  </si>
  <si>
    <t xml:space="preserve">Seluruh pengambilan keputusan strategis unit kerja dan operasional unit kerja telah mempertimbangkan risiko
</t>
  </si>
  <si>
    <t xml:space="preserve">Seluruh pengambilan keputusan operasional unit kerja telah mempertimbangkan risiko
</t>
  </si>
  <si>
    <t xml:space="preserve">Sebagian pengambilan keputusan operasional unit kerja telah mempertimbangkan risiko
</t>
  </si>
  <si>
    <t>Pimpinan K/L/D mendorong penerapan manajemen risiko, melalui penggunaan kinerja penerapan manajemen risiko sebagai indikator penilaian kinerja</t>
  </si>
  <si>
    <t>Kinerja penerapan manajemen risiko digunakan sebagai dasar penilaian kinerja pada seluruh UPR tingkatan operasional unit kerja, seluruh UPR tingkatan strategis unit kerja, dan UPR tingkat strategis K/L/D secara memadai dan telah dievaluasi pencapaiannya</t>
  </si>
  <si>
    <t>Bahwa kinerja penerapan manajemen risiko di Kementerian Kominfo telah digunakan sebagai dasar penilaian kinerja pada seluruh UPR tingkatan operasional unit kerja dan seluruh UPR tingkatan strategis unit kerja secara memadai. Hal tersebut dibuktikan dengan dicantumkannya penjabaran mengenai Manajemen Risiko yang ada di dalam dokumen ToR Unit Kerja dan Satuan kerja dan adanya komitmen oleh pimpinan untuk menjalankan pakta integritas. 
 Dokumen Bukti Dukung : 
 1. Laporan hasil evaluasi Manajemen Risiko terhadap masing-masing UPR (E-B) 
 2. SKP eselon II dan Pegawai yang terlibat dalam pengelolaan MR dan anggota UPR tahun 2024 (E-B) 
 3. TOR kegiatan (E-B) 
 4. Piagam Manajemen Risiko Tahun 2024 (E-B) : BELUM ADA: Piagam MR (Form 1-3) DITOPS, DITDAL
 5. SK Tim UPR Tahun 2024 (E-B) SUDAH ADA: SK Tim MR 2024 &amp; SK UPR Ditjen SDPPI 2024; BELUM ADA: SK Tim MR &amp; UPR Eselon I 2025</t>
  </si>
  <si>
    <t xml:space="preserve">Bahwa kinerja penerapan manajemen risiko di Kementerian Kominfo telah digunakan sebagai dasar penilaian kinerja pada seluruh UPR tingkatan operasional unit kerja dan seluruh UPR tingkatan strategis unit kerja secara memadai. Hal tersebut dibuktikan dengan dicantumkannya penjabaran mengenai Manajemen Risiko yang ada di dalam dokumen ToR Unit Kerja dan Satuan kerja dan adanya komitmen oleh pimpinan untuk menjalankan pakta integritas. 
</t>
  </si>
  <si>
    <t>Kinerja penerapan manajemen risiko digunakan sebagai dasar penilaian kinerja pada seluruh UPR tingkatan operasional unit kerja, seluruh UPR tingkatan strategis unit kerja, dan UPR tingkat strategis K/L/D secara memadai</t>
  </si>
  <si>
    <t>Kinerja penerapan manajemen risiko digunakan sebagai dasar penilaian kinerja pada seluruh UPR tingkatan operasional unit kerja dan seluruh UPR tingkatan strategis unit kerja secara memadai</t>
  </si>
  <si>
    <t>Kinerja penerapan manajemen risiko digunakan sebagai dasar penilaian kinerja pada seluruh UPR tingkatan operasional unit kerja secara memadai</t>
  </si>
  <si>
    <t>Kinerja penerapan manajemen risiko digunakan sebagai dasar penilaian kinerja pada sebagian UPR tingkatan operasional unit kerja secara memadai</t>
  </si>
  <si>
    <t>Struktur organisasi dibentuk dalam rangka mendukung pencapaian sasaran strategis organisasi</t>
  </si>
  <si>
    <t>K/L/D memiliki fleksibilitas untuk menyesuaikan struktur organisasi dalam rangka mendukung perubahan proses bisnis dan perubahan perencanaan strategis</t>
  </si>
  <si>
    <t>Bahwa penyesuaian struktur organisasi di Ditjen Infradigi telah memiliki fleksibilitas dalam rangka mendukung perubahan proses bisnis dan perubahan perencanaan strategis. Perbaikan struktur organisasi didukung teknologi informasi yang terintegrasi untuk mengelola arus data dan informasi dalam menjalankan fungsi-fungsi dalam proses bisnis organisasi yang dibuktikan dengan adanya digitalisasi data kepegawaian melalui aplikasi SIMPATIK yang mendukung perubahan proses bisnis Kementerian menjadi lebih mudah dan cepat.
 Dengan bukti dukung:
  1. SOTK Kementerian Kominfo yang terbaru (E-A)
  2. SK Tim Kerja di lingkungan Setditjen Infrastruktur Digital
  3. Laporan pembahasan naskah akademik dan SOTK yang baru (A)
  4. Screenshot aplikasi SIMPATIK untuk perhitungan kenaikan pangkat pegawai (E-A)
  5. Screenshot aplikasi APIK (E-A)
  6. Rekap Presensi Pegawai untuk perhitungan Tunjangan Kinerja dan Uang Makan dari aplikasi APIK (E-A)
  7. Screenshot aplikasi SIMAYA (E-A)
  8. Laporan Evaluasi SOP (B)</t>
  </si>
  <si>
    <t>Bahwa penyesuaian struktur organisasi di Kementerian Kominfo telah memiliki fleksibilitas dalam rangka mendukung perubahan proses bisnis dan perubahan perencanaan strategis. Perbaikan struktur organisasi didukung teknologi informasi yang terintegrasi untuk mengelola arus data dan informasi dalam menjalankan fungsi-fungsi dalam proses bisnisorganisasi yang dibuktikan dengan adanya digitalisasi data kepegawaian melalui aplikasi SIMPATIK yang mendukung perubahan proses bisnis Kementerian menjadi lebih mudah dan cepat.Dengan bukti dukung:1. Laporan kegiatan pembahasan naskah akademik dan proses bisnis Tahun 2024 (E-B) &gt; Rowai 2. Laporan pembahasan naskah SOTK BLUBAKTI (E-B) &gt; Rowai3. Draf Laporan semula menjadi tambahan atau perubahan Kepmen Probis Kominfo dan Permen SOTK (E-B) &gt; Rowai 4. Draf Biro Kepegawaian akan menerbitkan Kepmen Probis Kementerian Kominfo untuk level 0-1 (E-B) &gt; Rowai 5. Nodin penerbitan Permen SOTK ke Kemenpan RB (E-B) &gt; Rowai6. Screenshot aplikasi SIMPATIKuntuk perhitungan kenaikan pangkat pegawai (E-B) &gt; Rowai 7. Screenshot aplikasi APIK (E-B) &gt; Rowai 8. Rekap Presensi Pegawai untuk perhitungan Tunjangan Kinerja dan Uang Makan dari aplikasi APIK (E-B) &gt;Tiap UKE I, ses9. Screenshot aplikasi SIMAYA (E-B)10. Perpres No. 22 Tahun 2023 tentang Kementerian Kominfo (E-B)11. Peratu MenteriKominfo No. 12 Tahun 2021 (E-B)12. Peraturan Menteri No. 3 Tahun 2018 terkait BLU BAKTI (E-B)</t>
  </si>
  <si>
    <t>Bahwa penyesuaian struktur organisasi di Kementerian Kominfo telah memiliki fleksibilitas dalam rangka mendukung perubahan proses bisnis dan perubahan perencanaan strategis. Perbaikan struktur organisasi didukung teknologi informasi yang terintegrasi untuk mengelola arus data dan informasi dalam menjalankan fungsi-fungsi dalam proses bisnis organisasi yang dibuktikan dengan adanya digitalisasi data kepegawaian melalui aplikasi SIMPATIK yang mendukung perubahan proses bisnis Kementerian menjadi lebih mudah dan cepat.
Dengan bukti dukung:
1. Laporan kegiatan pembahasan naskah akademik dan proses bisnis Tahun 2024 (E-B) &gt; Rowai 
2. Laporan pembahasan naskah SOTK BLU BAKTI (E-B) &gt; Rowai
3. Draf Laporan semula menjadi tambahan atau perubahan Kepmen Probis Kominfo dan Permen SOTK (E-B) &gt; Rowai 
4. Draf Biro Kepegawaian akan menerbitkan Kepmen Probis Kementerian Kominfo untuk level 0-1 (E-B) &gt; Rowai 
5. Nodin penerbitan Permen SOTK ke Kemenpan RB (E-B) &gt; Rowai
6. Screenshot aplikasi SIMPATIK untuk perhitungan kenaikan pangkat pegawai (E-B) &gt; Rowai 
7. Screenshot aplikasi APIK (E-B) &gt; Rowai 
8. Rekap Presensi Pegawai untuk perhitungan Tunjangan Kinerja dan Uang Makan dari aplikasi APIK (E-B) &gt;Tiap UKE I, ses
9. Screenshot aplikasi SIMAYA (E-B)
10. Perpres No. 22 Tahun 2023 tentang Kementerian Kominfo (E-B)
11. Peraturan Menteri Kominfo No. 12 Tahun 2021 (E-B)
12. Peraturan Menteri No. 3 Tahun 2018 terkait BLU BAKTI (E-B)</t>
  </si>
  <si>
    <t>Grad: ETerdapat penetapan struktur, tugas, dan fungsi organisasiDengan bukti dukung sebagai berikut:1. Perpres Nomor 22 Tahun 2023 tentang Kementerian Kominfo2. Peraturan Menteri No 3 tahun 2018Grad: DProses bisnis organisasi dapat didukung dengan struktur organisasi yang ditetapkan dan personel pada setiap lini mengetahui arus data dan informasi yang diperlukan dalam melaksanaan tugas dan fungsinyaDengan bukti dukung sebagai berikut:1. Permen Kominfo no.4 2023 Perubahan SOTK BAKTI2. Pokok - Pokok Kepegawaian BAKTI 2023Grad: CStruktur organisasi dijalankan sesuai proses bisnis organisasi dengan SDM yang mencuku melalui kebijakan Standar Operasional Prosedur (SOP)Dengan bukti dukung sebagai berikut:1. SK Penetapan SOP Keuangan Tahun 2019</t>
  </si>
  <si>
    <t>Efisiensi dan efektivitas struktur organisasi dapat dilihat secara berkala melalui pengujian atas pelaksanaan proses bisnis organisasi dan ketepatannya dengan perencanaan strategis</t>
  </si>
  <si>
    <t>Struktur organisasi dijalankan sesuai proses bisnis organisasi dengan SDM yang mencukupi</t>
  </si>
  <si>
    <t>Proses bisnis organisasi dapat didukung dengan struktur organisasi yang ditetapkan dan personel pada setiap lini mengetahui arus data dan informasi yang diperlukan dalam melaksanaan tugas dan fungsinya</t>
  </si>
  <si>
    <t>Terdapat penetapan struktur, tugas, dan fungsi organisasi</t>
  </si>
  <si>
    <t>Wewenang dan tanggung jawab diberikan kepada pegawai yang tepat sesuai tingkatannya untuk mendukung efektivitas dan efisiensi pelaksanaan kegiatan dalam rangka percepatan pencapaian tujuan organisasi</t>
  </si>
  <si>
    <t>Pimpinan organisasi memiliki akses untuk melihat proses pendelegasian wewenang dan tanggungjawab yang diberikan dan memonitor pelaksanaan tugas fungsi yang dijalankan untuk menjamin tujuan percepatan yang diharapkan dan mendukung perbaikan secara berkelanjutan.</t>
  </si>
  <si>
    <t>Bahwa Pimpinan Ditjen SDPPI telah memiliki akses untuk melihat proses pendelegasian wewenang dan tanggungjawab yang diberikan dan memonitor pelaksanaan tugas fungsi yang dijalankan untuk menjamin tujuan percepatan yang diharapkan dan mendukung perbaikan secara berkelanjutan dibuktikan dengan adanya aplikasi yang dapat digunakan pimpinan untuk memonitor progres pelaksanaan anggaran dan melakukan pendelegasian wewenang kepada bawahannya
 Bukti dukung :
 1. Excecutive Dashboard (E-Dash) Aplikasi SIREA 2024(A)
 2. Aplikasi SIMAYA (SS) (A)
 3. Pengembangan Aplikasi Bitrix (A)
 4. Laporan Evaluasi SOP (B)
 5. Bahan Rapat Pimpinan (D)
 6. Surat Tugas Plt dan Plh (C)
 7. Laporan Hasil Pelayanan Publik Tahun 2024 (B)
 8. PM Kominfo No. 6 Tahun 2018. (E)
 9. Perdirjen No.50 Tahun 2018 (E)
 10. Aplikasi Bitrix (SS) (A)</t>
  </si>
  <si>
    <t>Bahwa pimpinan organisasi di lingkungan Ditjen PPI memiliki akses untuk melihat proses pendelegasian wewenang dan tanggungjawab yang diberikan dan memonitor pelaksanaan tugas fungsi yang dijalankan untuk menjamin tujuan percepatan yang diharapkan dan mendukung perbaikan secara berkelanjutan - SK Menteri Kominfo Nomor 695 Tahun20 tentang Penetapan KPA, PPK, PPSPM, Bendahara Penerimaan, dan Bendahara Pengeluaran di Lingkungan Kementerian Komunikasi dan Informatika (A-E) - SK Menteri Kominfo Nomor 574 Tahun 2021 tentang Penetapan KPA, PPK, PPSPM, Bendahara Penerimaan, dan Bendahara Pengeluaran di Lingkungan Kementerian Komunikasi danInformatika (A-E) - SK Menteri Kominfo Nomor 552 Tahun 2022 tentang Penetapan KPA, PPSPM, Bendahara Penerimaan, dan Bendahara Pengeluaran di Lingkungan Kementerian Komunkasi dan Informatika (A-E) - SK Dirjen PPI Nomor 40 Tahun 2023 tentang Tim Kerja di Lingkungan Direktorat Penyelenggaraan Pos dan Informatika (A-E) - SK Dirjen PPINo 1 Ta 2023 tentang Tim Penunjukan Staf Kuasa Pengguna Anggaran, Staf Pejabat Pembuat Komitmen, Staf Pejabat Penerbit Surat Perintah Membayar, dan Staf Bendahara Pengeluaran di Lingkungan Ditjen PPI (A-E) - APIK (cuti) (E) - e-SKP (E) - Aplikasi Simaya (E) - SK Dirjen PPI Nomor 167 Tahun 2018 tentang Pemberian KewenanganPenandatanganan Dok. Bidang PPI (E) - Nota Dinas Penyampaian SK Dirjen PPI Nomor 130 Tahun 2020 tentang Perubahan SK Dirjen PPI Nomor 167 Tahun 2018 (E) - Surat Penugasan Plh dan plt (C) - Nodin ttg penerapan SKP (D) - Nodin ttg penggunaan aplikasi simaya (D) - Undangan Pengembangan Tandatangan Elektronik SIMAYA (D) - Nodinpermintaan nama unt pejabat KPA, PPK, PPSPM, Bendahara Penerimaan, dan Bendahara Pengeluaran di lingkungan KemKominfo (D) - Sosialisasi tentang SK Dirjen PPI nomor 215 Tahun 2022 (C-E) - SK Dirjen PPI Nomor 215 Tahun 2022 tentang Tim Kerja di Lingkungan Direktorat Jenderal PPI (C-E) - Surat Perintah Tugas Tim Kerja di SekretariatDitjen PPI (C-E)</t>
  </si>
  <si>
    <t xml:space="preserve">Bahwa pelaksanaan tugas dan fungsi yang didelegasikan kepada jenjang di bawahnya dari pimpinan tinggi pratama ke level di bawahnya telah dilaksanakan sesuai dengan prosedur dan juga dikomunikasikan melalui disposisi persuratan serta komunikasi langsung
</t>
  </si>
  <si>
    <t>Grad: EPimpinan organisasi menetapkan kebijakan terkait wewenang dan tanggung jawab pelaksanaan kegiatan kepada struktur di bawahnya secara berjenjangDengan bukti dukung sebagai berikut:1. PM Kominfo no.4/2023 tentang SOTKGrad: DKegiatan/prosedur yang dalam pelaksanaannya telah didelegasikan kepada strukt dibawahnya telah dipahami dan diketahui oleh pihak terkaitDengan bukti dukung sebagai berikut:1. Pendelegasian Dari Direktur Utama kepada Direktur KeuanganGrad: CKriteria: Pelaksanaan tugas dan fungsi yang didelegasikan dilaksanakan sesuai dengan kebijakan/prosedur yang ditetapkan1. Bukti Menggunakan Simaya pelaksanaan yang sesuai tugas dan fungsiGrad: BKriteria: Kegiatan/prosedur yang dalam pelaksanaannya telah didelegasikan kepada struktur dibawahnya telah dipahami dan diketahui oleh pihak terkait1. Surat Keputusan Tim Penilaian Mandiri Maturitas Penyelenggaraan SPIP Grad: AKriteria: Pimpinan organisasi menetapkan kebijakan terkait wewenang dan tanggung jawab pelaksanaan kegiatan kepada struktur di bawahnya secara berjenjang1. 1. Surat Keputusan Tim Penilaian Mandiri Maturitas Penyelenggaraan SPIP yang diketahui oleh Kepala Divis dan Staf terkait sebagai pelaksana</t>
  </si>
  <si>
    <t>Efisiensi dan efektivitas pelaksanaan wewenang dan tanggung jawab organisasi yang didelegasikan dapat dilihat melalui evaluasi berkala atas pelaksanaan wewenang dan tanggungjawab serta analisis terhadap kualitas hasil pelaksanaan tugas/fungsi yang dilaksanakan (respon stakeholder)</t>
  </si>
  <si>
    <t>Pelaksanaan tugas dan fungsi yang didelegasikan dilaksanakan sesuai dengan kebijakan/prosedur yang ditetapkan</t>
  </si>
  <si>
    <t>Kegiatan/prosedur yang dalam pelaksanaannya telah didelegasikan kepada struktur dibawahnya telah dipahami dan diketahui oleh pihak terkait</t>
  </si>
  <si>
    <t>Pimpinan organisasi menetapkan kebijakan terkait wewenang dan tanggung jawab pelaksanaan kegiatan kepada struktur di bawahnya secara berjenjang</t>
  </si>
  <si>
    <t>Pengelolaan SDM telah diperbaiki secara berkelanjutan dan secara optimal mampu mendukung pencapaian tujuan organisasi</t>
  </si>
  <si>
    <t>Bahwa Kebijakan dan implementasi pengelolaan SDM terkait pengelolaan SDM Ditjen SDPPI telah dievaluasi sehingga dapat diketahui efektivitasnya dibuktikan dengan sosialisasi dan forum diskusi terkait SDM dengan pegawai di lingkungan Ditjen SDPPI, pengembangan kompetensi, pembinaan pegawai baru, dan selain itu Ditjen SDPPI telah mengevaluasi sasaran kinerja pegawai (SKP) dan menerapkan hukdis bagi pegawai yang melanggaran aturan ASN. 
 Bukti dukung :
 1. Laporan Monev SKP Pegawai (B)
 2. Anjab dan Evaluasinya tahun 2024 (B)
 3. Evaluasi Pengembangan Kompetensi (B)
 4. Usulan ASN berprestasi TA 2024 (C)
 5. Disiplin pegawai (C)
 6. Laporan Pengembangan Kompetensi (C) 
 7. Pengelolaan SDM melalui SIMPATIK dan e-presensi (C)
 8. Laporan Pemeliharaan Sistem Informasi Kepegawaian) (C)
 9. Usulan Promosi/Rotasi (C) 
 10. Rekap Penilaian SKP Pegawai (C)
 11. Laporan Pembinaan CPNS dan PPPK (Orientation Training) (C)
 12. Koordinasi dan Forum Diskusi Bidang SDM (D)
 13. SOP Bidang Kepegawaian (E)
 14. Permenpan RB No. 8 Tahun 2021 (E)
 15. PP 30 Tahun 2019 tentang Penilaian Kinerja PNS (E)</t>
  </si>
  <si>
    <t>Bahwa di Kementerian Kominfo terdapat upaya peningkatan kompetensi dan keterampilan terkait manajemen risiko yang memadai dengan cakupan sebagian pegawai dengan melaksanakan Bimtek atau pelatihan terkait aplikasi Manajemen Risiko.Dengan bukti dukung:1. Sertifikat atau laporan terkait pelatihan Manajemen Risiko (D)2. Surat tugas atauundangan terkait Bimtek/ pelatihan Manajemen Risiko (D)3. Nota Dinas pemberitahuan atau pemanggilan pegawai untuk mengikuti Bimtek/ pelatihan Manajemen Risiko (D)4. Dokumen analisis kebutuhan diklat (D):5. Laporan dan sertifikat Pelaksanaan pelatihan manajemen resiko (D-E)6. Laporan Bimtek Key Risk Indicator (D-E)7. Sertifikat Bimtek KeyRisk Indicator (D-E)8. Sertifikat QRMA (D-E)9. Sertifikat Diklat Manajemen Risiko Organisasi Sektor Publik (D-E)10. Sertifikat Project Risk Management (D-E)11. Nota Dinas Penyampaian Pelaksanaan Bimbingan Teknis atau Pelatihan Manajemen Resiko tahun 2022 (D-E)12. Nota Dinas Penyampaian Pelaksanaan Bimbingan Teknis atau PelatihanManajemen Resiko tahun 2023 (D-E)13. Pelatihan tentang Manajemen Risiko (D-E)</t>
  </si>
  <si>
    <t xml:space="preserve">Bahwa kebijakan terkait pendelegasian wewenang dan tanggung jawab telah diimplementasikan serta dievaluasi dan dapat menunjukkan perbaikan dalam pencapaian kinerja
</t>
  </si>
  <si>
    <t>Grade: ETerdapat kebijakan yang mengatur pengelolaan SDM sejak rekrutmen sampai dengan pemberhentian pegawaiDengan bukti dukung sebagai berikut:1. Perdirut BAKTI No 5 Tahun 2021 ttg Pokok-pokok Kepegawaian di Lingkungan BAKTI2. Perdirut Nomor 1 Tahun 2023 Perubahan atas Peraturan Direktur Utama BAKTI N 5 Tahun 2021 tentang Pokok-Pokok Peraturan KepegawaianGrad: DKebijakan terkait pengelolaan SDM telah dikomunikasikan dan dipahami oleh pihak yang berkepentingan dalam organisasiDengan bukti dukung sebagai berikut:1. Perdirut BAKTI No 5 Tahun 2021 ttg Pokok-pokok Kepegawaian di Lingkungan BAKTI2. Perdirut Nomor 1 Tahun 2023 Perubahan atas Peraturan Direktur Utama BAKTI No 5 Tahun 2021 tentang Pokok-Pokok Peraturan KepegawaianGrad: CKriteria: Pengelolaan SDM telah dilaksanakan sejak rekrutmen sampai dengan pemberhentian pegawai sesuai kebijakan/prosedur yang ditetapkan1. Perdirut BAKTI No 5 Tahun 2021 ttg Pokok-pokok Kepegawaian di Lingkungan BAKTI2. Perdirut Nomor 1 Tahun 2023 Perubahan atas Peraturan Direktur Utama BAKTI No 5 Tahun 2021 tentang Pokok-Pokok Peraturan KepegawaianGrad: BKriteria: Kebijakan dan implementasi terkait pengelolaan SDM organisasi telah dievaluasi sehingga dapat diketahui efektivitasnya1. Perdirut BAKTI No 5 Tahun 2021 ttg Pokok-pokok Kepegawaian di Lingkungan BAKTI2. Perdirut Nomor 1 Tahun 2023 Perubahan atas Peraturan Direktur Utama BAKTI No 5 Tahun 2021 tentang Pokok-Pokok Peraturan KepegawaianGrad: AKriteria: Pengelolaan SDM telah diperbaiki secara berkelanjutan dan sec optimal mampu mendukung pencapaian tujuan organisasi1. Perdirut BAKTI No 5 Tahun 2021 ttg Pokok-pokok Kepegawaian di Lingkungan BAKTI2. Perdirut Nomor 1 Tahun 2023 Perubahan atas Peraturan Direktur Utama BAKTI No 5 Tahun 2021 tentang Pokok-Pokok Peraturan Kepegawaian</t>
  </si>
  <si>
    <t>Kebijakan dan implementasi terkait pengelolaan SDM organisasi telah dievaluasi sehingga dapat diketahui efektivitasnya</t>
  </si>
  <si>
    <t>Pengelolaan SDM telah dilaksanakan sejak rekrutmen sampai dengan pemberhentian pegawai sesuai kebijakan/prosedur yang ditetapkan</t>
  </si>
  <si>
    <t>Kebijakan terkait pengelolaan SDM telah dikomunikasikan dan dipahami oleh pihak yang berkepentingan dalam organisasi</t>
  </si>
  <si>
    <t>Terdapat kebijakan yang mengatur pengelolaan SDM sejak rekrutmen sampai dengan pemberhentian pegawai</t>
  </si>
  <si>
    <t>Terdapat upaya peningkatan kompetensi dan keterampilan terkait manajemen risiko yang memadai dengan cakupan seluruh pegawai dan telah dievaluasi pencapaiannya</t>
  </si>
  <si>
    <t>Bahwa DItjen SDPPI telah melakukan upaya peningkatan kompetensi dan keterampilan terkait manajemen risiko yang memadai dengan cakupan sebagian besar pegawai dibuktikan dengan sosialisasi MR yang telah dilakukan di tahun 2022 yg dihadiri oleh 638 pejabat dan pegawai, dan pelatihan MR BPKP dilaksanakan setiap tahun dari tahun 2022 (35 org) dan tahun 2024 telah dilaksanakan pelatihan MR bekerja sama dengan BPKP di bulan Agustus dan Desember, masing-masing diikuti oleh 30 peserta (total 60 peserta). Pada Maret 2025, telah dilaksanakan kegiatan Sosialisasi Manajemen Risiko dan Penginputan Aplikasi MR di lingkungan Ditjen Infrastruktur Digital dengan total peserta 151 orang. 
 Bukti dukung :
 1. Laporan Pelatihan MR 2024 dan Sosialisasi MR 2025 (B) 
 2. Sertifikat Sosialisasi Manajemen Risiko (B)
 3. Penganggaran Pelatihan MR Tahun 2024 (POK) (B) -- POK Tim PPP TA 2024 (pagu biaya pelatihan Rp300jt) 
 4. Daftar peserta pelatihan MR Tahun 2024 (B)</t>
  </si>
  <si>
    <t xml:space="preserve"> Bahwa Kebijakan dan implementasi pengelolaan SDM terkait pengelolaan SDM Ditjen SDPPI telah dievaluasi sehingga dapat diketahui efektivitasnya dibuktikan dengan sosialisasi dan forum
diskusi terkait SDM dengan pegawai di lingkungan Ditjen SDPPI, pengembangan kompetensi, pembinaan pegawai baru, dan selain itu Ditjen SDPPI telah mengevaluasi sasaran kinerja pegawai
(SKP) dan menerapkan hukdis bagi pegawai yang melanggaran aturan ASN. </t>
  </si>
  <si>
    <t xml:space="preserve">Bahwa DJIKP telah  melaksanakan upaya peningkatan kompetensi dan keterampilan manajemen risiko dengan menyelenggarakan sosialisasi MR yang dihadiri oleh &gt;71% pegawai dan pelatihan intensif kepada Tim UPR yang diikuti oleh &gt;71% anggota yang dibuktikan dengan:
</t>
  </si>
  <si>
    <t>Bahwa kebijakan terkait pendelegasian wewenang dan tanggung jawab telah diimplementasikan serta dievaluasi dan dapat menunjukkan perbaikan dalam pencapaian kinerjaList Dokumen Pendukung :1. Nota Dinas Inspektorat tentang LHE Pelaksanaan MR (E)*2. Nota Dinas Es II tentang TL atas LHE dengan pelaksanaan sosialiasi MR bagi minimal &gt;71% pegawai (E-D)*3. Laporan hasil pelaksanaan sosialisasi MR dan sertifikasi peserta (E-C)*4. Nota Dinas Es II tentang Penugasan Pelatihan Pegawai (terkait JF, Sertifikasi MR Tim UPR) (D)*</t>
  </si>
  <si>
    <t>Terdapat upaya peningkatan kompetensi dan keterampilan terkait manajemen risiko yang memadai dengan cakupan seluruh pegawai</t>
  </si>
  <si>
    <t>Terdapat upaya peningkatan kompetensi dan keterampilan terkait manajemen risikoyang memadai dengan cakupan sebagian besar pegawai</t>
  </si>
  <si>
    <t>Terdapat upaya peningkatan kompetensi dan keterampilan terkait manajemen risiko yang memadai dengan cakupan sebagian pegawai</t>
  </si>
  <si>
    <t>Terdapat upaya peningkatan kompetensi dan keterampilan terkait manajemen risiko namun belum memadai</t>
  </si>
  <si>
    <t>Seluruh pegawai telah memiliki pemahaman terkait manajemen risiko</t>
  </si>
  <si>
    <t>Pada tanggal 8 April 2025 telah disebarkan kuesioner Survey Pemahaman Manajemen Risiko di lingkungan Ditjen Infrastruktur Digital melalui Nota Dinas Sesditjen Infradig Nomor 813/DJID.1/OT.02.03/04/2025 dengan masa pengisian survey dari tanggal 8 April s.d 25 April 2025 dengan hasil 62,1% dari sampling pegawai sebanyak 520 responden dinilai paham terkait Manajemen Risiko
 Bukti Dukung: 
 1. Nota Dinas Permintaan Pengisian Kuesioner Pemahaman Manajemen Risiko
 2. Laporan Pelaksanaan Survey Pemahaman Manajemen Risiko</t>
  </si>
  <si>
    <t>Bahwa Kebijakan dan implementasi pengelolaan SDM terkait pengelolaan SDM Ditjen SDPPI telah dievaluasi sehingga dapat diketahui efektivitasnya dibuktikan dengan sosialisasi dan forum
diskusi terkait SDM dengan pegawai di lingkungan Ditjen SDPPI, pengembangan kompetensi, pembinaan pegawai baru, dan selain itu Ditjen SDPPI telah mengevaluasi sasaran kinerja pegawai
(SKP) dan menerapkan hukdis bagi pegawai yang melanggaran aturan ASN.</t>
  </si>
  <si>
    <t>Bahwa DJIKP telah  melaksanakan upaya peningkatan kompetensi dan keterampilan manajemen risiko dengan menyelenggarakan sosialisasi MR yang dihadiri oleh &gt;71% pegawai dan pelatihan intensif kepada Tim UPR yang diikuti oleh &gt;71% anggota yang dibuktikan dengan:
List dokumen pendukung :
1. Nodin/ST penugasan peserta Program Pelatihan MR oleh Biro Kepegawaian ke LAN yang diajukan Tahun 2023 (D-C)
2. Dokumen terkait kegiatan &amp; Sertifikasi Pelatihan Manajemen Risiko (anggota Tim UPR DJIKP 2023 dan calon anggota 2024) (D-C)
4. Nota Dinas Es II tentang Penugasan Pegawai sebagai Peserta Pelatihan MR di lingkungan DJIKP (E)</t>
  </si>
  <si>
    <t>Sebagian besar pegawai telah memiliki pemahaman terkait manajemen risiko</t>
  </si>
  <si>
    <t>Sebagian pegawai telah memiliki pemahaman terkait manajemen risiko</t>
  </si>
  <si>
    <t>Sebagian kecil pegawai telah memiliki pemahaman terkait manajemen risiko</t>
  </si>
  <si>
    <t>Beberapa pegawai telah memiliki kesadaran pemahaman terkait manajemen risiko</t>
  </si>
  <si>
    <t>Perwujudan Peran APIP yang Efektf</t>
  </si>
  <si>
    <t>APIP telah menjadi unit yang terus belajar baik dari dalam maupun dari luar organisasi untuk perbaikan berkelanjutan</t>
  </si>
  <si>
    <t>Bahwa praktik profesional dan audit internal di Kementerian Kominfo telah ditetapkan secara seragam sehingga dapat memberikan nilai tambah pada perbaikan pengendalian organisasi dengan dibuktikan dengan capaian nilai IACM.
 Dengan bukti dukung:
 Inspektorat Jenderal akan memantau tindak lanjut AOI IACM (Internal Audit Capability Model) (C) - dari APIP</t>
  </si>
  <si>
    <t>Bahwa praktik profesional dan audit internal di Kementerian Kominfo telah ditetapkan secara seragam sehingga dapat memberikan nilai tambah pada perbaikan pengendalian organisasi dengan dibuktikan dengan capaian nilai IACM.Dengan bukti dukung:Inspektorat Jenderal akan memantau tindak lanjut AOI IACM (Internal Audit Capability Model) (C)</t>
  </si>
  <si>
    <t>Bahwa praktik profesional dan audit internal di Kementerian Kominfo telah ditetapkan secara seragam sehingga dapat memberikan nilai tambah pada perbaikan pengendalian organisasi dengan dibuktikan dengan capaian nilai IACM.
Dengan bukti dukung:
Inspektorat Jenderal akan memantau tindak lanjut AOI IACM (Internal Audit Capability Model) (C)</t>
  </si>
  <si>
    <t>Grad: ETidak ada praktik yang tetap, tidak ada kapabilitas yang berulang dan tergantung pada kinerja individu1. Surat Tugas Reviu LK TA 20232. Surat Keputusan Tim Reviu VA Debit 20233. Surat Tugas Reviu CO &amp; Monitoring Penggunaan VA Debit BAKTI 2024Grad: DProses audit dilakukan secara tetap (rutin) dan berulangDokumen pendukung:1. Surat Tugas Reviu RSB BAKTI 2020-2024Grad: CPraktik profesional dan audit internal telah ditetapkan secara seragam1. Laporan Hasil Reviu Manajemen RisikoGrad: BKriteria: APIP telah menjadi unit yang terus belajar baik dari dalam maupun dari luar organisasi untuk perbaikan berkelanjutanDokumen pendukung:1. Surat Tugas Reviu Usulan POK</t>
  </si>
  <si>
    <t>APIP telah mengintegrasikan semua informasi di seluruh organisasi untuk memperbaiki tata kelola dan manajemen risiko</t>
  </si>
  <si>
    <t>Praktik profesional dan audit internal telah ditetapkan secara seragam</t>
  </si>
  <si>
    <t>Proses audit dilakukan secara tetap (rutin) dan berulang</t>
  </si>
  <si>
    <t>Tidak ada praktik yang tetap, tidak ada kapabilitas yang berulang dan tergantung pada kinerja individu</t>
  </si>
  <si>
    <t>Pimpinan K/L/D menjalin hubungan kerja yang baik (kemitraan) dengan instansi lain terkait dengan upaya pencapaian tujuan organisasi.</t>
  </si>
  <si>
    <t>Pelaksanaan hubungan kerja yang baik dengan mitra kerjasama organisasi menghasilkan efektivitas pencapaian tujuan organisasi dan efisiensi penggunaan sumberdaya masing-masing instansi</t>
  </si>
  <si>
    <t>Bahwa Ditjen SDPPI telah melaksanakan hubungan kerja yang baik dengan mitra kerjasama organisasi menghasilkan efektivitas pencapaian tujuan organisasi dan efisiensi penggunaan sumberdaya masing-masing instansi dibuktikan dengan melaksanakan koordinasi dengan mitra eksternal terkait pelaporan keuangan, penyelesaian tindak lanjut temuan BPK, dan instansi lain yang mendukung pelaksanaan program di lingkungan Ditjen SDPPI
 Bukti Dukung :
 1. Screenshot aplikasi SIMWAS Aplikasi antara Satker, Itjen dan BPK (A)
 2. Laporan Rapat Verifikasi Data Usulan Penghapusan Piutang Bersyarat dan Mutlak dengan KPKNL (A)
 2. Laporan Evaluasi pelaksanaan Host to Host melalui rekon PNBP dengan pihak eksternal (B)
 3. Laporan Evaluasi SOP Laporan Keuangan (B)
 4. Surat Hasil Rekonsiliasi dengan KPPN (Laporan Keuangan) (C)
 5. PKS dengan Bank untuk pelaksanaan Host to Host PNBP (C)
 6. MoU dengan ASIOTI (C)
 7. SOP Tindak Lanjut Temuan (E)
 8. SOP Penyusunan Lapoan Keuangan TA 2024 (E)
 9. Kepmenkomdigi No 90 Tahun 2025 tentang Pedoman Pengelolaan Piutang Negara pada Kemkomdigi (E)</t>
  </si>
  <si>
    <r>
      <rPr>
        <rFont val="Arial"/>
        <color theme="1"/>
        <sz val="12.0"/>
      </rPr>
      <t xml:space="preserve">Bahwa dalam menjalankan tugas dan fungsi unit kerja, masing-masing bidang pekerjaan telah terbangun komunikasi dan mampu berkoordinasi dengan baik, mudah dalam melakukan pertukaran data yang saling terkait sehingga mempermudah menjalankan fungsi monitoring. Kejelasan tugas untuk saling berkoordinasi di semua bidang di lembagakan dengan SK KPA untuk beberapa Tim yang melibatkan personil dari berbagai bidang dari masing-masing unit kerja dalam satker
</t>
    </r>
    <r>
      <rPr>
        <rFont val="Arial"/>
        <b/>
        <color theme="1"/>
        <sz val="12.0"/>
      </rPr>
      <t xml:space="preserve">List Dokumen Pendukung :
</t>
    </r>
    <r>
      <rPr>
        <rFont val="Arial"/>
        <color theme="1"/>
        <sz val="12.0"/>
      </rPr>
      <t xml:space="preserve">1. Perjanjian Kerjasama DJIKP dengan LKBN Antara untuk pelaksanaan PSO Untuk Informasi Publik Bidang Pers 2024 (E)
2. Surat Sesditjen IKP terkait tentang Pokja di lingkungan DJIKP Tahun 2024 (D)
3. Dokumen terkait Rakor Monev PSO Antara 2023 dan Rakor Perencanaan Pelaksanaan PSO Antara 2024 (C)
4. Paparan Rencana kerja Monev &amp; Hasil Monev PSO 2023 (C)
</t>
    </r>
  </si>
  <si>
    <t>Grad: EPimpinan organisasi menetapkan mekanisme hubungan kerja/tata cara kerjasama dengan instansi lain1. MoU ITB - KOMINFO2. MoU_Kemkominfo_dengan_Universitas_IndonesiaGrad: DPubilkasi kebijakan kerjasama organisasi kepada para pihak yang berkepentingan (antara lain subjek, objek, dan penerima manfaat kerjasama)Dengan bukti dukung sebagai berikut:1. Permohonan PPL Bakti dengan Pemda - PPL Kab. BIMAGrad: CMasing-masing pihak melaksanakan kegiatan sesuai dengan lingkup kewenangan masing-masing sesuai kebijakan dan ukuran kinerja yang ditetapkanDengan bukti dukung sebagai berikut:1. Laporan Tugas Coklit_ Mei 23</t>
  </si>
  <si>
    <t>Pelaksanaan kebijakan kerjasama organisasi dievaluasi secara berkala</t>
  </si>
  <si>
    <t>Masing-masing pihak melaksanakan kegiatan sesuai dengan lingkup kewenangan masing-masing sesuai kebijakan dan ukuran kinerja yang ditetapkan</t>
  </si>
  <si>
    <t>Pubilkasi kebijakan kerjasama organisasi kepada para pihak yang berkepentingan (antara lain subjek, objek, dan penerima manfaat kerjasama)</t>
  </si>
  <si>
    <t>Pimpinan organisasi menetapkan mekanisme hubungan kerja/tata cara kerjasama dengan instansi lain</t>
  </si>
  <si>
    <t>Dalam rangka menciptakan hubungan kerja yang baik, K/L/D telah mengidentifikasi, menilai, dan mengelola risiko (termasuk implikasi dari transfer risiko) terkait kemitraan</t>
  </si>
  <si>
    <t>Instansi Pemerintah telah memiliki kebijakan pengelolaan risiko terkait kemitraan, penerapannya telah terintegrasi dengan proses bisnis Instansi Pemerintah, telah direviu secara berkala dan dijadikan bahan pembelajaran</t>
  </si>
  <si>
    <t>Bahwa Ditjen SDPPI telah memiliki kebijakan pengelolaan risiko terkait kemitraan, penerapannya telah terintegrasi dengan proses bisnis Instansi Pemerintah khususnya terkait pencapaian tujuan organisasi yang melibatkan instansi lain antara lain mitra BPK yang membantu melaksanakan pemantauan dalam penyelesaian hasil pemeriksaan.
 Bukti dukung :
 1. MR Penyelesaian Tindak Lanjut Temuan (B)
 2. Monev MR Tindak Lanjut Temuan (B) 
 3. Screenshoot SIMWAS Kominfo dan BPK (B)
 4. MR (Form 1-3) &amp; evaluasi MR form 4 untuk kemitraan di Dit.Stand, Dit. PESTA, Dit. Layanan</t>
  </si>
  <si>
    <t>Bahwa Ditjen PPI telah melaksanakan hubungan kerja yang baik dengan mitra kerjasama organisasi menghasilkan efektivitas pencapaian tujuan organisasi dan efisiensi penggunaan sumberdaya masing-masing instansi - laporan implementasi kerjasama (dit pos) (A) - PKS Kerjasama Ditjen PPI dengan BPJS Ketenagakerjaan (A) - Persiapan pemenuhan5anggaran BPJS Ketenagakerjaan (B) - evaluasi efektifitas program BPJS ketenagakerjaan Ditjen PPI (B) - perubahan data pegawai peserta BPJS Ketenagakerjaan (B) - Nodin evaluasi pelaksanaan kerjasama ditjen PPI tahun 2022 (bag hukum ) (B) - nodin informasi kerjasama ke direktorat (bag hukum) (B) - Sosialisasi BPJS Ketenagakerjaa</t>
  </si>
  <si>
    <t xml:space="preserve">Bahwa satker IKP telah memiliki kebijakan pengelolaan risiko terkait kemitraan dan telah diterapkan dengan memadai
List dokumen pendukung :
1. Laporan Inspektorat III - Atensi Pengawasan atas Program dan MR Ditjen KPM Trw I TA 2025 (E)
2. SK Dirjen KPM ttg Tim Unit Pengendalian Risiko (UPR) (E-D)
3. Dokumen proses dan persiapan pelaksanaan PSO Bidang Pers TA 2025 berdasarkan Evaluasi 2024 (E-C)
4. Laporan Evaluasi dan Monitoring Pelaksanaan PSO Bidang Pers 2024 (E-C) 
</t>
  </si>
  <si>
    <t>Instansi Pemerintah telah memiliki kebijakan pengelolaan risiko terkait kemitraan dan penerapannya telah terintegrasi dengan proses bisnis Instansi Pemerintah</t>
  </si>
  <si>
    <t>Instansi Pemerintah telah memiliki kebijakan pengelolaan risiko terkait kemitraan dan telah diterapkan dengan memadai</t>
  </si>
  <si>
    <t>Instansi Pemerintah telah memiliki kebijakan pengelolaan risiko terkait kemitraan namun belum diterapkan dengan memadai</t>
  </si>
  <si>
    <t>Instansi Pemerintah telah memiliki kebijakan pengelolaan risiko terkait kemitraan namun belum diterapkan sama sekali</t>
  </si>
  <si>
    <t>K/L/D telah memiliki Kebijakan Manajemen Risiko</t>
  </si>
  <si>
    <t>K/L/D telah memiliki Kebijakan Manajemen Risiko yang memadai, terintegrasi serta telah direviu secara berkala</t>
  </si>
  <si>
    <t>Bahwa Kementerian Kominfo telah memiliki Kebijakan Manajemen Risiko yang memadai dan terintegrasi yang dibuktikan dengan penerapan MR melalui aplikasi MR Kominfo 
 Dengan bukti dukung:
 1. TOR Kegiatan yang menjelaskan terdapat MR (E-B) 
 2. Dokumen MR (SK UPR, Piagam MR dan Form 1 sd 3) (E-B) [BELUM ADA : Form 4 tw 2-4 &amp; 5 DitStand; Form 1-5 DitOps; Form 5 DitTan; Form 1-3 DitDal] 
 3. Tindak lanjut hasil evaluasi tahun 2024 yang di input di aplikasi MR sebagai dokumen profil risiko dengan pengesahan pimpinan (E-B) 
 4. Pedoman Menteri Kominfo No 6 Tahun 2017 tentang Manajemen Risiko di lingkungan Kementerian Kominfo (E-B) &gt; Biro Perencanaan &gt; SUDAH ADA</t>
  </si>
  <si>
    <t>Bahwa proses manajemen risiko di Kementerian Kominfo telah terintegrasi dengan proses bisnis dan proses perencanaan tingkat operasional unit kerja serta telah diterapkan secara konsisten, dimana manajemen risiko menjadi bagian dalam TOR yang disusun Satuan/Unit Kerja setiap tahunnya. Bukti Dukung: 1. TOR Kegiatan &gt; Tiap UKE I (E-B) 2. Dokumen MR &gt; Biro Perencanaan dan masing2 UKE I (E-B) 3. Tindak lanjut hasil evaluasi tahun 2023 yang di input di aplikasi MR sebagai dokumen profil risiko dengan pengesahan pimpinan (E-B) 4. Surat Tugas Asistensi dari Itjen &gt;Tiap2 Inspektorat (E-B)</t>
  </si>
  <si>
    <t xml:space="preserve">Bahwa Kementerian Kominfo telah mempunyai Kualitas identifikasi risiko dan register risiko  memadai 
Bukti Dukung :
1. Hasil survey Pemahaman MR (E-B) &gt; Tiap UKE I  
2. Dokumen MR ( yang berisi identifikasi risiko seperti capaian PK yang tidak tercapai dan temuan ditambahkan pada indikator strategis masing2 UKE I) &gt;  Tiap UKE I  (E-B)
3. Tindak lanjut hasil evaluasi tahun 2023 yang di input di aplikasi MR sebagai dokumen profil risiko dengan pengesahan pimpinan (E-B) &gt; Tiap UKE I
</t>
  </si>
  <si>
    <t>Grad: E, D, C, B, AKriteria: Bakti telah memiliki Kebijakan Manajemen Risiko yang memadai, terintegrasi serta telah direviu secara berkala- Perdirut BAKTI Nomor 5 Tahun 2024 tentang Manajemen Risiko- Kepdirut BAKTI Nomor 46 Tahun 2024 tentang Petunjuk Pelaksanaan Manajemen Risiko- Permohonan Penetapan Draf Piagam Risiko BAKTI 2024- Kegiatan Risk Awareness Week Tahun 2024- RBA TA 2024</t>
  </si>
  <si>
    <t>K/L/D telah memiliki Kebijakan Manajemen Risiko yang memadai dan terintegrasi</t>
  </si>
  <si>
    <t>K/L/D telah memiliki Kebijakan Manajemen Risiko yang memadai</t>
  </si>
  <si>
    <t>K/L/D telah memiliki Kebijakan Manajemen Risiko namun belum memadai</t>
  </si>
  <si>
    <t>K/L/D telah memiliki Kebijakan Manajemen Risiko namun sama sekali belum memuat persyaratan dalam kriteria memadai</t>
  </si>
  <si>
    <t>Kualitas identifikasi risiko dan register risiko memadai, serta telah mengidentifikasi peluang</t>
  </si>
  <si>
    <t>Bahwa Kementerian Kominfo telah mempunyai Kualitas identifikasi risiko dan register risiko memadai, 
 Bukti Dukung :
 1. Hasil survey Pemahaman MR (B) 
 2. Dokumen MR ( yang berisi identifikasi risiko seperti capaian PK yang tidak tercapai dan temuan ditambahkan pada indikator strategis masing2 UKE I) &gt; Tiap UKE I (B) : SUDAH ADA Piagam Risiko Form 4 Tw 1-4 + Form 5 MR Eselon I 
 3. Laporan Reviu MR Itjen (B)</t>
  </si>
  <si>
    <t>Bahwa Kementerian Kominfo telah mempunyai Kualitas identifikasi risiko dan register risiko  memadai, 
Bukti Dukung :
1. Hasil survey Pemahaman MR (E-B) &gt; Tiap UKE I  
2. Dokumen MR ( yang berisi identifikasi risiko seperti capaian PK yang tidak tercapai dan temuan ditambahkan pada indikator strategis masing2 UKE I) &gt;  Tiap UKE I  (E-B)
3. Tindak lanjut hasil evaluasi tahun 2023 yang di input di aplikasi MR sebagai dokumen profil risiko dengan pengesahan pimpinan (E-B) &gt; Tiap UKE I</t>
  </si>
  <si>
    <t>Kualitas identifikasi risiko dan register risiko memadai</t>
  </si>
  <si>
    <t>Kualitas identifikasi risiko dan register risiko cukup memadai</t>
  </si>
  <si>
    <t>Kualitas identifikasi risiko dan register risiko belum memadai</t>
  </si>
  <si>
    <t>Register risiko telah disusun</t>
  </si>
  <si>
    <t>Proses manajemen risiko telah melekat pada proses bisnis K/L/D</t>
  </si>
  <si>
    <t>Proses manajemen risiko mendukung inovasi, diidentifikasi untuk memaksimalkan peluang dan dijadikan bahan pembelajaran</t>
  </si>
  <si>
    <t>Bahwa Kementerian Kominfo telah mempunyai Kualitas identifikasi risiko dan register risiko memadai, 
 Bukti Dukung :
 1. TOR Kegiatan (B) 
 2. Dokumen MR ( yang berisi identifikasi risiko seperti capaian PK yang tidak tercapai dan temuan ditambahkan pada indikator strategis masing2 UKE I) &gt; Tiap UKE I (B) SUDAH ADA Piagam Risiko Form 4 Tw 1-4 + Form 5 MR Eselon I 
 3. Tindak Lanjut Hasil Reviu MR Itjen (B)
 4. Laporan Reviu MR Itjen (B)</t>
  </si>
  <si>
    <t>Bahwa proses manajemen risiko di Kementerian Kominfo telah terintegrasi dengan proses bisnis dan proses perencanaan tingkat operasional unit kerja serta telah diterapkan secara konsisten, dimana manajemen risiko menjadi bagian dalam TOR yang disusun Satuan/Unit Kerja setiap tahunnya.
Bukti Dukung:
1. TOR Kegiatan &gt; Tiap UKE I (E-B)
2. Dokumen MR &gt; Biro Perencanaan dan masing2 UKE I (E-B)
3. Tindak lanjut hasil evaluasi tahun 2023 yang di input di aplikasi MR sebagai dokumen profil risiko dengan pengesahan pimpinan (E-B)
4. Surat Tugas Asistensi dari Itjen &gt;Tiap2  Inspektorat (E-B)</t>
  </si>
  <si>
    <t>Proses manajemen risiko telah diterapkan secara konsisten, terintegrasi dengan proses bisnis dan proses perencanaan tingkat operasional unit kerja, strategis unit kerja, dan strategis K/L/D</t>
  </si>
  <si>
    <t>Proses manajemen risiko telah diterapkan secara konsisten, terintegrasi dengan proses bisnis dan proses perencanaan tingkat operasional unit kerja dan strategis unit kerja</t>
  </si>
  <si>
    <t>Proses manajemen risiko telah terintegrasi dengan dengan proses bisnis dan proses perencanaan tingkat operasional unit kerja serta telah diterapkan secara konsisten</t>
  </si>
  <si>
    <t>Proses manajemen risiko mulai dihubungkan dengan dengan proses bisnis dan proses perencanaan tingkat operasional unit kerja namun belum diterapkan secara konsisten</t>
  </si>
  <si>
    <t>w</t>
  </si>
  <si>
    <t>Analisis risiko telah dilakukan secara memadai terhadap risiko operasional unit kerja, risiko strategis unit kerja, dan risiko strategis K/L/D</t>
  </si>
  <si>
    <t>Bahwa Ditjen SDPPI telah melakukan analisis risiko terhadap risiko operasional unit kerja dan risiko strategis unit kerja
 Bukti Dukung :
 1. TOR Kegiatan (B) 
 2. Dokumen MR ( yang berisi identifikasi risiko seperti capaian PK yang tidak tercapai dan temuan ditambahkan pada indikator strategis masing2 UKE I) &gt; Tiap UKE I (B) SUDAH ADA Piagam Risiko Form 4 Tw 1-4 + Form 5 MR Eselon I 
 3. Tindak Lanjut Hasil Reviu MR Itjen (B)
 4. Laporan Reviu MR Itjen (B)</t>
  </si>
  <si>
    <t>Bahwa tindak pengendalian di Kementerian Kominfo telah efektif menurunkan sebagian risiko operasional unit kerja. Dengan bukti dukung:1. Formulir 4 MR (Pemantauan Triwulanan dan Tahunan). (E)2. Piagam MR (E)3. Screenshot trend penurunan risiko dari aplikasi manajemen risiko di Portal Kominfo (E)</t>
  </si>
  <si>
    <t xml:space="preserve">Bahwa Kementerian Kominfo telah melakukan proses analisis risiko terhadap seluruh risiko operasional unit kerja yang telah diidentifikasi. Namun demikian proses analisis risiko belum dikerjakan secara memadai sesuai dengan 3 kriteria sistematis. 
Bukti Dukung KK:
1. Dokumen profil MR (E-B) &gt; Biro Perencanaan dan Tiap UKE I
2. Surat Tugas Asistensi dari Itjen (E-B) &gt; Tiap2 Inspektorat 
3. Notulensi dari kegiatan Manajemen Risiko (E-B)
4. Notulensi /Laporan Pembahasan Perpres No.39 tentang Manajemen Risiko Pembangunan Nasional (E-B) &gt; PPI
5. Tindak lanjut hasil evaluasi tahun 2023 yang di input di aplikasi MR sebagai dokumen profil risiko dengan pengesahan pimpinan (E-B)
6. Perpres No. 39 Tahun 2023 tentang Manajemen Risiko Pembangunan Nasional (E-B) &gt; PPI </t>
  </si>
  <si>
    <t>Grad: E, D, C, BKriteria: Analisis risiko telah dilakukan secara memadai terhadap risiko operasional unit kerja dan risiko strategis unit kerja1. Dokumen Penetapan Draf Piagam Risiko BAKTI 20242. Laporan MR Triwulan 1_20243. Laporan MR Triwulan 2_20244. Laporan MR Triwulan 3_20245. Laporan MR Triwulan 4_20246. Pro analisis risiko telah terdapat dalam aplikasi Incrima</t>
  </si>
  <si>
    <t>Analisis risiko telah dilakukan secara memadai terhadap risiko operasional unit kerja dan risiko strategis unit kerja</t>
  </si>
  <si>
    <t>Analisis risiko telah dilakukan secara memadai terhadap risiko operasional unit kerja</t>
  </si>
  <si>
    <t>Analisis risiko telah dilakukan terhadap seluruh risiko operasional yang teridentifikasi namun belum memadai</t>
  </si>
  <si>
    <t>Analisis risiko telah dilakukan terhadap sebagian risiko operasional yang teridentifikasi.</t>
  </si>
  <si>
    <t>K/L/D telah menentukan prioritas risiko</t>
  </si>
  <si>
    <t>Instansi Pemerintah telah menentukan prioritas risiko pada seluruh risiko operasional unit kerja, strategis unit kerja, strategis K/L/D</t>
  </si>
  <si>
    <t>Bahwa Ditjen SDPPI telah menentukan prioritas risiko pada seluruh risiko operasional unit kerja dan strategis unit kerja
 Bukti Dukung :
 1. TOR Kegiatan (B) 
 2. Dokumen MR ( yang berisi identifikasi risiko seperti capaian PK yang tidak tercapai dan temuan ditambahkan pada indikator strategis masing2 UKE I) &gt; Tiap UKE I (B) SUDAH ADA Piagam Risiko Form 4 Tw 1-4 + Form 5 MR Eselon I 
 3. Tindak Lanjut Hasil Reviu MR Itjen (B)
 4. Laporan Reviu MR Itjen (B)</t>
  </si>
  <si>
    <t>Bahwa Kementerian Kominfo telah menentukan prioritas risiko pada seluruh risiko operasional unit kerja dan strategis unit kerja dengan mengurutkan dari risiko tertinggi sampai dengan terendah.
Dengan data dukung:
1. Laporan hasil evaluasi MR di masing-masing unit kerja (E-B) &gt; Tiap UKE I 
2. Dokumen profil MR &gt; Biro Perencanaan dan Tiap UKE I (E-B)
3.Tindak lanjut hasil evaluasi MR  &gt; Itjen dan Tiap  UKE I (E-B)
4. Pedoman Menteri Kominfo No 6 Tahun 2017 tentang Manajemen Risiko di lingkungan Kementerian Kominfo (E-B) &gt; Biro Perencanaan (E)</t>
  </si>
  <si>
    <t>Instansi Pemerintah telah menentukan prioritas risiko pada seluruh risiko operasional unit kerja dan strategis unit kerja</t>
  </si>
  <si>
    <t>Instansi Pemerintah telah menentukan prioritas risiko pada seluruh risiko operasional unit kerja dan sebagian risiko strategis unit kerjail</t>
  </si>
  <si>
    <t>Instansi Pemerintah telah menentukan prioritas risiko pada seluruh risiko operasional unit kerja</t>
  </si>
  <si>
    <t>Instansi Pemerintah telah menentukan prioritas risiko pada sebagian risiko operasional unit kerja</t>
  </si>
  <si>
    <t xml:space="preserve">K/L/D telah menentukan rencana tindak pengendalian
</t>
  </si>
  <si>
    <t>Instansi Pemerintah telah menentukan rencana tindak pengendalian terhadap risiko operasional unit kerja, strategis unit kerja, dan strategis K/L/D secara memadai</t>
  </si>
  <si>
    <t>Bahwa Ditjen SDPPI telah menentukan rencana tindak pengendalian terhadap risiko operasional unit kerja dan strategis unit kerja secara memadai 
 Bukti Dukung :
 1. TOR Kegiatan (B) 
 2. Dokumen MR ( yang berisi identifikasi risiko seperti capaian PK yang tidak tercapai dan temuan ditambahkan pada indikator strategis masing2 UKE I) &gt; Tiap UKE I (B) SUDAH ADA Piagam Risiko Form 4 Tw 1-4 + Form 5 MR Eselon I 
 3. Tindak Lanjut Hasil Reviu MR Itjen (B)
 4. Laporan Reviu MR Itjen (B)</t>
  </si>
  <si>
    <t>Bahwa Kementerian Kominfo Telah menentukan rencana tindak pengendalian terhadap seluruh risiko operasional unit kerja dan sebagian risiko strategis unit kerja yang telah diprioritaskan yang sudah terdapat pada Formulir 3 (Penanganan Manajemen Risiko). 
Bukti Dukung:
1. Dokumen Profil MR (sd Form 4: Pemantauan Triwulan) (E-B&gt; Biro Perencanaan dan tiap UKE I 
2. Tindak lanjut hasil evaluasi MR Triwulanan-Tahunan (E-B &gt; Tiap UKE I
3. Laporan hasil evaluasi dari Itjen (sebagai dasar untuk penyusunan risiko dampak dan probabilitasnya) (E-B &gt; Tiap UKE I</t>
  </si>
  <si>
    <t>Instansi Pemerintah telah menentukan rencana tindak pengendalian terhadap risiko operasional unit kerja dan strategis unit kerja secara memadai</t>
  </si>
  <si>
    <t>Instansi Pemerintah telah menentukan rencana tindak pengendalian terhadap seluruh risiko operasional unit kerja dan sebagian risiko strategis unit kerja yang telah diprioritaskan</t>
  </si>
  <si>
    <t>Instansi Pemerintah telah menentukan rencana tindak pengendalian terhadap seluruh risiko operasional unit kerja yang telah diprioritaskan</t>
  </si>
  <si>
    <t>Instansi Pemerintah telah menentukan rencana tindak pengendalian terhadap sebagian risiko operasional unit kerja yang telah diprioritaskan</t>
  </si>
  <si>
    <t>Tindak pengendalian terhadap seluruh risiko operasional unit kerja, risiko strategis unit kerja, dan risiko strategis K/L/D telah diimplementasikan</t>
  </si>
  <si>
    <t>Bahwa &gt;60% RTP terhadap terhadap risiko operasional unit kerja dan strategis unit kerja yang direncanakan telah diimplementasikan dan didukung oleh sumber daya yang dibutuhkan. 
 Bukti dukung :
 1. Formulir Manajemen Risiko Satker/Unit Kerja (B) SUDAH ADA Piagam Risiko Form 1 - 5 Eselon I
 2. Laporan Evaluasi Pelaksanaan MR (B)
 3. Perhitungan RTP telah diimplementasikan (B)</t>
  </si>
  <si>
    <t>Bahwa DJIKP Telah mengimplementasikan tindak pengendalian terhadap seluruh risiko operasional unit kerja dan sebagian risiko strategis unit kerja.
Bukti Dukung:
1. Dokumen Profil MR IKP (sd Form 4: Pemantauan Triwulan) (E-B)
2. Tindak lanjut hasil evaluasi MR Triwulanan-Tahunan (E-B)
3. Laporan hasil evaluasi dari Itjen (sebagai dasar untuk penyusunan risiko dampak dan probabilitasnya) (E-B)</t>
  </si>
  <si>
    <t>Tindak pengendalian terhadap seluruh risiko operasional unit kerja dan risiko strategis unit kerja telah diimplementasikan</t>
  </si>
  <si>
    <t>Tindak pengendalian terhadap seluruh risiko operasional unit kerja dan sebagian risiko strategis unit kerja telah diimplementasikan</t>
  </si>
  <si>
    <t>Tindak pengendalian terhadap seluruh risiko operasional unit kerja telah diimplementasikan</t>
  </si>
  <si>
    <t>Tindak pengendalian terhadap sebagian risiko operasional unit kerja telah diimplementasikan</t>
  </si>
  <si>
    <t>Tindak pengendalian telah efektif menurunkan risiko operasional unit kerja, strategis unit kerja, dan strategis K/L/D</t>
  </si>
  <si>
    <t>Bahwa &gt;60% RTP terhadap terhadap risiko operasional unit kerja dan strategis unit kerja yang direncanakan telah efektif menurunkan risiko operasional unit kerja dan strategis unit kerja
 Bukti dukung :
 1. Formulir Manajemen Risiko Satker/Unit Kerja (B) SUDAH ADA Piagam Risiko Form 1 - 5 Eselon I
 2. Laporan Evaluasi Pelaksanaan MR (B)
 3. Perhitungan RTP telah menurunkan risiko (B)</t>
  </si>
  <si>
    <t>Bahwa tindak pengendalian di Kementerian Kominfo telah efektif menurunkan sebagian risiko operasional unit kerja. 
Dengan bukti dukung:
1. Dokumen Profil MR IKP (sd Form 4: Pemantauan Triwulan dan Tahunan) (E-C)
2. Draft Piagam MR 2024 (E-C)
3. Screenshot trend penurunan risiko dari aplikasi manajemen risiko di Portal Kominfo
Tindak lanjut hasil evaluasi MR Triwulanan-Tahunan (E-C)
4. Laporan hasil evaluasi dari Itjen (sebagai dasar untuk penyusunan risiko dampak dan probabilitasnya) (E-C)</t>
  </si>
  <si>
    <t>Tindak pengendalian telah efektif menurunkan risiko operasional unit kerja dan strategis unit kerja</t>
  </si>
  <si>
    <t>Tindak pengendalian efektif menurunkan seluruh risiko operasional unit kerja dan sebagian risiko strategis unit kerja</t>
  </si>
  <si>
    <t>Tindak pengendalian efektif menurunkan seluruh risiko operasional unit kerja</t>
  </si>
  <si>
    <t>Tindak pengendalian efektif menurunkan sebagian risiko operasional unit kerja</t>
  </si>
  <si>
    <t>Pimpinan K/L/D membandingkan tolok ukur kinerja dengan capaian kinerja secara berkala untuk mengatasi hambatan kinerja, menetapkan strategi perbaikan, dan menilai kinerja suatu unit sampai dengan periode tertentu dalam rangka mengawal pencapaian tujuan organisasi</t>
  </si>
  <si>
    <t>Pelaksanaan reviu kinerja mendukung pencapaian kinerja organisasi</t>
  </si>
  <si>
    <t>Bahwa kebijakan dan pelaksanaan reviu kinerja di Ditjen SDPPI oleh masing-masing jenjang pimpinan Telah dievaluasi secara berkala. 
 Dengan data dukung:
 1. Laporan Evaluasi LAKIP UPT SDPPI Tahun 2023 &amp;
 Kick Off Penyusunan LAKIP UPT SDPPI Tahun 2024
 2. Laporan Reviu penyusunan LAKIP tahun 2024
 3. Laporan Evaluasi PK Tahun 2024 dan tindak lanjutnya
 4. Laporan Evaluasi Capaian Nilai Kinerja UPT Sem I 2024
 5. Laporan Evaluasi e-Monev Tahun 2024 dan tindak lanjutnya
 6. Laporan Tindak Lanjut Sosialisasi Pengembangan Monev Kemenkeu
 7. ND Tanggapan atas Draft Laporan Hasil Evaluasi Kinerja Perencanaan Anggaran Ditjen SDPPI TA 2024
 8. Laporan Sosialisasi Pengukuran &amp; Penilaian Nilai Kinerja Perencanaan Anggaran dan Nilai Kinerja Pelaksanaan Anggaran
 9. Permenkominfo Nomor 13 Tahun 2015 tentang Pedoman Penyelenggaraan Sistem Akuntabilitas Kinerja Instansi Pemerintah pada Kementerian Kominfo (E)
 10. SOP Penyusunan LAKIP
 11. Pedoman Evaluasi AKIP Kemkominfo No 2 Tahun 2022</t>
  </si>
  <si>
    <t>Bahwa kebijakan dan pelaksanaan reviu kinerja di Kementerian Kominfo oleh masing-masing jenjang pimpinan Telah dievaluasi secara berkala. 
Dengan data dukung:
1. LAKIP Kementerian Tahun 2023 yang dapat menunjukkan adanya tren perbaikan pada capaian kinerja (A) &gt; Biro Perencanaan
2. Notulensi atau laporan hasil pelaksanaan dari rapat pimpinan atas Evaluasi Kinerja Pelaksanaan Anggaran (EKPA) (A) &gt; Biro Keuangan 
3. Tindak lanjut dari evaluasi atas capaian kinerja Tahun 2023 &gt; Dokumen Perjanjian Kinerja (A) &gt; Biro Perencanaan 
4. Hasil RB Kementerian oleh MenpanRB Tahun 2023 (B) &gt; Biro Kepegawaian 
5. Laporan hasil Evaluasi SAKIP Kementerian oleh Kemenpan RB Tahun 2023 (B) &gt; Biro Perencanaan 
6. Laporan evaluasi capaian bulanan atas capaian kinerja Tahun 2023/2024 (B) &gt; Biro Perencanaan 
7. Laporan Rekapitulasi Pelaksanaan SKP di E-Kinerja Tahun 2023 (C) &gt; Biro Kepegawaian
8. Laporan capaian bulanan atas reviu capaian kinerja (C) &gt; Biro Perencanaan 
9. Screenshot aplikasi PANTAU dan e-Monev (A-E) &gt; Biro Perencanaan
10. Laporan Pelaksanaan program prioritas Tahun 2023/2024 (A-E) &gt; Biro Perencanaan 
11. Perjanjian Kinerja Tahun 2023 (D) &gt; Biro Perencanaan
12. Dokumen manual indikator pengukuran Perjanjian Kinerja (D) &gt; Biro Perencanaan 
13. Keputusan Menteri tentang Penetapan Indikator Kinerja Utama (IKU) (E) &gt; Biro Perencanaan 
14. Permenkominfo Nomor 13 Tahun 2015 tentang Pedoman Penyelenggaraan Sistem Akuntabilitas Kinerja Instansi Pemerintah pada Kementerian Kominfo (E) &gt; Biro Perencanaan</t>
  </si>
  <si>
    <t>Grad: EPimpinan organisasi dan jajaran di bawahnya secara berjenjang memiliki tanggungjawab/kewajiban untuk melaksanakan reviu kinerja secara berkalaDokumen pendukung:1. SKP Kepala SPI tahun 2023Grad: DKewajiban pelaksanaan reviu kinerja diketahui oleh seluruh pimpinan unit dan pegawaiDokumen Pendukung:1. SKP Kepala SPI tahun 2023Grad: CReviu kinerja organisasi dilaksanakan dan didokumentasikan dengan baik untuk dibandingkan pengaruhnya terhadap capaian kinerja periode berikutnya1. Janji Kinerja/Pantau tahun 2023Grad: BKebijakan dan pelaksanaan reviu kinerja organisasi oleh masing-masing jenjang pimpinan telah dievaluasi secara berkala1. Dashboard Janji Kinerja Bakti Kominfo 2023</t>
  </si>
  <si>
    <t>Kebijakan dan pelaksanaan reviu kinerja organisasi oleh masing-masing jenjang pimpinan telah dievaluasi secara berkala</t>
  </si>
  <si>
    <t>Reviu kinerja organisasi dilaksanakan dan didokumentasikan dengan baik untuk dibandingkan pengaruhnya terhadap capaian kinerja periode berikutnya</t>
  </si>
  <si>
    <t>Kewajiban pelaksanaan reviu kinerja diketahui oleh seluruh pimpinan unit dan pegawai</t>
  </si>
  <si>
    <t>Pimpinan organisasi dan jajaran di bawahnya secara berjenjang memiliki tanggungjawab/kewajiban untuk melaksanakan reviu kinerja secara berkala</t>
  </si>
  <si>
    <t>Pembinaan SDM organisasi telah diperbaiki secara berkelanjutan dan secara optimal mampu mendukung pencapaian tujuan organisasi</t>
  </si>
  <si>
    <t>Bahwa pembinaan SDM di Kementerian Kominfo telah dilaksanakan sesuai kebijakan/prosedur yang ditetapkan organisasi. 
 Dengan bukti dukung:
 1. Laporan Penghargaan Inovasi Pegawai melalui IFAST FEST (A)
 2. Penghargaan ASN Berprestasi (ASN dan Dirjen SDPPI)
 3. Laporan monitoring dan evaluasi disiplin pegawai dan pencapaian SKP tahun 2024 dan 2025 (B-A) 
 4. Laporan Pengembangan Kompetensi efektif/analisa impact dari kebijakan pembinaan SDM Tahun 2024/2025 (B) 
 5. Laporan Pelaksanaan Pembinaan CPNS dan PPPK (C)</t>
  </si>
  <si>
    <t>Bahwa kebijakan dan pelaksanaan reviu kinerja di Kementerian Kominfo oleh masing-masing jenjang pimpinan Telah dievaluasi secara berkala. Dengan data dukung: 1. LAKIP Kementerian Tahun 2023 yang dapat menunjukkan adanya tren perbaikan pada capaian kinerja (A) &gt; Biro Perencanaan 2. Notulensi atau laporan hasil pelaksanaan dari rapat pimpinan atas Evaluasi Kinerja Pelaksanaan Anggaran (EKPA) (A) &gt; Biro Keuangan 3. Tindak lanjut dari evaluasi atas capaian kinerja Tahun 2023 &gt; Dokumen Perjanjian Kinerja (A) &gt; Biro Perencanaan 4. Hasil RB Kementerian oleh MenpanRB Tahun 2023 (B) &gt; Biro Kepegawaian 5. Laporan hasil Evaluasi SAKIP Kementerian oleh Kemenpan RB Tahun 2023 (B) &gt; Biro Perencanaan 6. Laporan evaluasi capaian bulanan atas capaian kinerja Tahun 2023/2024 (B) &gt; Biro Perencanaan 7. Laporan Rekapitulasi Pelaksanaan SKP di E-Kinerja Tahun 2023 (C) &gt; Biro Kepegawaian 8. Laporan capaian bulanan atas reviu capaian kinerja (C) &gt; Biro Perencanaan 9. Screenshot aplikasi PANTAU dan e-Monev (A-E) Biro Perencanaan 10. Laporan Pelaksanaan program prioritas Tahun 2023/2024 (A-E) &gt; Biro Perencanaan 11. Perjanjian Kinerja Tahun 2023 (D) &gt; Biro Perencanaan 12. Dokumen manual indikator pengukuran Perjanjian Kinerja (D) &gt; Biro Perencanaan 13. Keputusan Menteri tentang Penetapan Indikator Kinerja Utama (IKU) (E) &gt; Biro Perencanaan 14. Permenkominfo Nomor 13 Tahun 2015 tentang Pedoman Penyelenggaraan Sistem Akuntabilitas Kinerja Instansi Pemerintah pada Kementerian Kominfo (E) &gt; Biro Perencanaan</t>
  </si>
  <si>
    <t xml:space="preserve">Bahwa pembinaan SDM di Kementerian Kominfo telah dilaksanakan sesuai kebijakan/prosedur yang ditetapkan organisasi. 
Dengan bukti dukung:
1. Laporan monitoring dan evaluasi disiplin pegawai dan pencapaian SKP tiap bulan Tahun Triwulan IV 2023 dan 2024 (B-A) &gt; Biro Kepegawaian
2. Laporan Pengembangan Kompetensi efektif/analisa impact dari kebijakan pembinaan SDM Tahun 2023/2024 (B) &gt; Biro Kepegawaian
3. Laporan Kebijakan SKP bulanan Tahun 2023/2024 (B) &gt; (E-B)
4. Hasil evaluasi pelaksanaan Reformasi Birokrasi Tahun 2023 (E-B) &gt; Biro Kepegawaian 
5. Laporan dan dokumentasi FGD / Bimtek pelatihan bagi pegawai Tahun 2023 (B) &gt; Biro Kepegawaian 
6. Laporan pengembangan kompetensi Tahun 2023/2024 (E-B) &gt; Biro Kepegawaian 
7. Laporan pengembangan kepegawaian Tahun 2023/2024 (E-B) &gt; Biro Kepegawaian 
8. Laporan sosialisasi penyusunan SKP Tahun 2023/2024 (E-B) &gt; Biro Kepegawaian 
9. Laporan sosialiasi Kominfo BERAKHLAK Tahun 2023/2024 (E-B) &gt; Biro Kepegawaian </t>
  </si>
  <si>
    <t>Grad: ETerdapat kebijakan yang mengatur pembinaan SDM untuk mendukung pelaksanaan tugas dan fungsi organisasiDokumen pendukung:1. Perdirut Nomor 1 Tahun 2023 Tentang Perubahan atas Perdirut Nomor 5 Tahu 2021 Tentang Pokok - Pokok Peraturan Kepegawaian Grad: DKriteria: Kebijakan terkait pembinaan SDM telah dikomunikasikan dan dipahami oleh pihak yang berkepentinganDokumen Pendukung : 1. Nota dinas Pemberitahuan Perdirut tentang Pokok-pokok Peraturan Kepegawaian beserta Perubahannya Grad: CKriteria: Pembinaan SDM telah dilaksanakan sesuai kebijakan/prosedur yang ditetapkan organisasiDokumen Pendukung :
1. Nota dinas Pemberitahuan Perdirut tentang Pokok-pokok Peraturan Kepegawaian beserta Perubahannya Grad: BKriteria: Kebijakan dan implementasi terkait pembinaan SDM organisasi telah dievaluasi sehingga dapat diketahui efektivitasnya1. 1. Nota dinas Pemberitahuan Perdirut tentang Pokok-pokok Peraturan Kepegawaian beserta Perubahannya</t>
  </si>
  <si>
    <t>Kebijakan dan implementasi terkait pembinaan SDM organisasi telah dievaluasi sehingga dapat diketahui efektivitasnya</t>
  </si>
  <si>
    <t>Pembinaan SDM telah dilaksanakan sesuai kebijakan/prosedur yang ditetapkan organisasi</t>
  </si>
  <si>
    <t>Kebijakan terkait pembinaan SDM telah dikomunikasikan dan dipahami oleh pihak yang berkepentingan</t>
  </si>
  <si>
    <t>Terdapat kebijakan yang mengatur pembinaan SDM untuk mendukung pelaksanaan tugas dan fungsi organisasi</t>
  </si>
  <si>
    <t>Pengendalian atas pengelolaan sistem informasi dilakukan untuk memastikan sistem informasi dapat menyajikan data yang akurat dan tepat waktu untuk digunakan oleh pengguna</t>
  </si>
  <si>
    <t>Perbaikan terkait pengelolaan sistem informasi organisasi dilakukan secara berkelanjutan.</t>
  </si>
  <si>
    <t>Kebijakan pengelolaan sistem informasi di Kementerian Kominfo telah digunakan dalam analisis kebutuhan dukungan sistem informasi, kemanfaatan sistem informasi existing, serta struktur pengelola dan pengguna sistem informasi beserta wewenang dan tanggungjawabnya.
 Dengan bukti dukung:
 1. Pedoman Pengukuran Efektivitas SMKI tahun 2024
 2. Perbaikan terkait pengelolaan sistem informasi berkelanjutan
 3. Laporan Monev sisem informasi (SPBE) 
 4. Laporan pekerjaan pemeliharaan TIK, 
 5. Grand desain/roadmap pengelolaan sistem informasi
 6. Penyediaan modul penggunaan aplikasi
 7. Terdapat alur trouble shooting sistem informasi yang jelas
 8. Penetapan SK pengelola/pengguna sistem informasi
 9. Penggunaan password dan log user aplikasi 
 10. Penyediaan server untuk aplikasi pada ruang terpisah dan berpengaman
 11. Kebijakan Pembatasan akses sistem informasi</t>
  </si>
  <si>
    <t>Bahwa pembinaan SDM di Kementerian Kominfo telah dilaksanakan sesuai kebijakan/prosedur yang ditetapkan organisasi. Dengan bukti dukung: 1. Laporan monitoring dan evaluasi disiplin pegawai dan pencapaian SKP tiap bulan Tahun Triwulan IV 2023 dan 2024 (B-A) &gt; Biro Kepegawaian 2. Laporan Pengembangan Kompetensi efektif/analisa impact dari kebijakan pembinaan SDM Tahun 2023/2024 (B) &gt; Biro Kepegawaian 3. Laporan Kebijakan SKP bulanan Tahun 2023/2024 (B) &gt; (E-B) 4. Hasil evaluasi pelaksanaan Reformasi Birokrasi Tahun 2023 (E-B) &gt; Biro Kepegawaian 5. Laporan dan dokumentasi FGD / Bimtek pelatihan bagi pegawai Tahun 2023 (B) &gt; Biro Kepegawaian 6. Laporan pengembangan kompetensi Tahun 2023/2024 (E-B) &gt; Biro Kepegawaian 7. Laporan pengembangan kepegawaian Tahun 2023/2024 (E-B) &gt; Biro Kepegawaian 8. Laporan sosialisasi penyusunan SKP Tahun 2023/2024 (E-B) &gt; Biro Kepegawaian 9. Laporan sosialiasi Kominfo BERAKHLAK Tahun 2023/2024 (E-B) &gt; Biro Kepegawaian</t>
  </si>
  <si>
    <t>Kebijakan pengelolaan sistem informasi di Kementerian Kominfo telah digunakan dalam analisis kebutuhan dukungan sistem informasi, kemanfaatan sistem informasi existing, serta struktur pengelola dan pengguna sistem informasi beserta wewenang dan tanggungjawabnya.
Dengan bukti dukung:
1. Laporan Kegiatan Evaluasi atas SOP Pengembangan Aplikasi Kementerian Kominfo Tahun 2023 (B) &gt; PDSI 
2. SOP lama dan SOP terbaru (jika ada evaluasi SOP)  (B) &gt; PDSI 
3. Matriks hasil konsultasi dengan Unit Kerja terkait kebutuhan sistem informasi/aplikasi yang mendukung kinerja (B) &gt; PDSI
4. Hasil audit internal dan eksternal sertifikasi ISO (B) &gt; PDSI
5. Hasil survey kepuasan layanan beberapa aplikasi sistem informasi untuk menunjang pelaksanaan pekerjaan sehari-hari yang mendukung tujuan organisasi (absensi geotagging, database data kepegawaian melalui aplikasi simpatik, data penyerapan anggaran melaui aplikasi SIDARA, layanan email) pada Portal kementerian Kominfo Tahun 2023/2024 (E-C) &gt; PDSI
6. Laporan hasil analisis pemetaan/pendataan kebutuhan aset-aset yang berhubungan dengan teknologi informasi (E-C) &gt; PDSI
7. SOP Pengelolaan sistem informasi (E) &gt; PDSI</t>
  </si>
  <si>
    <t>Grad: EPimpinan organisasi menetapkan kebijakan/grand design pengelolaan sistem informasiDokumen pendukung:1. Perdirut No.43 tahun 2018Grad: DUnit pengelola sistem informasi organisasi dan pengguna mengetahui kebijakan pengelolaan sistem informasiDokumen pendukung:1. Tugas dan tanggung jawab sistem SAP berdasarkan fungsiGrad: CKebijakan pengelolaan sistem informasi organisasi digunakan dalam analisis kebutuhan dukungan sistem informasi, kemanfaatan sistem informasi existing, serta struktur pengelola dan pengguna sistem informasi beserta wewenang dan tanggungjawabnya1. Dokumen analisa kebutuhan dukungan sistem informasi yang terintegrasi dalam bentuk KAK SAP2. Screen shot aplikasi Janji Kinerja yang digunakan untuk melakukan pemantauan antara target dan evaluasi</t>
  </si>
  <si>
    <t>Kebijakan pengendalian atas pengelolaan sistem informasi organisasi telah dievaluasi secara berkala.</t>
  </si>
  <si>
    <t>Kebijakan pengelolaan sistem informasi organisasi digunakan dalam analisis kebutuhan dukungan sistem informasi, kemanfaatan sistem informasi existing, serta struktur pengelola dan pengguna sistem informasi beserta wewenang dan tanggungjawabnya.</t>
  </si>
  <si>
    <t>Unit pengelola sistem informasi organisasi dan pengguna mengetahui kebijakan pengelolaan sistem informasi.</t>
  </si>
  <si>
    <t>Pimpinan organisasi menetapkan kebijakan/grand design pengelolaan sistem informasi.</t>
  </si>
  <si>
    <t>Pengelolaan BMN/D dilakukan untuk menjamin aset tersedia dan dapat digunakan dengan baik oleh pengguna dalam rangka mendukung kinerja organisasi</t>
  </si>
  <si>
    <t>Perbaikan berkelanjutan atas pengelolaan aset organisasi</t>
  </si>
  <si>
    <t>Bahwa telah dilakukan perbaikan berkelanjutan atas pengelolaan aset yang didukung dengan sistem pengendalian aset yang tertintegrasi dibuktikan dengan aplikasi yang digunakan dalam pengelolaan BMN yang bertujuan untuk meminimalisir aset dengan kondisi rusak baik ringan/berat yang dibuktikan dengan :
 1. Laporan Monev Kebijakan Pengelolaan Aset
 2. Laporan Rekonsiliasi Pengelolaan Aset
 3. Laporan RK-BMN Tahun 2024
 4. Laporan Kondisi Barang
 5. Laporan Penghapusan BMN
 6. Bukti Dukung Pengamanan Aset (Foto Penyimpanan STNK dan BPKB di brankas)
 7. Laporan Penggunaan BMN tahun 2024
 8. Sosialisasi Pengelolaan BMN
 9. Peraturan terkait pengelolaan dan pengamanan Aset BMN</t>
  </si>
  <si>
    <t>Bahwa telah dilakukan perbaikan berkelanjutan atas pengelolaan aset yang didukung dengan sistem pengendalian aset yang tertintegrasi dibuktikan dengan aplikasi yang digunakan dalam pengelolaan BMN yang bertujuan untuk meminimalisir aset dengan kondisi rusak baik ringan/berat yang dibuktikan dengan : 1. Laporan barang rusak ringan/berat Semester II Tahun 2023 dan Semester I Tahun 2024 (A) &gt; Biro Keuangan 2. Laporan Penghapusan BMN Tahun 2023/2024 (A) &gt; Biro Keuangan 3. Tidak terdapat keluhan dan tidak terdapat aset pribadi yang digunakan untuk keperluan organisasi dan sebaliknya yang dibuktikan dengan usulan pengadaan aset hanya sesuai kebutuhan dan tertuang dalam Rencana Kebutuhan BMN Tahun 2023/2024 (A) &gt; Biro Keuangan 4. Laporan RK-BMN Hasil Penelaahan bersama DJKN &gt; Biro Keuangan 5. CaLK Es 1 &gt; Biro Keuangan 6. Dokumen pedoman pengamanan aset di lingkungan kominfo (masih proses legal drafting di Biro Hukum) &gt; Biro Keuangan 7. Laporan Pengawasan dan Pengendalian BMN Tahun 2023/2024(B) &gt; Biro Keuangan 8. Laporan Hasil Reviu atas LK (B) &gt; Biro Keuangan 9. Tindak Lanjut atas LHR yang di tuangkan dalam Opini BPK (B) &gt; Itjen 10. Aset yang beresiko hilang, dicuri, rusak digunakan tanpa hak secara fisik diamankan dan akses atas aset dikendalian melaui mekanisme Surat peminjaman/pemakaian aset, daftar barang ruang (DBR), foto bukti pemagaran/papan nama atas aset, sertifikasi atas aset (C) &gt; Tiap UKE I dan Biro Umum 11. Aset secara fisik dihitung dan dibandingkan dengan catatan pengendalian yang dibuktikan dengan Berita Acara opname fisik persediaan, BA inventarisasi BMN Tahun 2023/2024 (C) &gt; Tiap UKE I dan Biro Umum 12. Identifikasi aset dilekatkan pada fisik aset melalui labelisasi atas BMN (foto label BMN) (C) &gt; Tiap UKE I dan Biro Keuangan 13. Persediaan dan perlengkapan disimpan di tempat yang diamankan secara fisik (digudang) dan dilindungi dari kerusakan (foto gudang persediaan) (C) &gt; Tiap UKE I 14. Observasi dilakukan secara rutin oleh pengelola aset untuk melihat secara langsung kegiatan pengamanan dan penggunaan aset sudah sesuai dengan kebijakan/SOP yang ditetapkan (lembar verifikasi usulan pengelolaan BMN untuk memastikan bahwa pengelolaan Aset sesuai dengan SOP) (C) &gt; Biro Keuangan 15. Pengguna aset dapat memperoleh manfaat atas keberadaan aset dalam mendukung kinerja organsisasi (BA pemakaian aset) (C) &gt; Biro Umum 16. Laporan Pelaksanaan tugas/notulensi sosialisasi Pedoman terkait RK BMN Tahun 2023/2024 (D) &gt; Biro Keuangan 17. Laporan Pelaksanaan tugas/notulensi sosialisasi Pedoman Akuntansi BMN Tahun 2023/2024 (D) &gt; Biro Keuangan 18. Laporan Pelaksanaan tugas/notulensi sosialisasi Pedoman Penghapusan BMN 2023/2024</t>
  </si>
  <si>
    <t>Bahwa telah dilakukan perbaikan berkelanjutan atas pengelolaan aset yang didukung dengan sistem pengendalian aset yang tertintegrasi dibuktikan dengan aplikasi yang digunakan dalam pengelolaan BMN yang bertujuan untuk meminimalisir aset dengan kondisi rusak baik ringan/berat yang dibuktikan dengan :
1. Laporan barang rusak ringan/berat Semester II Tahun 2023 dan Semester I Tahun 2024 (A) &gt; Biro Keuangan
2. Laporan Penghapusan BMN Tahun 2023/2024 (A)  &gt; Biro Keuangan
3. Tidak terdapat keluhan dan tidak terdapat aset pribadi yang digunakan untuk keperluan organisasi dan sebaliknya yang dibuktikan dengan usulan pengadaan aset hanya sesuai kebutuhan dan tertuang dalam Rencana Kebutuhan BMN Tahun 2023/2024 (A)  &gt; Biro Keuangan
4. Laporan RK-BMN Hasil Penelaahan bersama DJKN  &gt; Biro Keuangan
5. CaLK Es 1  &gt; Biro Keuangan
6. Dokumen pedoman pengamanan aset di lingkungan kominfo (masih proses legal drafting di Biro Hukum)  &gt; Biro Keuangan
7. Laporan Pengawasan dan Pengendalian BMN Tahun 2023/2024(B)  &gt; Biro Keuangan
8. Laporan Hasil Reviu atas LK (B)  &gt; Biro Keuangan
9. Tindak Lanjut atas LHR yang di tuangkan dalam Opini BPK (B)  &gt; Itjen
10. Aset yang beresiko hilang, dicuri, rusak digunakan tanpa hak secara fisik diamankan dan akses atas aset dikendalian melaui mekanisme Surat peminjaman/pemakaian aset, daftar barang ruangan (DBR), foto bukti pemagaran/papan nama atas aset, sertifikasi atas aset (C)  &gt; Tiap UKE I dan Biro Umum
11. Aset secara fisik dihitung dan dibandingkan dengan catatan pengendalian yang dibuktikan dengan Berita Acara opname fisik persediaan, BA inventarisasi BMN Tahun 2023/2024 (C)  &gt; Tiap UKE I dan Biro Umum
12. Identifikasi aset dilekatkan pada fisik aset melalui labelisasi atas BMN (foto label BMN) (C)  &gt; Tiap UKE I dan Biro Keuangan 
13. Persediaan dan perlengkapan disimpan di tempat yang diamankan secara fisik (digudang) dan dilindungi dari kerusakan (foto gudang persediaan) (C) &gt; Tiap UKE I 
14. Observasi dilakukan secara rutin oleh pengelola aset untuk melihat secara langsung kegiatan pengamanan dan penggunaan aset sudah sesuai dengan kebijakan/SOP yang ditetapkan (lembar verifikasi usulan pengelolaan BMN untuk memastikan bahwa pengelolaan Aset sesuai dengan SOP) (C)   &gt; Biro Keuangan
15. Pengguna aset dapat memperoleh manfaat atas keberadaan aset dalam mendukung kinerja organsisasi (BA pemakaian aset) (C) &gt; Biro Umum
16. Laporan Pelaksanaan tugas/notulensi sosialisasi Pedoman terkait RK BMN Tahun 2023/2024 (D) &gt; Biro Keuangan
17. Laporan Pelaksanaan tugas/notulensi sosialisasi Pedoman Akuntansi BMN Tahun 2023/2024 (D) &gt; Biro Keuangan
18. Laporan Pelaksanaan tugas/notulensi sosialisasi Pedoman Penghapusan BMN 2023/2024 (D) &gt; Biro Keuangan
19. Laporan Pelaksanaan tugas/notulensi sosialisasi Pedoman Pengawasan dan Pengendalian BMN 2023/2024 (D) &gt; Biro Keuangan
20. Laporan Pelaksanaan tugas/notulensi sosialisasi Juknis Pemanfaatan BMN 2023/2024(D) &gt; Biro Keuangan
21 Laporan Pelaksanaan tugas/notulensi sosialisasi Juknis mengenai Asuransi BMN 2023/2024(D) &gt; Biro Keuangan
22. Laporan Pelaksanaan tugas/notulensi sosialisasi Dokumen terkait asuransi BMN 2023/2024(D) &gt; Biro Keuangan
23. Pedoman terkait RK BMN (E) &gt; Biro Keuangan
24. Pedoman Akuntansi BMN (E) &gt; Biro Keuangan
25. Pedoman Penghapusan BMN (E) &gt; Biro Keuangan
26. Pedoman Pengawasan dan Pengendalian BMN (E) &gt; Biro Keuangan
27. Juknis Pemanfaatan BMN (E) &gt; Biro Keuangan
28. Juknis mengenai Asuransi BMN (E) &gt; Biro Keuangan
29. Dokumen terkait asuransi BMN (E) &gt; Biro Keuangan</t>
  </si>
  <si>
    <t>Bahwa telah dilakukan perbaikan berkelanjutan atas pengelolaan aset yang didukung dengan sistem pengendalian aset yang tertintegrasi dibuktikan dengan aplikasi yang digunakan dalam pengelolaan BMN yang bertujuan untuk meminimalisir aset dengan kondisi rusak baik ringan/berat yang dibuktikan dengan :1. Aset yang beresiko hilang, dicuri, rusak digunakan tanpa hak secara fisik diamankan dan akses atas aset dikendalian melaui mekanisme - Surat peminjaman/pemakaian aset (Surat peminjaman ruangan)- Daftar barang ruangan (DBR)- Foto bukti pemagaran/papan nama atas aset (Plang Kominfo dan Pagar)- Sertifikasi atas aset (Scan Sertifikat Tanah )2. Aset secara fisik dihitung dan dibandingkan dengan catatan pengendalian yang dibuktikan dengan - Berita Acara opname fisik persediaan, (Berita Acara Opname Fisik Persediaan)- BA inventarisasi BMN Tahun 2023/2024 (Berita Acara Iventarisasi Barang Milik Negara)3. Identifikasi aset dilekatkan pada fisik as melalui labelisasi atas BMN (foto label BMN) 4. Persediaan dan perlengkapan disimpan di tempat yang diamankan secara fisik (digudang) dan dilindungi dari kerusakan (Foto Persediaan dan ATK)</t>
  </si>
  <si>
    <t>Kebijakan/prosedur pengelolaan atas aset organisasi termasuk pengamanan fisik atas aset dievaluasi secara berkala</t>
  </si>
  <si>
    <t>Kebijakan/prosedur pengelolaan atas aset organisasi termasuk pengamanan fisik atas aset diimplementasikan secara memadai</t>
  </si>
  <si>
    <t>Kebijakan pengelolaan aset organisasi dipahami oleh pengelola aset dan pengguna aset</t>
  </si>
  <si>
    <t>Pimpinan organisasi menetapkan kebijakan/prosedur pengelolaan BMN/D</t>
  </si>
  <si>
    <t>Kegiatan pengendalian atas penetapan dan reviu atas indikator dan ukuran kinerja dilakukan untuk menjamin keandalan ukuran dan ketepatan penetapan indikator masing-masing unit secara berjenjang dibandingkan dengan IKU organisasi</t>
  </si>
  <si>
    <t>Perbaikan berkelanjutan atas penetapan dan reviu atas indikator dan ukuran kinerja organisasi</t>
  </si>
  <si>
    <t>Bahwa kebijakan/prosedur penetapan dan reviu atas indikator dan ukuran kinerja organisasi di Kementerian Kominfo telah dievaluasi secara berkala. 
 Dengan bukti dukung:
 1. Laporan Hasil Pembahasan Renstra dan Pohon Kinerja
 2. Laporan Pembahasan PK</t>
  </si>
  <si>
    <t>Bahwa kebijakan/prosedur penetapan dan reviu atas indikator dan ukuran kinerja organisasi di Kementerian Kominfo telah dievaluasi secara berkala. Dengan bukti dukung: 1. Perbaikan indikator kinerja dari yang sebelumnya output menjadi outcome (B) &gt; Biro Perencanaan 2. Hasil evaluasi SAKIP Kementerian oleh MenpanRB (B) &gt; Biro Perencanaan 3. Laporan Tugas penyusunan draft PK Kementerian dan Eselon I (C-B) &gt; Biro Perencanaan 4. Draft Keputusan Menteri tentang Indikator Kinerja Utama (IKU) Tahun 2024 (E-B) &gt; Biro Perencanaan 5. Laporan program prioritas Tahun 2024(D-B) &gt; Biro Perencanaan 6. Perjanjian Kinerja beserta dengan manual indikator (E-B) &gt; Biro Perencanaan</t>
  </si>
  <si>
    <t xml:space="preserve">Bahwa kebijakan/prosedur penetapan dan reviu atas indikator dan ukuran kinerja organisasi di Kementerian Kominfo telah dievaluasi secara berkala. 
Dengan bukti dukung:
1. Perbaikan indikator kinerja dari yang sebelumnya output menjadi outcome (B) &gt; Biro Perencanaan 
2. Hasil evaluasi SAKIP Kementerian oleh MenpanRB (B) &gt; Biro Perencanaan 
3. Laporan Tugas penyusunan draft PK Kementerian dan Eselon I (C-B)  &gt; Biro Perencanaan 
4. Draft Keputusan Menteri tentang Indikator Kinerja Utama (IKU) Tahun 2024 (E-B) &gt; Biro Perencanaan 
5. Laporan program prioritas Tahun 2024(D-B) &gt; Biro Perencanaan 
6. Perjanjian Kinerja beserta dengan manual indikator (E-B) &gt; Biro Perencanaan </t>
  </si>
  <si>
    <t>Grad: EKriteria: Pimpinan organisasi menetapkan kebijakan/prosedur penetapan dan reviu atas indikator dan ukuran kinerjaBukti Dukung : 1. KEPDIRUT 6 Tahun 2024 - PKPT SPI 2024 Grad: DKriteria: Kebijakan/prosedur penetapan dan reviu atas indikator dan ukuran kinerja organisasi dipahami namun belum sepenuhnya diimplementasikanBukti Dukung : 1. KEPDIRUT SOP SPI BAKTI Grad: CKriteria: Kebijakan/prosedur penetapan dan reviu atas indikator dan ukuran kinerja organisasi dilaksanakan secara memadaiBukti Dukung : 1. Laporan Reviu VA Debit TA 20222. Laporan Reviu VA Debit TA 2023Grad: BKriteria: Kebijakan/prosedur penetapan dan reviu atas indikator dan ukuran kinerja organisasi dievaluasi secara berkala: Bukti Dukung : 1. Laporan Reviu VA Debit TA 20222. Laporan Reviu VA Debit TA 2023</t>
  </si>
  <si>
    <t>Kebijakan/prosedur penetapan dan reviu atas indikator dan ukuran kinerja organisasi dievaluasi secara berkala</t>
  </si>
  <si>
    <t>Kebijakan/prosedur penetapan dan reviu atas indikator dan ukuran kinerja organisasi dilaksanakan secara memadai.</t>
  </si>
  <si>
    <t>Kebijakan/prosedur penetapan dan reviu atas indikator dan ukuran kinerja organisasi dipahami namun belum sepenuhnya diimplementasikan.</t>
  </si>
  <si>
    <t>Pimpinan organisasi menetapkan kebijakan/prosedur penetapan dan reviu atas indikator dan ukuran kinerja.</t>
  </si>
  <si>
    <t>Pemisahan fungsi telah diperbaiki secara berkelanjutan dan secara optimal mampu mendukung pencapaian tujuan organisasi</t>
  </si>
  <si>
    <t>Bahwa Ditjen SDPPI telah melakukan pemisahan fungsi dan telah dievaluasi dan secara optimal mampu mendukung pencapaian tujuan organisasi dibuktikan dengan verifikasi usulan pengelola keuangan sebelum ditetapkan setiap tahunnya. Pemisahan fungsi dilakukan melalui otorisasi yang dilakukan hanya oleh pejabat berwenang (otorisasi penandatanganan SPP dan SPM)
 Dokumen terlampir :
 1. Evaluasi Usulan Pengelola Keuangan (B)
 3. SK PPBJ, PSPP, BPP di Ditjen SDPPI (C)
 4. SK User Sakti 2024 (C)
 5. SK Sesditjen SDPPI No. 31 Tahun 2025 tentang Tim Kerja di Lingkungan Ditjen Infrastruktur Digital (C)
 6. SK Petugas Pelaksana Sistem Akuntansi Instansi (SAI) Pusat (C)
 7. SK Petugasn BMN dan Persediaan (C)
 8. SOP terkait Perbendaharaan
 9. ND Penyampaian Koordinator dan Surat Tugas Pegawai di lingkungan Ditjen Infradigi Tahun 2025 (D)
 10. SOTK Kemkomdigi Tahun 2025
 11. Perdirjen Pelaksanaan Anggaran</t>
  </si>
  <si>
    <r>
      <rPr>
        <rFont val="Arial"/>
        <color theme="1"/>
        <sz val="12.0"/>
      </rPr>
      <t xml:space="preserve">Bahwa pemisahan fungsi dalam proses transaksi dan kejadian telah dilaksanakan sesuai kebijakan/prosedur yang ditetapkan
</t>
    </r>
    <r>
      <rPr>
        <rFont val="Arial"/>
        <b/>
        <color theme="1"/>
        <sz val="12.0"/>
      </rPr>
      <t>List dokumen pendukung :</t>
    </r>
    <r>
      <rPr>
        <rFont val="Arial"/>
        <color theme="1"/>
        <sz val="12.0"/>
      </rPr>
      <t xml:space="preserve">
1.  Bag Keuangan : SK Pejabat Pengelola Anggaran 2024 (KPA, PPK, PPSPM, Bendahara), SK User SAKTI (aplikasi Kemenkeu-operator, validator, approver) dengan validasi berjenjang (E-C)
2. Bag Kepegawaian : SOP dan Struktur Organisasi  DJIKP, SK User admin APIK, dst (E-C)
3. Bag BMN : SK Pengelola administrasi dengan pengelolaan fisik Persediaan dan BMN (E-C)
4. Bag Kepegawaian : SKP Ketua Tim Sekretariat (Tahunan 2023 &amp; Trw I Tahun 2024)
5. Semua bagian : Laporan Kinerja berkala (Lakip 2023, Lap IKPA 2023, LK 2023, Lap Monitoring Absensi/Disiplin Pegawai 2023)</t>
    </r>
  </si>
  <si>
    <t>Grad: ETerdapat kebijakan yang mengatur pemisahan fungsi dalam proses transaksi dan kejadianDengan bukti dukung sebagai berikut:1. PMK.05_2022 -TATA CARA PEMBAYARAN DALAM RANGKA PELAKSANAAN ANGGARAN2. KEP KPA NO 3 Tahun 2023 tentang Penetapan Pemegang Uang MukaGrad: DKebijakan terka pemisahan fungsi dalam proses transaksi dan kejadian telah dikomunikasikan dan dipahami oleh pihak yang berkepentinganDengan bukti dukung sebagai berikut:1. Perdirut No.56 th.2019Pelaksanaan dan Pertanggungjawaban AnggaranGrad: DKebijakan terkait pemisahan fungsi dalam proses transaksi dan kejadian telah dikomunikasikan dan dipahami oleh pihak yang berkepentinganDengan bukti dukung sebagai berikut:1. SK Dirut No. 13 2023 tentang Tim Evaluasi Kontrak 2023</t>
  </si>
  <si>
    <t>Kebijakan dan implementasi terkait pemisahan fungsi dalam proses transaksi dan kejadian telah dievaluasi sehingga dapat diketahui efektivitasnya</t>
  </si>
  <si>
    <t>Pemisahan fungsi dalam proses transaksi dan kejadian telah dilaksanakan sesuai kebijakan/prosedur yang ditetapkan</t>
  </si>
  <si>
    <t>Kebijakan terkait pemisahan fungsi dalam proses transaksi dan kejadian telah dikomunikasikan dan dipahami oleh pihak yang berkepentingan</t>
  </si>
  <si>
    <t>Terdapat kebijakan yang mengatur pemisahan fungsi dalam proses transaksi dan kejadian</t>
  </si>
  <si>
    <t>Proses otorisasi atas transaksi dan kejadian telah diperbaiki secara berkelanjutan dan secara optimal mampu mendukung pencapaian tujuan organisasi</t>
  </si>
  <si>
    <t>Bahwa Kebijakan dan implementasi terkait otorisasi atas transaksi dan kejadian telah dievaluasi sehingga dapat diketahui efektivitasnya dibuktikan dengan perubahan struktur organisasi untuk mendukung Permenpan dan Reformasi Birokrasi Nomor 7 Tahun 2022 tentang Sistem Kerja pada Instansi Pemerintah untuk Penyederhanaan Birokrasi, telah dibentuk Tim Kerja di lingkungan Ditjen SDPPI dan merubah struktur anggota dibawahnya dan dievaluasi kinerja masing-masing Tim Kerja
 Dokumen terlampir :
 1. Laporan Evaluasi SOP Ditjen SDPPI Tahun 2024 (B)
 2. Risalah rapat dan draft SOP Monitoring Limbah Elektronik TA 2024 (Dit.Stand) PIC.Dimil (B) Semester II 2024
 3. Laporan Evaluasi SOP Dit.Tan PIC.Prita (B) Semester II 2024
 4. SK Penunjukan Kuasa Pengelola PNBP (B)</t>
  </si>
  <si>
    <t>bahwa telah dilaksanakan evaluasi Pemisahan fungsi dalam proses transaksi dan kejadian telah dilaksanakan sesuai kebijakan - SK tim pengelolaan dan penyimpanan aset BMN (B-E) - PP 30 tahun 2019 (E) - Permen PAN RB nomor 8 tahun 2021 (E) - SK tim pengelolaan dan penyimpanan aset BMN (D-E) - PermenPANRB No. 7/ 2022 tentang sistem kerja baru (E) - SK Menteri Kominfo Nomor 695 Tahun 2020 tentang penetapan KPA, PPK, PPSPM, Bendahara penerimaan dan bendahara pengeluaran di lingkungan kementerian kominfo (D-E) - SK Menteri Kominfo Nomor 574 Tahun 2021 tentang penetapan KPA, PPK, PPSPM, Bendahara penerimaan dan bendahara pengeluaran di lingkungan kementerian kominfo (D-E) - SK Menteri Kominfo Nomor 552 Tahun 2022 tentang penetapan KPA, PPK, PPSPM, Bendahara penerimaan dan bendahara pengeluaran di lingkungan kementerian kominfo (D-E) - SK Dirjen PPI No 1 Tahun 2023 tentang Tim Penunjukan Staf Kuasa Pengguna Anggaran, Staf Pejabat Pembuat Komitmen, Staf Pejabat Pener Surat Perintah Membayar, dan Staf Bendahara Pengeluaran di Lingkungan Ditjen PPI (B-E) - SK Dirjen Nomor 1 Tahun 2022 tentang Penunjukkan Staff Kuasa Pengguna Anggaran, Staff Pejabat Pembuat Komitmen, Staff Pejabat Penerbit Surat Perintah Membayar, dan Staff Bendahara Pengeluaran di lingkungan Ditjen PPI Tahun Anggaran 2022 (B-E) - SK Dirjen Nomor 2 Tahun 2022 tentang Tim Pengelola Keuangan Penerimaan Negara Bukan Pajak di lingkungan Ditjen PPI (B-E) - SK Dirjen Nomor 3 Tahun 2022 tentang Tim Unit Akuntansi Pembantu Pengguna Anggaran dan Kuasa Pengguna Anggaran Ditjen PPI Tahun Anggaran 2022 (B-E) - Surat Perintah Tugas Tim Kerja di Lingkungan Sekretari Ditjen PPI (B-E) - Disposisi Simaya (C) - Disposisi melalui virtual (C) - Permen PAN RB nomor 8 tahun 2021 (E) - SK Dirjen PPI Nomor 215 Tahun 2022 tentang Tim Kerja di Lingkungan Ditjen PPI (B-E)</t>
  </si>
  <si>
    <t>Bahwa otorisasi atas transaksi telah dilaksanakan sesuai ketentuan sesuai kewenangan dan tanggung jawab dan telah dilakukan evaluasi berkala dengan pembuktian berupa :
Penetapan user aplikasi dan validasi dalam proses pengelolaan dan pencairan anggaran (aplikasi SAKTI) sesuai penetapan SK Pejabat Perbendaharaan; dengan monitoring realisasi dan kinerja berkala melalui Lap IKPA periodik (per triwulan) dan update outcome/capaian kinerja di aplikasi SMART</t>
  </si>
  <si>
    <t>Grad: ETerdapat kebijakan yang mengatur prosedur otorisasi atas transaksi dan kejadianDengan bukti dukung sebagai berikut:1. SK Penetapan SOP Keuangan Tahun 2019Grad: DKebijakan terkait otorisasi atas transaksi dan kejadian telah dikomunikasikan dan dipahami oleh pihak yang berkepentinganDengan bukti dukung sebagai berikut:1. SK Penetapan SOP Keuangan Tahun 2019Grad: COtorisasi atas transaksi dan kejadian telah dilaksanakan sesuai kebijakan/prosedur yang ditetapkanDengan bukti dukung sebagai berikut:1. BA Rekonsiliasi BNI Bulan April 2023_Jasa GiroGrad: BKebijakan dan implementasi terkait otorisasi atas transaksi dan kejadian telah dievaluasi sehingga dapat diketahui efektivitasnyaDengan bukti dukung sebagai berikut:1. Laporan Akhir SOP Tg 16 Okt dan Cover</t>
  </si>
  <si>
    <t>Kebijakan dan implementasi terkait otorisasi atas transaksi dan kejadian telah dievaluasi sehingga dapat diketahui efektivitasnya</t>
  </si>
  <si>
    <t>Otorisasi atas transaksi dan kejadian telah dilaksanakan sesuai kebijakan/prosedur yang ditetapkan</t>
  </si>
  <si>
    <t>Kebijakan terkait otorisasi atas transaksi dan kejadian telah dikomunikasikan dan dipahami oleh pihak yang berkepentingan</t>
  </si>
  <si>
    <t>Terdapat kebijakan yang mengatur prosedur otorisasi atas transaksi dan kejadian</t>
  </si>
  <si>
    <t>Pencatatan atas transaksi dan kejadian telah diperbaiki secara berkelanjutan dan secara optimal mampu mendukung pencapaian tujuan organisasi</t>
  </si>
  <si>
    <t>Bahwa Kebijakan dan implementasi yang mengatur prosedur otorisasi atas transaksi dan kejadian telah dikomunikasikan dan dievaluasi sehingga telah dipahami oleh pengelola keuangan/kegiatan, pegawai dan pimpinan 
 1. Laporan Penjaminan Kualitas Penilaian SPIP
 2. Laporan Evaluasi Penilaian SPIP
 3. Laporan Penilaian PIPK Tahun 2024 (Keu)
 4. Hasil Analisa Laporan Keuangan Vertikal Horizontal
 5. SOP Penanganan aduan, one day service + laporan penanganan. (Dit. Layanan) 
 6. Laporan Rekon bulanan dengan KPPN (SHR). 
 7. BA opname fisik barang persediaan triwulanan. Evaluasi pencatatan BMN.  
 8. Keputusan Menteri No. 58 Tahun 2025 tentang Pedoman Kebijakan Akuntansi di Lingkungan Kemkomdigi(B)
 9. Surat Pengiriman LK ke Kementerian Keuangan (D)
 10. SOP penyusunan Laporan Keuangan (E)
 11. Nodin Usulan Perubahan Kebijakan Akuntansi di lingkungan Kemkominfo (B)</t>
  </si>
  <si>
    <t>Bahwa Otorisasi atas transaksi dan kejadian telah dilaksanakan sesuai kebijakan/prosedur yang ditetapkan : - OTP atas Pencairan Dana (C) - Surat Perintah Membayar (C) - Karwas Kontrak (C) - Surat Setoran Pengembalian Belanja (C) - Laporan rapat evaluasi penunjukan dan penetapan koordinato dan sub koordinator (C) - SOP Laporan Keuangan tingkat Satker (C) - SOP Pengelolaan SPM (C) - SK KPA Nomor 4 Tahun 2023 tentang Pejabat Pengadaan Barang/Jasa Pemerintah di Lingkungan Ditjen PPI TA 2023 (C) - Nota Dinas penyampaian SK/ tanda terima SK (D) - PP 30 tahun 2019 (E) - Permen PAN RB nomor 8 tahun 2021 (E) - Sk mentri kominfo no 574 tahun 2021 ttg penetapan - KPA, P PPSPM, Bendahara penerimaan dan bendahara pengeluaran di lingkungan kementerian kominfo (E) - SK tim pengelolaan dan penyimpanan aset BMN (E) - Peraturan Presiden Nomor 12 Tahun 2021 tentang Perubahan atas Peraturan Presiden Nomor 16 Tahun 2018 tentang Pengadaan Barang/Jasa Pemerintah (E) - SK Tim Kerja (E) - Pemberian Penghargaan Karya Satya Tahun 2022 dan 2023 (E)</t>
  </si>
  <si>
    <t>Bahwa Kebijakan yang mengatur prosedur otorisasi atas transaksi dan kejadian telah dikomunikasikan sehingga telah dipahami oleh pengelola keuangan/kegiatan, pegawai dan pimpinan 
1. Notulensi Pembahasan PIPK 2023/2024 (A) &gt; Biro Keuangan
Notulensi/ lapgas Pembahasan Revisi Kebijakan Akuntansi (A) 
2. Nodin penyampaian Penilaian PIPK (A) &gt; Biro Keuangan
3. Draft Pedoman/SOP dan narasi latar belakang penyusunan Pedoman/SOP PBJ dilingkungan Kementerian Kominfo (B) &gt; Biro Umum
4. SK Pengelola Keuangan (KPA, PP SPM, PPK) di Tingkat Kementerian (B) &gt; Biro Keuangan  
5. SK Verifikator SPP (B) &gt; sample per UKE I 
6. Screenshot menu MONSAKTI menu to do list dan monitoring (B)  &gt; Biro Keuangan 
7. Laporan Hasil Reviu atas penyusunan Laporan Keuangan oleh APIP Tahun 2023 (B) &gt; Itjen 
8. BA hasil tripartit BPK-Kemenkeu atas LK Kominfo Tahun 2022 (B) &gt; Biro Keuangan
9. Laporan Hasil Penilaian PIPK  Tahun 2023 bahwa pencatatan telah disajikan dengan benar dan tepat (C) &gt; Biro Keuangan
10. Surat Hasil Rekonsiliasi (SHR) bulan desember Tahun 2023 yang memastikan bahwa seluruh aset telah dicatat (C) &gt; Biro Keuangan
11. Hasil Analisis atas Laporan Keuangan Tahun 2023 Kementerian (Vertikal dan Horisontal) (C)
12. Keputusan Menteri No. 166 Tahun 2024 tentang Pedoman Kebijakan Akuntansi di Lingkungan Kominfo(B)
13. Notadinas penyampaian Kebijakan Akuntansi Kemkomifo Tahun 2024 (D)
14. Surat Pengiriman LK ke Kementerian Keuangan (D)
15. SOP penyusunan Laporan Keuangan (E)</t>
  </si>
  <si>
    <t>Grad: EKriteria: Terdapat kebijakan yang mengatur prosedur pencatatan atas transaksi dan kejadian1. SK Verifikator SPP (Terlampir SK PPSPM)Grad: DKriteria: Kebijakan terkait pencatatan atas transaksi dan kejadian telah dikomunikasikan dan dipahami oleh pihak yang berkepentingan1. SK Verifikator SPP (Terlampir SK PPSPM)Grad: CKriteria: Pencatatan atas transaksi dan kejadian telah dilaksanakan sesuai kebijakan/prosedur yang ditetapkan1. SK Verifikator SPP (Terlampir SK PPSPM)Grad: BKriteria: Kebijakan dan implementasi terkait pencatatan atas transaksi dan kejadian telah dievaluasi sehingga dapat diketahui efektivitasnya1. SK Verifikator SPP (Terlampir SK PPSPM)Grad: AKriteria: Pencatatan atas transaksi dan kejadian telah diperbaiki secara berkelanjutan dan secara optimal mampu mendukung pencapaian tujuan organisasi1. Pencatatan dan transaksi menggunakan aplikasi FO (Dashboard APlikasi FO)</t>
  </si>
  <si>
    <t>Kebijakan dan implementasi terkait pencatatan atas transaksi dan kejadian telah dievaluasi sehingga dapat diketahui efektivitasnya</t>
  </si>
  <si>
    <t>Pencatatan atas transaksi dan kejadian telah dilaksanakan sesuai kebijakan/prosedur yang ditetapkan</t>
  </si>
  <si>
    <t>Kebijakan terkait pencatatan atas transaksi dan kejadian telah dikomunikasikan dan dipahami oleh pihak yang berkepentingan</t>
  </si>
  <si>
    <t>Terdapat kebijakan yang mengatur prosedur pencatatan atas transaksi dan kejadian</t>
  </si>
  <si>
    <t>Pembatasan akses terhadap sumber daya dan pencatatannya telah diperbaiki secara berkelanjutan dan secara optimal mampu mendukung pencapaian tujuan organisasi</t>
  </si>
  <si>
    <t>Bahwa Ditjen SDPPI telah melakukan Pembatasan akses terhadap sumber daya dan pencatatannya telah diperbaiki secara berkelanjutan dan secara optimal mampu mendukung pencapaian tujuan organisasi, kebijakan dan implementasi tekait pembatasan akses sesuai dengan ketentuan.
 Bukti Dukung:
 1. Penyediaan modul penggunaan aplikasi
 2. Terdapat alur trouble shooting sistem informasi yang jelas
 3. Penetapan SK pengelola/pengguna sistem informasi
 4. Penggunaan password dan log user aplikasi (ss login SAKTI)
 5. Penyediaan server untuk aplikasi pada ruang terpisah dan berpengaman
 6. Kebijakan Pembatasan akses sistem informasi
 7. Monitoring Pengguna/ User Aplikasi SAKTI</t>
  </si>
  <si>
    <t>Bahwa Kebijakan yang mengatur prosedur otorisasi atas transaksi dan kejadian telah dikomunikasikan sehingga telah dipahami oleh pengelola keuangan/kegiatan, pegawai dan pimpinan 1. Notulensi Pembahasan PIPK 2023/2024 (A) &gt; Biro Keuangan 2. Notulensi/ lapgas Pembahasan Revisi Kebijakan Akuntansi (A) 3. Nodin penyampaian Penilaian PIP Kementerian Tahun 2024 (A) &gt; Biro Keuangan 4. Draft Pedoman/SOP dan narasi latar belakang penyusunan Pedoman/SOP PBJ dilingkungan Kementerian Kominfo (B) &gt; Biro Umum 5. SK Pengelola Keuangan (KPA, PP SPM, PPK) di Tingkat Kementerian (B) Tahun 2024 &gt; Biro Keuangan 6. SK Verifikator SPP (B) &gt; sample per UKE I 7. Screenshot me MONSAKTI menu to do list dan monitoring (B) &gt; Biro Keuangan 8. Laporan Hasil Reviu atas penyusunan Laporan Keuangan oleh APIP Tahun 2023 (B) &gt; Itjen 9. BA hasil tripartit BPK-Kemenkeu atas LK Kominfo Tahun 2022 (B) &gt; Biro Keuangan &gt; Untuk tahun 2023 kemungkinan akan kelaur di 30 apr-6 mei 2024 10. Laporan Hasil Penilaian PIPK Tahun 2023 bahwa pencatatan telah disajikan dengan benar dan tepat (C) &gt; Biro Keuangan 11. Surat Hasil Rekonsiliasi (SHR) bulan desember Tahun 2023 yang memastikan bahwa seluruh aset telah dicatat (C) &gt; Biro Keuangan 12. Hasil Analisis atas Laporan Keuangan Tahun 2023 Kementerian (Vertikal dan Horisontal) (C) 13. Keputusan Menteri No. 166 Ta 2024 tentang Pedoman Kebijakan Akuntansi di Lingkungan Kominfo(B) 14. Notadinas penyampaian Kebijakan Akuntansi Kemkomifo Tahun 2024 (D) 15. Surat Pengiriman LK ke Kementerian Keuangan (D) 16. SOP penyusunan Laporan Keuangan (E)</t>
  </si>
  <si>
    <r>
      <rPr>
        <rFont val="Arial"/>
        <color theme="1"/>
        <sz val="12.0"/>
      </rPr>
      <t xml:space="preserve">"Bahwa telah ditetapkan pembatasan akses dan pencatatan dengan adanya penunjukan pegawai yang menangani akses tersebut melalui SK Pimpinan
</t>
    </r>
    <r>
      <rPr>
        <rFont val="Arial"/>
        <b/>
        <color theme="1"/>
        <sz val="12.0"/>
      </rPr>
      <t>List dokumen pendukung :</t>
    </r>
    <r>
      <rPr>
        <rFont val="Arial"/>
        <color theme="1"/>
        <sz val="12.0"/>
      </rPr>
      <t xml:space="preserve">
1. SOP di lingkungan Set DJIKP (E-C)
2. SK Pejabat Perbend dan SK User aplikasi Pembayaran (aplikasi SAKTI) (E-C) 
3. Penetapan operator pencatatan dan mutasi fisik BMN (E-C)
4. Nota Dinas Penyampaian Pedoman PA 2024 (E-C)
</t>
    </r>
  </si>
  <si>
    <t>Grad: ETerdapat kebijakan yang mengatur prosedur pembatasan akses terhadap sumber daya yang dimiliki organisasi beserta pencatatannyaDengan bukti dukung sebagai berikut:1. SK Penetapan SOP Keuangan Tahun 2019Grad: DKebijakan terkait pembatasan akses terhadap sumber daya dan pencatatannya telah dikomunikasikan dan dipahami oleh pihak yang berkepentinganDengan bukti dukung sebagai berikut:1. SK Penetapan SOP Keuangan Tahun 2019Grad: CTerhadap sumber daya dan pencatatannya telah dilakukan pembatasan akses sesuai dengan ketentuanBA Rekonsiliasi BNI Bulan April 2023_Jasa GiroDengan bukti dukung sebagai berikut:1. BA Rekonsiliasi BNI Bulan April 2023_Jasa GiroGrad: BKebijakan dan implementasi terkait pembatasan akses terhadap sumber daya dan pencatatannya telah dievaluasi sehingga dapat diketahui efektivitasnyaDengan bukti dukung sebagai berikut:1. Laporan Akhir Evaluasi SOP</t>
  </si>
  <si>
    <t>Kebijakan dan implementasi terkait pembatasan akses terhadap sumber daya dan pencatatannya telah dievaluasi sehingga dapat diketahui efektivitasnya</t>
  </si>
  <si>
    <t>Terhadap sumber daya dan pencatatannya telah dilakukan pembatasan akses sesuai dengan ketentuan</t>
  </si>
  <si>
    <t>Kebijakan terkait pembatasan akses terhadap sumber daya dan pencatatannya telah dikomunikasikan dan dipahami oleh pihak yang berkepentingan</t>
  </si>
  <si>
    <t>Terdapat kebijakan yang mengatur prosedur pembatasan akses terhadap sumber daya yang dimiliki organisasi beserta pencatatannya</t>
  </si>
  <si>
    <t>Pertanggungjawaban terhadap sumber daya dan pencatatannya telah diperbaiki secara berkelanjutan dan secara optimal mampu mendukung pencapaian tujuan organisasi</t>
  </si>
  <si>
    <t>Bahwa Ditjen SDPPI telah melakukan Pertanggungjawaban terhadap sumber daya dan pencatatannya telah diperbaiki secara berkelanjutan dan secara optimal mampu mendukung pencapaian tujuan organisasi dibuktikan dengan penghargaan peringkat 3 dengan Indeks Kinerja Pelaksanaan Anggaran (IKPA) terbaik. Selain itu perbaikan berkelanjutan dilaksanakan pada Penyusunan Laporan Keuangan Eselon I setiap semester dengan mereviu Laporan Keuangan di tingkat bawahnya (36 unit kerja) dan dilakukan evaluasi terhadap capaian kinerja serta direviu oleh Itjen.
 Dokumen terlampir :
 1. Penilaian kualitas pelaporan keuangan Tahun 2024 Eselon I dan UAKPA
 2. Penilaian IKPA 
 2. Penghargaan Kinerja Terbaik (Ifast FEST)
 3. Penghargaan Pengelolaan Keuangan Terbaik (Ifast FEST)
 4. Laporan Penyusunan Laporan Keuangan (C)
 5. Laporan Evaluasi AKIP, LAKIP dan Capaian PK (B)
 6. Monitoring Rekonsiliasi SAKTI GLP (SHR) (C)
 7. Laporan BMN (C)
 8. Laporan Keuangan dan CaLK (C)
 9. Risalah rapat pembahasan usulan pengelola keuangan tahun 2024 (B)
 10. Laporan BIMTEK Pengelolaan Keuangan (C)
 11. SK Pengelola Keuangan dan SAI (D)
 12. ND Penyampaian Koordinator dan Surat Tugas Pegawai di lingkungan Ditjen Infradigi Tahun 2025 (D)
 13. SOTK Kemkomdigi Tahun 2025
 14. Perdirjen Pelaksanaan Anggaran</t>
  </si>
  <si>
    <t>Bahwa terlah dilaksanakan pembatasan akses terhadap sumber daya dan pencatatannya terlah diperbaiki secara berkelanjutan dan secara optimal mampu mendukung pencapaian tujuan organisasi - Laporan evaluasi aplikasi SIMP3 dan SIMKEU (A-B) - Laporan evaluasi aplikasi SIMONA (A-B) - Aplikasi SIMONA (C-E) - Aplikasi SAS (C-E) - Aplikasi SAIBA (C-E) - Aplikasi SIMPONI (C-E) - Aplikasi SIMKEU (C-E) - Aplikasi SIMP3 (C-E) - Aplikasi e-PNBP (C-E) - Sosialisasi PP 30 Tahun 2019 (undangan, lapgas, ST) (D) - Sosialisasi aplikasi SIMJAB (D) - Bimtek SAKTI (D) - Sosialisasi penggunaan aplikasi SAKTI (D) - Permenpan No. 8 Tahun 2021 tentang Sistem Menajemen Kinerja PNS (C-E) - Sk menteri kominfo no 574 tahun 2021 ttg penetapan KPA, PPK, PPSPM, Bendahara penerimaan dan bendahara pengeluaran di lingkungan kementerian kominfo (C-E) - Permen Kominfo Nomor 41 Tahun 2014 (E) - Aplikasi APIK (C-E) - APlikasi SIMPATIK (C-E) - Aplikasi SiPINTER (C-E) - Aplikasi E-SKP (C-E) - Aplikasi SIDARA (C-E) - Aplikasi SIMJAB (C-E) - Aplikasi SIMAYA</t>
  </si>
  <si>
    <t>Bahwa pembatasan akses dan pencatatannya telah dilakukan dengan adanya penunjukan pegawai yang menangani akses tersebut 
List Dokumen Pendukung :
1. Dokumen terkait penanggung jawab/penerima BMN (E-C)
2. Berita Acara Hasil Sensus BMN pada PKB (E-C)
3. Nota Dinas Wasdal BMN Eselon 1 DJIKP Semester II TA 2023 (E-C)</t>
  </si>
  <si>
    <t>Grad: EKriteria: Terdapat kebijakan yang mengatur prosedur pertanggungjawaban sumber daya dan pencatatannya1. PMK-120-Penatausahaan BMNGrad: DKriteria: Kebijakan terkait pertanggungjawaban sumber daya dan pencatatannya telah dikomunikasikan dan dipahami oleh pihak yang berkepentingan1. SOP OPTIMALISA ASET BMNGrad: CKriteria: Sumber daya dan pencatatannya telah dipertanggungjawabkan oleh pihak/pegawai yang ditetapkan sesuai kebijakan/prosedur yang ditetapkan1. SK TIM PENGELOLA BMN"Grad: BKriteria: Kebijakan dan implementasi terkait akuntabilitas sumber daya dan pencatatannya telah dievaluasi sehingga dap diketahui efektivitasnya1. Nota dinas Permohonan Reviu atas laporan keuangan 2. Laporan Keuangan audited Grad: AKriteria: Pertanggungjawaban terhadap sumber daya dan pencatatannya telah diperbaiki secara berkelanjutan dan secara optimal mampu mendukung pencapaian tujuan organisasi1. Laporan Keuangan audited 2. Laporan Hasil Reviu</t>
  </si>
  <si>
    <t>Kebijakan dan implementasi terkait akuntabilitas sumber daya dan pencatatannya telah dievaluasi sehingga dapat diketahui efektivitasnya</t>
  </si>
  <si>
    <t>Sumber daya dan pencatatannya telah dipertanggungjawabkan oleh pihak/pegawai yang ditetapkan sesuai kebijakan/prosedur yang ditetapkan</t>
  </si>
  <si>
    <t>Kebijakan terkait pertanggungjawaban sumber daya dan pencatatannya telah dikomunikasikan dan dipahami oleh pihak yang berkepentingan</t>
  </si>
  <si>
    <t>Terdapat kebijakan yang mengatur prosedur pertanggungjawaban sumber daya dan pencatatannya</t>
  </si>
  <si>
    <t>Pendokumentasian atas SPI serta transaksi dan kejadian penting telah diperbaiki secara berkelanjutan dan secara optimal mampu mendukung pencapaian tujuan organisasi</t>
  </si>
  <si>
    <t>Bahwa Ditjen SDPPI telah mendokumentasikan atas SPI serta transaksi dan kejadian penting telah diperbaiki secara berkelanjutan dan secara optimal mampu mendukung pencapaian tujuan organisasi dibuktikan dengan penghargaan peringkat 1 untuk unit pengolah pusat dan peringkat 3 untuk unit kearsipan pusat dan beberapa penghargaan untuk Direktorat dan UPT pada Pengawasan Kearsipan Internal Tahun 2024 Kominfo selain itu Ditjen SDPPI melakukan audit internal kerasipan terhadap unit kerja dibawah Ditjen SDPPI.
 Dokumen terlampir :
 1. Laporan penghargaan pengawasan pengelolaan arsip &amp; evaluasi berkala arsip Tahun 2024 &amp; 2025 (B)
 2. Bukti pengelolaan arsip secara manual maupun elektronik (SS K-cloud dan e-arsip) (C)
 3. Laporan Audit Internal Kearsipan di Unit Kerja SDPPI (A)
 4. Peraturan ANRI No. 6 Tahun 2019 tentang Pengawasan Kearsipan (E)
 5. Pedoman Menkominfo No. 03 Tahun 2018 tentang Klasifikasi Arsip di Lingkungan Kemenkominfo (E)</t>
  </si>
  <si>
    <t>Pertanggungjawaban terhadap sumber daya dan pencatatannya telah diperbaiki secara berkelanjutan dan secara optimal mampu mendukung pencapaian tujuan organisasi : - Nota dinas No. 968/SJ/KU.01.16/07/2021 tentang Nilai Kinerja Anggaran di Lingkungan Kemkominfo sd 19 Juli 2021 (A) - SK Menteri Kominfo Nomor 552 Tahun 2022 tentang penetapan KPA, PPK, PPSPM, Bendahara penerimaan dan bendahara pengeluaran di lingkungan kementerian kominfo (A) - SK Dirjen PPI No 1 Tahun 2023 tentang Tim Penunjukan Staf Kuasa Pengguna Anggaran, Staf Pejabat Pembuat Komitmen, Staf Pejabat Penerbit Surat Perintah Membayar, dan Staf Bendahara Pengeluaran di Lingkungan Ditjen PPI (A) - perubahan pedoman pelaksanaan anggaran (B) - laporan keuangan audited (B) - Laporan keuangan an audit (C) - berita acara rekon 2021 (B) - SKP telah diterapkan seluruh pegawai (B-C) - Sosialisasi pedoman pelaksanan anggaran (D) - Sosialisasi IKPA (D) - Bimtek aplikasi persediaan (D) - Sosialisasi aplikasi SAKTI (D) - Sosialisasi penyusunan SKP (D) - Sosialisasi BPJS Ketenagakerjaan (D) - Pedoman pelaksanaan anggaran di kominfo (D) - Sk menteri kominfo no 574 tahun 2021 ttg penetapan KPA, PPK, PPSPM, Bendahara penerimaan dan bendahara pengeluaran di lingkungan kementerian kominfo (E) - SK Tim UAKPB No 11 Tahun 2022 (E) - SK Tim UAPKPB No 6 Tahun 20</t>
  </si>
  <si>
    <t xml:space="preserve">Bahwa pengelolaan, pemeliharaan, dan pendokumentasian secara berkala yang mencakup SPI atas transaksi dan kejadian penting yang dilaksanakan secara lengkap dan akurat untuk memfasilitasi penelusuran transaksi, kejadian, dan informasi terkait, dibuktikan dengan  :
Lap kinerja anggaran berkala (IKPA per triwulan)
Lap monev capaian outcome (update aplikasi SMART)
Lap AMDAL (BMN)
</t>
  </si>
  <si>
    <t>Grad: ETerdapat kebijakan yang mengatur prosedur pendokumentasian atas SPI serta transaksi dan kejadian pentingDengan bukti dukung sebagai berikut:1. PMK-120-Penatausahaan BMNGrad: DKebijakan terkait prosedur pendokumentasian atas SPI serta transaksi dan kejadian penting telah dikomunikasikan dan dipahami ole pihak yang berkepentinganDengan bukti dukung sebagai berikut:1. SOP OPTIMALISASI ASET BMN2. Screenshot JDIH KominfoGrad: CKriteria: Pendokumentasian atas SPI serta transaksi dan kejadian penting telah dilaksanakan sesuai kebijakan/prosedur yang ditetapkanDengan bukti dukung sebagai berikut:1. SK TIM PENGELOLA BMNGrad: BPendokumentasian atas SPI serta transaksi dan kejadian penting telah dievaluasi sehingga dapat diketahui efektivitasnyaDengan bukti dukung sebagai berikut:1. Penyampaian LHR PIPK BAKTI TTE2. Pemantauan TLHP BPK 2024</t>
  </si>
  <si>
    <t>Pendokumentasian atas SPI serta transaksi dan kejadian penting telah dievaluasi sehingga dapat diketahui efektivitasnya</t>
  </si>
  <si>
    <t>(E) - SK Tim Penyimpan BMN (E)</t>
  </si>
  <si>
    <t>Pendokumentasian atas SPI serta transaksi dan kejadian penting telah dilaksanakan sesuai kebijakan/prosedur yang ditetapkan</t>
  </si>
  <si>
    <t>Kebijakan terkait prosedur pendokumentasian atas SPI serta transaksi dan kejadian penting telah dikomunikasikan dan dipahami oleh pihak yang berkepentingan</t>
  </si>
  <si>
    <t>Terdapat kebijakan yang mengatur prosedur pendokumentasian atas SPI serta transaksi dan kejadian penting</t>
  </si>
  <si>
    <t>Tersedianya informasi yang relevan untuk kebutuhan internal dan eksternal</t>
  </si>
  <si>
    <t>Informasi yang disajikan relevan dan memenuhi ekspektasi stakeholder</t>
  </si>
  <si>
    <r>
      <rPr>
        <rFont val="Arial"/>
        <color rgb="FF1155CC"/>
        <sz val="12.0"/>
        <u/>
      </rPr>
      <t>Bahwa Ditjen SDPPi telah memiliki Informasi yang disajikan relevan dan memenuhi ekspektasi stakeholder, Klasifikasi informasi telah dievaluasi dan ditindaklanjuti sehingga dapat disajikan dengan tepat waktu, andal, dan relevan, informasi yg relevan mendukung pengendalian intern secara lengkap mudah, dan ketersedian informasi yg mendukug pengendalian intern tidak lengkap.</t>
    </r>
    <r>
      <rPr>
        <rFont val="Arial"/>
        <color rgb="FF1155CC"/>
        <sz val="12.0"/>
        <u/>
      </rPr>
      <t xml:space="preserve">
 Dokumen terlampir :
 1. Laporan hasil survey pelaya</t>
    </r>
    <r>
      <rPr>
        <rFont val="Arial"/>
        <color rgb="FF1155CC"/>
        <sz val="12.0"/>
        <u/>
      </rPr>
      <t>n</t>
    </r>
    <r>
      <rPr>
        <rFont val="Arial"/>
        <color rgb="FF1155CC"/>
        <sz val="12.0"/>
        <u/>
      </rPr>
      <t>an publik Tahun 2024 (A)
 2. Laporan Rapat</t>
    </r>
    <r>
      <rPr>
        <rFont val="Arial"/>
        <color rgb="FF1155CC"/>
        <sz val="12.0"/>
        <u/>
      </rPr>
      <t xml:space="preserve"> </t>
    </r>
    <r>
      <rPr>
        <rFont val="Arial"/>
        <color rgb="FF1155CC"/>
        <sz val="12.0"/>
        <u/>
      </rPr>
      <t>Monev Capaian Kinerja (B)
 3. Laporan Pertanggungjawaban</t>
    </r>
    <r>
      <rPr>
        <rFont val="Arial"/>
        <color rgb="FF1155CC"/>
        <sz val="12.0"/>
        <u/>
      </rPr>
      <t xml:space="preserve"> </t>
    </r>
    <r>
      <rPr>
        <rFont val="Arial"/>
        <color rgb="FF1155CC"/>
        <sz val="12.0"/>
        <u/>
      </rPr>
      <t xml:space="preserve">Bendahara (B) PIC Keuangan
</t>
    </r>
    <r>
      <rPr>
        <rFont val="Arial"/>
        <color rgb="FF1155CC"/>
        <sz val="12.0"/>
        <u/>
      </rPr>
      <t xml:space="preserve"> </t>
    </r>
    <r>
      <rPr>
        <rFont val="Arial"/>
        <color rgb="FF1155CC"/>
        <sz val="12.0"/>
        <u/>
      </rPr>
      <t>5. Bahan Rapat Pimpinan (B)
 6. Aplikasi Sirea untuk Laporan Realisasi Anggaran per Satker Kantor Pusat (SS Laporan Realisa</t>
    </r>
    <r>
      <rPr>
        <rFont val="Arial"/>
        <color rgb="FF1155CC"/>
        <sz val="12.0"/>
        <u/>
      </rPr>
      <t>s</t>
    </r>
    <r>
      <rPr>
        <rFont val="Arial"/>
        <color rgb="FF1155CC"/>
        <sz val="12.0"/>
        <u/>
      </rPr>
      <t>i Anggaran) (B) PIC KEUANGAN
 7. Evalu</t>
    </r>
    <r>
      <rPr>
        <rFont val="Arial"/>
        <color rgb="FF1155CC"/>
        <sz val="12.0"/>
        <u/>
      </rPr>
      <t>a</t>
    </r>
    <r>
      <rPr>
        <rFont val="Arial"/>
        <color rgb="FF1155CC"/>
        <sz val="12.0"/>
        <u/>
      </rPr>
      <t xml:space="preserve">si Aplikasi SPBE Ditjen SDPPI
 8. Evaluasi </t>
    </r>
    <r>
      <rPr>
        <rFont val="Arial"/>
        <color rgb="FF1155CC"/>
        <sz val="12.0"/>
        <u/>
      </rPr>
      <t>P</t>
    </r>
    <r>
      <rPr>
        <rFont val="Arial"/>
        <color rgb="FF1155CC"/>
        <sz val="12.0"/>
        <u/>
      </rPr>
      <t xml:space="preserve">emeliharaan TIK Tahun 2024 (B)
 9. Laporan Monev </t>
    </r>
    <r>
      <rPr>
        <rFont val="Arial"/>
        <color rgb="FF1155CC"/>
        <sz val="12.0"/>
        <u/>
      </rPr>
      <t xml:space="preserve">keterbukaan </t>
    </r>
    <r>
      <rPr>
        <rFont val="Arial"/>
        <color rgb="FF1155CC"/>
        <sz val="12.0"/>
        <u/>
      </rPr>
      <t>info</t>
    </r>
    <r>
      <rPr>
        <rFont val="Arial"/>
        <sz val="12.0"/>
      </rPr>
      <t>rmasi publik (B)
 10. Laporan diseminasi informasi publikasi pelayanan publik (B)
 11. ss berita dan siaran pers di website postel.go.id (C)
 12. ss medsos (C)</t>
    </r>
  </si>
  <si>
    <t>Bahwa telah terdapat pendokumentasiam SPI serta transaksi dan kejadian penting telah diperbaiki secara berkelanjutan dan secara optimal mampu mendukung pencapaian tujuan organisasi 
- Penghargaan Bidang Kearsipan (A) 
- Penghargaan Bidang Keuangan (A) 
- Rekap verifikasi dokumen pertanggungjawaban keuangan pihak ketiga (A)
- Penghargaan Bidang Pelayanan Publik (A) 
- Laporan Akhir Tahun Sistem Penyampaian Informasi Bencana Tahun 2022 (A) 
- Laporan Akhir Tahun Layanan Panggilan Darurat 112 Tahun 2022 (A) 
- Capaian Tim Kerja Penyediaan Infrastruktur Telekomunikasi TA 2022 (A) 
- Laporan Akhir Tahun ITP (A) 
- Laporan Monev Pelaksanaan SOP Bagian Keuang(B) 
- Arsip Ditjen PPI (data rekap arsip ada di tim arsip lantai 4) (C) 
- SOP Pengelolaan Pemberkasan Arsip (C) 
- Pedoman Menteri Kominfo No. 8/2018 tentang Pengelolaan Arsip elektronik di lingkungan Kemkominfo (D-E) 
- Pedoman Meneri Kominfo No. 4/2018 tentang Klasifikasi Kemananan dan Akses Arsip di Lingkungan Kemnkominfo (D-E) 
- Hasil e-SPI Tahun 2022 (D-E)</t>
  </si>
  <si>
    <t xml:space="preserve">Bahwa telah tersedia informasi yang relevan untuk mendukung pengendalian intern tersedia secara lengkap dan mudah untuk diperoleh yang dibuktikan dengan :
Lap KInerja Anggaran (Lap IKPA periodik yang dilaporkan kepada para Stakeholder (KPA, pemilik program, dll))
Lap survey kepuasan masyarakat (dari Bag PPP)
</t>
  </si>
  <si>
    <t>Grad: E, D, C, BKriteria: Register risiko dan rencana tindak pengendalian tingkat operasional Unit Kerja/OPD, strategis Unit Kerja/OPD dan Strategis K/L/D telah dikomunikasikan kepada seluruh pihak terkait dan dijadikan bahan dalam pengambilan keputusan- SK Manajemen Risiko Unit Kerja dan Kementerian Tahun Tahun 2024 Profil peta dan risiko yang menggambarkan risiko strategis (Terlampir Piagam Risiko Direktorat)- Penyampaian Profil Risiko Insidentil Direktorat Layanan Telekomunikasi dan Informasi Badan Usaha- Pemantauan triwulan pada tahun 2024</t>
  </si>
  <si>
    <t>Klasifikasi informasi telah dievaluasi dan ditindaklanjuti sehingga dapat disajikan dengan tepat waktu, andal, dan relevan</t>
  </si>
  <si>
    <t>Informasi yang relevan untuk mendukung pengendalian intern tersedia secara lengkap dan mudah untuk diperoleh</t>
  </si>
  <si>
    <t>Informasi yang relevan untuk mendukung pengendalian intern tersedia secara lengkap namun tidak mudah diperoleh/akses terbatas</t>
  </si>
  <si>
    <t>Ketersediaan informasi yang relevan untuk mendukung pengendalian intern tidak lengkap</t>
  </si>
  <si>
    <t>Pimpinan K/L/D membangun sistem pengaduan</t>
  </si>
  <si>
    <t>Sistem pengaduan berdampak pada perbaikan berkelanjutan</t>
  </si>
  <si>
    <t>Bahwa pimpinan di Kementerian Kominfo telah membangun sistem pengaduan yang berdampak pada perbaikan berkelanjutan.
 Dengan bukti dukung:
 1. Laporan SP4N LAPOR dan Tindak Lanjutnya Tahun 2024
 2. Laporan Evaluasi Dumas 2024 (berkala)
 3. Laporan Tindak Lanjut Aduan Masyarakat melalui SP4N Lapor bln Mei 2025</t>
  </si>
  <si>
    <t>Bahwa pimpinan di Kementerian Kominfo telah membangun sistem pengaduan yang berdampak pada perbaikan berkelanjutan. Dengan bukti dukung: 
1. Laporan hasil aplikasi pengaduan masyarakat di Kementerian Kominfo yang diperoleh dari aplikasi atau tools pelaporan tiap unit kerja Tahun 2023/2024 (E-C) &gt; Biro Humas dan Itjen 
2. Laporan tindak lanjut hasil pengaduan masyarakat Tahun 2023/2024 (E-C) Biro Humas dan Itjen 
3. Narasi penjelasan atas identifikasi dan pemutakhiran hasil evaluasi MR dari APIP misalnya tergait target PK yang tidak tercapai (E-C) &gt; Biro Perencanaan 
4. SOP/Juknis LAPOR Biro Humas dan WBS Dumas (E-C) &gt; Biro HUmas dan Itjen 
5. Screenshot aplikasi dan lapor dari aplikasi LAPOR &gt; Biro Humas 
6. Pedoman Menteri Komunikasi dan Informatika Nomor 6 Tahun 2018 tentang Pedoman Pengelolaan Pengaduan Masyarakat dan Penanganan Pelaporan Pelanggaran (Whistleblowing System) di Lingkungan Kementerian Komunikasi dan Informatika (E)</t>
  </si>
  <si>
    <t>Bahwa pimpinan di Kementerian Kominfo telah membangun sistem pengaduan yang berdampak pada perbaikan berkelanjutan.
Dengan bukti dukung:
1. Laporan hasil aplikasi pengaduan masyarakat di Kementerian Kominfo yang diperoleh dari aplikasi atau tools pelaporan tiap unit kerja Tahun 2023/2024 (E-C) &gt; Biro Humas dan Itjen
2. Laporan tindak lanjut hasil pengaduan masyarakat Tahun 2023/2024 (E-C) Biro Humas dan Itjen
3. Narasi penjelasan atas identifikasi dan pemutakhiran hasil evaluasi MR dari APIP misalnya tergait target PK yang tidak tercapai (E-C) &gt; Biro Perencanaan 
4. SOP/Juknis LAPOR Biro Humas dan WBS Dumas (E-C) &gt; Biro HUmas dan Itjen 
5. Screenshot aplikasi dan laporan dari aplikasi LAPOR &gt; Biro Humas
6. Pedoman Menteri Komunikasi dan Informatika Nomor 6 Tahun 2018 tentang Pedoman Pengelolaan Pengaduan Masyarakat dan Penanganan Pelaporan Pelanggaran (Whistleblowing System) di Lingkungan Kementerian Komunikasi dan Informatika (E)</t>
  </si>
  <si>
    <t>Sistem pengaduan telah dievaluasi</t>
  </si>
  <si>
    <t>Sistem pengaduan telah diterapkan dan ditindaklanjuti sesuai Kebijakan/SOP</t>
  </si>
  <si>
    <t>Keberadaan sistem pengaduan telah disosialisasikan kepada masyarakat/stakeholder</t>
  </si>
  <si>
    <t>Telah terdapat kebijakan penerapan sistem pengaduan</t>
  </si>
  <si>
    <t>Strategi dan kebijakan manajemen risiko telah dikomunikasikan pada seluruh pegawai pada tingkat operasional unit kerja, tingkat strategis unit kerja, dan tingkat strategis K/L/D</t>
  </si>
  <si>
    <t>Bahwa Strategi dan kebijakan manajemen risiko di Kementerian Kominfo telah dikomunikasikan pada seluruh pegawai pada tingkat operasional unit kerja dan sebagian pegawai pada tingkat strategis unit kerja. 
 Dengn data dukung:
 1. Dokumen Manajemen Risiko (Piagam MR dan SK UPR Unit Kerja) Tahun 2024 (C) : SUDAH ADA Piagam Risiko Form 1 - 5 Eselon I
 2. Laporan Reviu MR Itjen dan Tindak Lanjutnya
 3. Laporan Sosialisasi MR : SUDAH ADA Laporan Sosialisasi MR 2025 dan Laporan Diklat MR 2024</t>
  </si>
  <si>
    <t>Bahwa pimpinan di Kementerian Kominfo telah membangun sistem pengaduan yang berdampak pada perbaikan berkelanjutan. Dengan bukti dukung: 1. Laporan hasil aplikasi pengaduan masyarakat di Kementerian Kominfo yang diperoleh dari aplikasi atau tools pelaporan tiap unit kerja Tahun 2023/2024 (E-C) &gt; Biro Humas dan Itjen 2. Laporan tindak lanjut hasil pengaduan masyarakat Tahun 2023/2024 (E-C) Biro Humas dan Itjen 3. Narasi penjelasan atas identifikasi dan pemutakhiran hasil evaluasi MR dari APIP misalnya tergait target PK yang tidak tercapai (E-C) &gt; Biro Perencanaan 4. SOP/Juknis LAPOR Biro Humas dan WBS Dumas (E-C) &gt; Biro HUmas dan Itjen 5. Screenshot aplikasi dan lapor dari aplikasi LAPOR &gt; Biro Humas 6. Pedoman Menteri Komunikasi dan Informatika Nomor 6 Tahun 2018 tentang Pedoman Pengelolaan Pengaduan Masyarakat dan Penanganan Pelaporan Pelanggaran (Whistleblowing System) di Lingkungan Kementerian Komunikasi dan Informatika (E)</t>
  </si>
  <si>
    <t>Bahwa Strategi dan kebijakan manajemen risiko di Kementerian Kominfo telah dikomunikasikan pada seluruh pegawai pada tingkat operasional unit kerja dan sebagian pegawai pada tingkat strategis unit kerja. 
Dengn data dukung:
1. Dokumen Manajemen Risiko (Piagam MR dan SK UPR Unit Kerja) Tahun 2023 (C) &gt; Biro Perencanaan dan Tiap UKE I
2. Laporan tugas atau nota dinas asistensi dari Itjen Tahun 2023(C) &gt; Tiap UKE I
3. SK Manajemen Risiko Unit Kerja dan Kementerian Tahun 2023 dan Tahun 2024 (C) &gt; Tiap UKE I dan Biro Perencanaan
4. Hasil survey Pemahaman MR tingkat UKEI Tahun 2024 &gt; Tiap UKE I
5. Form 2 profil peta dan resiko yang menggambarkan risiko strategis &gt; Tiap UKE I</t>
  </si>
  <si>
    <t>Strategi dan kebijakan manajemen risiko telah dikomunikasikan pada seluruh pegawai pada tingkat operasional unit kerja dan tingkat strategis unit kerja</t>
  </si>
  <si>
    <t>Strategi dan kebijakan manajemen risiko telah dikomunikasikan pada seluruh pegawai pada tingkat operasional unit kerja dan sebagian pegawai pada tingkat strategis unit kerja</t>
  </si>
  <si>
    <t>Strategi dan kebijakan manajemen risiko telah dikomunikasikan pada seluruh pegawai pada tingkat operasional unit kerja</t>
  </si>
  <si>
    <t>Strategi dan kebijakan manajemen risiko telah dikomunikasikan pada sebagian pegawai pada tingkat operasional unit kerja</t>
  </si>
  <si>
    <t>Register risiko dan rencana tindak pengendalian tingkat operasional Unit Kerja/OPD, strategis Unit Kerja/OPD dan Strategis K/L/D telah dikomunikasikan kepada seluruh pihak terkait dan dijadikan bahan dalam pengambilan keputusan  serta menjadi bahan pembelajaran dan inovasi</t>
  </si>
  <si>
    <t>Bahwa Strategi dan kebijakan manajemen risiko di Kementerian Kominfo telah dikomunikasikan pada seluruh pegawai pada tingkat operasional unit kerja dan sebagian pegawai pada tingkat strategis unit kerja. 
 Dengn data dukung:
 1. Dokumen Manajemen Risiko (Piagam MR dan SK UPR Unit Kerja) Tahun 2024 (C)  SUDAH ADA Piagam Risiko Form 1 - 5 Eselon I
 2. Laporan Reviu MR Itjen dan Tindak Lanjutnya
 3. Laporan Sosialisasi MR SUDAH ADA Laporan Sosialisasi MR 2025 dan Laporan Diklat MR 2024</t>
  </si>
  <si>
    <t xml:space="preserve">Bahwa Register resiko dan rencana tindak pengendalian tingkat operasional unit Kerja Setjen telah dikomunikasikan kepada seluruh pihak terkait
1. Risk register dan pemantauan triwulan dari pemilik risiko sd koordinator risiko &gt; Biro Perencanaan 
2. Piagam Manajemen Resiko (E-C) &gt; Biro Perencanaan 
3. SK Manajemen Risiko Unit Kerja dan Kementerian Tahun 2023 dan Tahun 2024 (C) &gt; Tiap UKE I dan Biro Perencanaan
4. Form 2 profil peta dan resiko yang menggambarkan risiko strategis (C) &gt; Tiap UKE I dan Biro Perencanaan
5. Hasil evaluasi atau asistensi dari Itjen (C) &gt; Tiap Inspektorat </t>
  </si>
  <si>
    <t>Grad: DKriteria: Komunikasi yang efektif telah dilakukan kepada internal dan eksternal namun belum terstruktur dan berkalaDengan bukti dukung sebagai berikut:1. IG Bakti2. Facebook BaktiGrad: CKomunikasi yang efektif telah dilakukan kepada internal dan eksternal secara terstruktur dan berkalaDengan bukti dukung sebagai berikut:1. Laporan CS Survei Bakti 2020Grad: BKomunikasi yang efektif telah dilakukan kepada internal dan eksternal secara terstruktur dan berkala dan telah dievaluasiDengan bukti dukung sebagai berikut:1. LAPORAN CONTACT CENTER BAKTI MEI2. Laporan Bulan Agustus 2022 HALO BAKTI"Grad: AKriteria: Perbaikan berkelanjutan atas metodologi komunikasi yang efektif1. LAPORAN CONTACT CENTER BAKTI MEI2. Laporan Bulan Agustus 2022 HALO BAKTI"</t>
  </si>
  <si>
    <t>Register risiko dan rencana tindak pengendalian tingkat operasional Unit Kerja/OPD, strategis Unit Kerja/OPD dan Strategis K/L/D telah dikomunikasikan kepada seluruh pihak terkait dan dijadikan bahan dalam pengambilan keputusan</t>
  </si>
  <si>
    <t>Register risiko dan rencana tindak pengendalian operasional Unit Kerja/OPD, strategis Unit Kerja/OPD dan Strategis K/L/D telah dikomunikasikan kepada seluruh pihak terkait</t>
  </si>
  <si>
    <t>Register risiko dan rencana tindak pengendalian tingkat operasional unit kerja/OPD dan strategis unit kerja/OPD telah dikomunikasikan kepada seluruh pihak terkait</t>
  </si>
  <si>
    <t>Register risiko dan rencana tindak pengendalian tingkat operasional unit kerja telah dikomunikasikan kepada sebagian pihak terkait</t>
  </si>
  <si>
    <t>Perbaikan berkelanjutan atas metodologi komunikasi yang efektif</t>
  </si>
  <si>
    <t>Bahwa Ditjen SDPPI telah melakukan Komunikasi yang efektif dan telah dilakukan kepada internal dan eksternal secara terstruktur dan berkala dengan dukungan media sosial untuk memberikan informasi kepada publik dan telah dievaluasi. Selain itu untuk mengetahui efektifitasnya, telah dilakukan survey pelayanan publik.
 Dokumen terlampir :
 1. Laporan hasil survey pelayanan publik Tahun 2024 (B) 
 2. Laporan Survey Kepuasan Masyarakat Tahun 2024 &amp; Triwulan I 2024 (B) 
 3. Laporan Evaluasi medsos (B) 
 4. Screenshot Medsos SDPPI (B) 
 5. Screenshot SIMAYA, aplikasi komunikasi internal (B)
 6. Konten medsos dan monev tentang gratifikasi (B)</t>
  </si>
  <si>
    <t>Bahwa perbaikan berkelanjutan atas komunikasi yang efektif sudah dilakukan, melalui - Portal Layanan Panggilan Darurat 112 (Screenshot Portal) (A) - Laporan Hasil Verifikasi Kesiapan Layanan Darurat (A) - Sosialisasi Digipay tanggal 1 November (A) - laporan IKM pelayanan publik perizinan pos, telekomunikasi dan penyiaran (B) - laporan rapat evalu pelaksanaan anggaran Kominfo tahun 2021 (B) - rapat di bidang keuangan (C-E) - bimtek di bidang keuangan (C-E) - sosialisasi di bidang keuangan (C-E) - Sosialisasi PermenPANRB Nomor 1 Tahun 2023 tentang Jabatan Fungsional (C-E) - Laporan Sosialisasi Penyusunan SKP pada Aplikasi e-Kinerja dengan BKN (C-E) - Laporan Penyusunan ABK JF Analis Kebijakan dan JF Analis SDM Aparatur dengan LAN dan BKN (C-E)</t>
  </si>
  <si>
    <t>Komunikasi yang efektif telah dilakukan kepada internal dan eksternal secara terstruktur dan berkala</t>
  </si>
  <si>
    <t>Komunikasi yang efektif telah dilakukan kepada internal dan eksternal secara terstruktur dan berkala dan telah dievaluasi</t>
  </si>
  <si>
    <t>Komunikasi yang efektif telah dilakukan kepada internal dan eksternal namun belum terstruktur dan berkala</t>
  </si>
  <si>
    <t>Komunikasi yang efektif dengan eksternal belum dilakukan</t>
  </si>
  <si>
    <t>Pimpinan K/L/D/penanggungjawab program dan kegiatan/penanggungjawab operasional mengevaluasi secara berkala pengendalian intern yang telah dilakukan dalam rangka mencapai tujuan organisasi.</t>
  </si>
  <si>
    <t>Perbaikan berkelanjutan atas pemantauan pengendalian intern dilaksanakan dan berdampak pada kualitas pengendalian intern</t>
  </si>
  <si>
    <t>Bahwa Ditjen SDPPI telah melakukan pemantauan berkelanjutan dan melakukan perbaikan terkait pengendalian intern yang dibuktikan dengan dilaksanakan penilaian Pengendalian Intern Pelaporan Keuangan (PIPK), penilaian mandiri SPIP, Evaluasi Capaian Kinerja, Evaluasi Sasaran Kinerja Pegawai (SKP) dan Evaluasi MR.
 Dokumen terlampir :
 1. Laporan PIPK Tahun 2024 (B)
 2. Laporan Rapat Evaluasi SPIP dan Laporan Rapat Pembahasan Tindak Lanjut Saran BPKP atas Penilaian Mandiri Maturitas Penyelenggaraan SPIP (B)
 3. Undangan dan Laporan evaluasi capaian kinerja (B)
 4. Laporan Rekonsiliasi data PNBP 2024 dan 2025 (B)
 5. Penilaian SKP Pegawai (B)
 6. Laporan MEvaluasi MR 2024 (B)</t>
  </si>
  <si>
    <t>Perbaikan berkelanjutan atas pemantauan pengendalian intern dilaksanakan dan berdampak pada kualitas pengendalian intern : - laporan rapat monev beserta rekomendasi pelaksanaan anggaran (A) - Laporan Rakorses Monitoring dan Evaluasi Penyerapan Anggaran (A) - Aplikasi SIDARA (A) - Rekap Tindak Lanjut Temuan BPK dan Itjen (A) - Nota Dinas Nomor 306/DJPPI.1/PW.04.06/01/2023 tentang Penyampaian Laporan Hasil Penilaian Penerapan Pengendalian Intern atas Pelaporan Keuangan Ditjen PPI (A) - laporan IKPA Ditjen PPI (B-E) - Realisasi E- Monev, SMART DJA dan SIPINTER (B-E) - Realisasi e- SKP (B-E) - Laporan Rapim Ditjen PPI (B-E) - Laporan Rapim eselon II (B-E) - Tersedianya laporan dan tindak lanjut melalui aplikasi SIMWAS (B-E) - pengendalian internal pelaporan keuangan tingkat eselon I (E) - Pemantauan tindak lanjut temuan BPK (E) - Laporan monev pp39 (E)</t>
  </si>
  <si>
    <t xml:space="preserve">Bahwa dokumen Manajemen Risiko telah dilakukan reviu atas seluruh risiko operasional unit kerja dan strategis unit kerja. Kebijakan, framework, metode, tahapan, proses, dan praktik yang dijalankan terkait dengan proses manajemen risiko telah direviu oleh pihak internal dari Instansi Pemerintah (oleh APIP maupun komite manajemen risiko) tetapi hanya atas risiko operasional unit kerja dan strategis unit kerja. Hal ini dibuktikan dengan:
1.Laporan Hasil Reviu MR Unit Kerja Eselon I dan Satuan Kerja oleh APIP
</t>
  </si>
  <si>
    <t>Seluruh hasil pemantauan berkelanjutan dikelola dan ditindaklanjuti</t>
  </si>
  <si>
    <t>Pemantauan pelaksanaan pengendalian telah dilaksanakan pada seluruh aktivitas pengendalian dan terkait pemantauan kinerja telah dilaksanakan pada level program, kegiatan, unit kerja level dibawahnya sampai dengan pemantauan kinerja individu, namun hasil pemantauan belum dikelola (tidak lanjut tidak termonitor)</t>
  </si>
  <si>
    <t>Pemantauan pelaksanaan pengendalian telah dilaksanakan pada sebagian aktivitas pengendalian dan terkait pemantauan kinerja telah dilaksanakan pada level program dan kegiatan</t>
  </si>
  <si>
    <t>Pemantauan pelaksanaan pengendalian telah dilaksanakan</t>
  </si>
  <si>
    <t>Sudah dilakukan reviu atas seluruh risiko operasional unit kerja, strategis unit kerja, dan strategis K/L/D dan hasil reviu dijadikan bahan perbaikan organisasi</t>
  </si>
  <si>
    <t>Bahwa Strategi dan kebijakan manajemen risiko di Kementerian Kominfo telah dikomunikasikan pada seluruh pegawai pada tingkat operasional unit kerja dan sebagian pegawai pada tingkat strategis unit kerja. 
 Dengn data dukung:
 1. Dokumen Evaluasi MR (Form IV) SUDAH ADA Piagam Risiko berisi Form IV MR Eselon I
 2. Laporan Reviu MR Itjen dan Tindak Lanjutnya
 3. Laporan Sosialisasi MR SUDAH ADA Laporan Sosialisasi MR 2025 dan Laporan Diklat MR 2024</t>
  </si>
  <si>
    <t>Bahwa di Kementerian Kominfo Telah melakukan reviu atas seluruh risiko operasional unit kerja, strategis unit kerja, dan strategis.
Dengan bukti dukung:
1. Nota Dinas hasil reviu Manajemen Risiko Unit Kerja Eselon I oleh APIP Tahun 2023/2024(E-C) &gt; Itjen
2. Dokumen MR Unit Kerja Eselon I dan Kementerian Tahun 2023/2024 (E-C) &gt; Tiap UKE I dan Biro Perencanaan
3. Laporan Hasil Pemantauan MR Triwulan-Tahunan Unit Kerja Eselon I oleh APIP Tahun 2023 (E-C) &gt; Tiap UKE I
4. Risiko strategis pada Risk Profile Tahun 2023/2024 (masing2 UKI memetakan cascading dari Kementerian dalam bentuk dokumen dan capture) (E-C) Tiap UKE I</t>
  </si>
  <si>
    <t>Grad: AKriteria: Sudah dilakukan reviu atas seluruh risiko operasional unit kerja, strategis unit kerja, dan strategis K/L/D dan hasil reviu dijadikan bahan perbaikan organisasi- Catatan Hasil reviu Manajemen Risiko BAKTI 2024- Tanggapan CHE Itjen tahun 2024- Pemantauan risiko triwulan tahun 2024</t>
  </si>
  <si>
    <t>Sudah dilakukan reviu atas seluruh risiko operasional unit kerja, strategis unit kerja, dan strategis K/L/D</t>
  </si>
  <si>
    <t>Sudah dilakukan reviu atas seluruh risiko operasional unit kerja dan strategis unit kerja</t>
  </si>
  <si>
    <t>Sudah dilakukan reviu atas seluruh risiko operasional unit kerja</t>
  </si>
  <si>
    <t>Sudah dilakukan reviu atas sebagian risiko operasional unit kerja</t>
  </si>
  <si>
    <t>Monitoring terhadap risiko dan tindak pengendalian dilakukan terhadap risiko operasional unit kerja, strategis unit kerja, dan strategis K/L/D secara memadai dan menjadi bahan pembelajaran bagi unit kerja</t>
  </si>
  <si>
    <t>Bahwa dokumen Manajemen Risiko telah dilakukan reviu atas sebagian risiko operasional unit kerja, dimana kebijakan, framework, metode, tahapan, proses, dan praktik yang dijalankan terkait dengan proses manajemen risiko telah direviu oleh pihak internal dari Instansi Pemerintah (oleh APIP maupun komite manajemen risiko) tetapi hanya atas risiko operasional unit kerja. Hal ini dibuktikan dengan:
 1. Laporan Hasil Reviu MR Unit Kerja Eselon I dan Satuan Kerja oleh APIP dan TIndak Lanjut Satker
 2. Laporan Monev Manajemen Risiko TA 2024
 3. Formulir Manajemen Risiko Unit/Satuan Kerja SUDAH ADA Piagam Risiko berisi Form 1-5 MR Eselon I
 4. TOR Kegiatan</t>
  </si>
  <si>
    <t>Bahwa monitoring terhadap risiko dan tindak pengendalian di IKP telah dilakukan terhadap risiko operasional unit kerja, strategis unit kerja dan strategis secara memadai. 
Dengan bukti dukung:
1. Laporan KInerja Anggaran (Lap IKPA periodik yang dilaporkan kepada para Stakeholder (KPA, pemilik program, dll) (E-C)
2. Laporan survey kepuasan masyarakat atas Kinerja Diseminasi Komunikasi dan Informasi Publik (dari Bag PPP) (E-C)
3. SK Dirjen IKP No. 12 Thn 2023 tentang Tim Manajemen Risiko tahun 2023 dan SK Tim tahun 2024 (E-C)
4. Laporan Kinerja per Unit Kerja (Direktorat) di lingkungan DJIKP (E-C)</t>
  </si>
  <si>
    <t>Monitoring terhadap risiko dan tindak pengendalian dilakukan terhadap risiko operasional unit kerja/OPD, strategis unit kerja/OPD dan strategis K/L/D secara memadai</t>
  </si>
  <si>
    <t>Monitoring terhadap risiko dan tindak pengendalian dilakukan terhadap risiko operasional unit kerja/OPD dan strategis unit kerja/OPD secara memadai</t>
  </si>
  <si>
    <t>Monitoring terhadap risiko dan tindak pengendalian dilakukan terhadap risiko operasional unit kerja/OPD secara memadai</t>
  </si>
  <si>
    <t>Monitoring terhadap risiko dan tindak pengendalian dilakukan terhadap risiko operasional unit kerja/OPD namun belum memadai</t>
  </si>
  <si>
    <t>Perbaikan berkelanjutan atas pelaksanaan evaluasi terpisah berdampak pada peningkatan kualitas pengendalian intern dan pencapaian tujuan organisasi</t>
  </si>
  <si>
    <t>Bahwa evaluasi terpisah di Kementerian Kominfo telah dilaksanakan pada seluruh aktivitas pengendalian dan seluruh program dan kegiatan serta dilaksanakan oleh pihak yang kompeten dan dengan metodologi yang tepat, namun hasil evaluasi terpisah belum ditindaklanjuti seluruhnya.
 Dengan data dukung:
 1. Laporan Penjaminan Kualitas Penilaian SPIP
 2. Laporan Evaluasi Penilaian SPIP
 3. Laporan Penilaian PIPK Tahun 2024
 4. Hasil Analisa Laporan Keuangan Vertikal Horizontal
 5. Laporan Evaluasi PK, Evaluasi Capaian Nilai Kinerja Perencanaan Anggaran
 6. TOR Kegiatan</t>
  </si>
  <si>
    <t>Bahwa evaluasi terpisah di Kementerian Kominfo telah dilaksanakan pada seluruh aktivitas pengendalian dan seluruh program dan kegiatan serta dilaksanakan oleh pihak yang kompeten dan dengan metodologi yang tepat, namun hasil evaluasi terpisah belum ditindaklanjuti seluruhnya.Dengan data dukung:1. Laporan Kinerja Keuangan Kemkominfo ole APIP.Tahun 2023 (B) &gt; Itjen2. Laporan Penilaian PIPK Tahun 2023 (B) &gt; Biro Keuangan3. Hasil Konfirmasi Evaluasi Pelaksanaan Anggaran Kemenkeu Tahun 2024 (B) &gt; Biro Keuangan4. Laporan keuangan Kominfo Tahun 2023 Unaudited (C) &gt; Biro Keuangan5. Laporan Evaluasi Pelaksanaan Anggaran oleh Kemenkeu Tahun 2023/2024 (C) &gt; Biro Keuangan6. Laporan Evaluasi Penyerapan Anggaran, Pengadaan Barang dan Jasa (PBJ), Program Peningkatan Penggunaan Produk Dalam Negeri (P3DN) dan Kinerja Anggaran Kementerian Kominfo Tahun 2023/2024 &gt; Biro Keuangan7. Nota Dinas penyampaian evaluasi capaian kinerja bulanan Tahun 2023/2024 &gt; Biro Perencanaan8. Laporan Indek profesionalitas ASN dari BKN Tahun 2022 (C) &gt; Biro Kepegawaian (Untuk tahun 2023 akan keluar di mei 2024)9. Laporan hasil penjaminan kualitas SPIP Tahun 2023 oleh APIP (C) &gt; Tiap UKE I10. Laporan Hasil Evaluasi BPKP Tahun 2023 (E-C) &gt; Biro Keuangan11. Nodin Tindak Lanjut atas Hasil LHP BPKP Tahun 2023 (E-C) &gt; Biro Keuangan 12. Hasil Reviu RKAKL oleh APIP dan Surat Tindak Lanjut Revisi Anggaran Tahun 2023 (E-C) &gt; Itjen</t>
  </si>
  <si>
    <t>Bahwa evaluasi terpisah di Kementerian Kominfo telah dilaksanakan pada seluruh aktivitas pengendalian dan seluruh program dan kegiatan serta dilaksanakan oleh pihak yang kompeten dan dengan metodologi yang tepat, namun hasil evaluasi terpisah belum ditindaklanjuti seluruhnya.
Dengan data dukung:
1. Laporan Kinerja Keuangan Kemkominfo oleh APIP.Tahun 2023 (B) &gt; Itjen
2. Laporan Penilaian PIPK Tahun 2023 (B) &gt; Biro Keuangan 
3. Hasil Konfirmasi Evaluasi Pelaksanaan Anggaran Kemenkeu Tahun 2024 (B) &gt; Biro Keuangan
4. Laporan keuangan Kominfo Tahun 2023 Unaudited (C) &gt; Biro Keuangan
5. Laporan Evaluasi Pelaksanaan Anggaran oleh Kemenkeu Tahun 2023/2024 (C) &gt; Biro Keuangan
6. Laporan Evaluasi Penyerapan Anggaran, Pengadaan Barang dan Jasa (PBJ), Program Peningkatan Penggunaan Produk Dalam Negeri (P3DN) dan Kinerja Anggaran Kementerian Kominfo Tahun 2023/2024 &gt; Biro Keuangan
7. Nota Dinas penyampaian evaluasi capaian kinerja bulanan Tahun 2023/2024 &gt; Biro Perencanaan 
8. Laporan Indeks profesionalitas ASN dari BKN Tahun 2022 (C) &gt; Biro Kepegawaian (Untuk tahun 2023 akan keluar di mei 2024)
9. Laporan hasil penjaminan kualitas SPIP Tahun 2023 oleh APIP  (C) &gt; Tiap UKE I
10. Laporan Hasil Evaluasi BPKP Tahun 2023 (E-C) &gt; Biro Keuangan 
11. Nodin Tindak Lanjut atas Hasil LHP BPKP Tahun 2023 (E-C) &gt; Biro Keuangan 
12. Hasil Reviu RKAKL oleh APIP dan Surat Tindak Lanjut Revisi Anggaran Tahun 2023 (E-C) &gt; Itjen</t>
  </si>
  <si>
    <t>Grad: EKriteria: Evaluasi terpisah atas pengendalian intern dan pelaksanaan program/kegiatan telah dilaksanakan1. Laporan hasil penjaminan kualitas SPIP Tahun 2023 dan Tahun 2024 oleh APIPGrad: DKriteria: Evaluasi terpisah telah dilaksanakan pada sebagian aktivitas pengendalian dan seluruh program dan kegiatan serta dilaksanakan oleh pihak yang kompeten dengan metodologi yang tepat2. Laporan Kantor Akuntan Publik (C)Grad: CKriteria: Evaluasi terpisah telah dilaksanakan pada seluruh aktivitas pengendalian dan seluruh program dan kegiatan serta dilaksanakan oleh pihak yang kompeten dan dengan metodologi yang tepat, namun hasil evaluasi terpisah belum ditindaklanjuti seluruhnya3. Laporan Pemantauan Tindak Lanjut Hasil Pemeriksaan BPK-RI per semester (D)Grad: BKriteria: Seluruh hasil evaluasi terpisah dikelola dan ditindaklanjuti4. Daftar Tindak Lanjut Temuan BPK Juli 2024</t>
  </si>
  <si>
    <t>Seluruh hasil evaluasi terpisah dikelola dan ditindaklanjuti</t>
  </si>
  <si>
    <t>Evaluasi terpisah telah dilaksanakan pada seluruh aktivitas pengendalian dan seluruh program dan kegiatan serta dilaksanakan oleh pihak yang kompeten dan dengan metodologi yang tepat, namun hasil evaluasi terpisah belum ditindaklanjuti seluruhnya</t>
  </si>
  <si>
    <t>Evaluasi terpisah telah dilaksanakan pada sebagian aktivitas pengendalian dan seluruh program dan kegiatan serta dilaksanakan oleh pihak yang kompeten dengan metodologi yang tepat</t>
  </si>
  <si>
    <t>Evaluasi terpisah atas pengendalian intern dan pelaksanaan program/kegiatan telah dilaksanakan</t>
  </si>
  <si>
    <t>Reviu terhadap proses tindak pengendalian risiko tingkat operasional unit kerja/OPD, strategis unit kerja/OPD, dan strategis K/L/D sangat memadai</t>
  </si>
  <si>
    <t>Bahwa Strategi dan kebijakan manajemen risiko di Kementerian Kominfo telah dikomunikasikan pada seluruh pegawai pada tingkat operasional unit kerja dan sebagian pegawai pada tingkat strategis unit kerja. 
 Dengn data dukung:
 1. Dokumen Manajemen Risiko 
 2. Laporan Monev MR Tahun 2024 dan TW I 2025</t>
  </si>
  <si>
    <t xml:space="preserve">Bahwa di Kementerian Kominfo telah melakukan reviu terhadap proses tindak pengendalian untuk risiko tingkat operasional unit kerja dengan cukup memadai.
Dengan bukti dukung:
1. Dokumen MR Kementerian Tahun 2024 (C) &gt; Biro Perencanaan
2. Formulir MR Tahun 2024 (C) &gt; &gt; Biro Perencanaan
3. Nodin laporan hasil evaluasi pelaksanaan MR reviu dari APIP (C) &gt; Itjen
4. Bukti tindak lanjut atas hasil Reviu/ Monev MR APIP (Screenshot Aplikasi MR Kominfo) Tahun 2023 (C) &gt; Biro Perencanaan 
5. Hasil Reviu RKAKL oleh APIP (masing-masing Unit Kerja) dan tindak lanjut oleh masing-masing Unit Kerja (jika ada) (E-C) Tiap UKE I
6. Laporan pemantauan MR oleh APIP Tahun 2023 dan 2024 (C) Itjen
7. Nota dinas atas tindak lanjut MR oleh Satuan Kerja Tahun 2023 (E-C) &gt; Tiap UKE I
8. Peratutran Kemkominfo No. 6 Tahun 2017 tentang Pedoman Manajemen Risiko (E-C) &gt; Biro Perencanaan </t>
  </si>
  <si>
    <t>Reviu terhadap proses tindak pengendalian untuk risiko tingkat operasional unit kerja/OPD, strategis unit kerja/OPD, dan strategis K/L/D memadai</t>
  </si>
  <si>
    <t>Reviu terhadap proses tindak pengendalian untuk risiko tingkat operasional unit kerja/OPD dan strategis unit kerja/OPD memadai</t>
  </si>
  <si>
    <t>Reviu terhadap proses tindak pengendalian untuk risiko tingkat operasional unit kerja/OPD cukup memadai</t>
  </si>
  <si>
    <t>Reviu terhadap proses tindak pengendalian untuk risiko tingkat operasional unit kerja/OPD belum memadai</t>
  </si>
  <si>
    <t>KERTAS KERJA PENILAIAN STRUKTUR DAN PROSES
KK 3.2 - PENILAIAN STRUKTUR DAN PROSES KEANDALAN LAPORAN KEUANGAN (T2)</t>
  </si>
  <si>
    <t>Grade</t>
  </si>
  <si>
    <t>Pengujian terkait Tujuan 2 SPIP (Keandalan Pelaporan Keuangan)</t>
  </si>
  <si>
    <t>Kesimpulan Level</t>
  </si>
  <si>
    <t xml:space="preserve">Update Link Bukti Dukung </t>
  </si>
  <si>
    <t>K/L/D menegakkan integritas dan nilai etika dalam  pengelolaan keuangan</t>
  </si>
  <si>
    <t>Bahwa enegakan integritas dan nilai etika telah diperbaiki secara berkelanjutan sehingga tercipta suasana kerja organisasi yang kondusif yang dapat mendorong kinerja para pegawai secara optimal yang dibuktikan dengan bukti dukung sebagai berikut:
1. Dokumen Pemberian Reward and Punishment, Pedoman Apresiasi ASN, Draft Permen Tunkin, Draft KPLB, Draft Penjatuhan Hukuman Disiplin (Tanpa Identitas Pegawai) (A)
2. Laporan Wasdal KPA Setjen TA SMT II 2024 (B)
3. Laporan Wasdal KPA Setjen TA SMT I 2025 (B)
4. Laporan Rekap Pemotongan Tunkin Berdasarkan SKP (A)(Nodin ke Rokeu perihal pemotongan tunkin berdasarkan predikat SKP)
5. Pakta Integritas Pejabat, ASN dan Pengelola Keuangan Tahun 2024/2025 (ASN,KPA, PPK) (C)
6. Surat Teguran terkait pelanggaran dispilin Tahun 2024/2025 (C)
7. SK Pejabat Perbendaharaan (C)
8. Bukti terkait sosialisasi/diseminasi kebijakan penegakan integritas (D)
9. Keputusan Menkominfo Nomor 315 tanggal 13 April 2015 tentang Nilai Nilai Kementerian Komunikasi dan Informatika (E)
10. Peraturan Menkominfo Nomor 25 Tahun 2011 Tentang Kode Etik Pegawai di lingkungan Kemkominfo (E)
11. Kebijakan yang mendasari pemberlakukan ASN berprestasi (SE nomor 14 Tahun 2020) (E)
12. Permenkominfo tentang penegakan disiplin PNS Peraturan Menteri Kominfo Nomor 1 Tahun 2017 tentang Pelaksanaan Pemberian Tunjangan Kinerja Bagi Pegawai di Lingkungan Kementerian Komunikasi dan Informatika Pasal 20) (E)
13. Peraturan Penegakan Etika (E)
14. SOP Reward Punishment (E)
(Konfirmasi terkait peraturan penegakan etika internal, dasar ASN Teladan, aturan nasional)</t>
  </si>
  <si>
    <t xml:space="preserve">sesuai </t>
  </si>
  <si>
    <t>https://drive.google.com/drive/folders/11gondY70Wz0WfgDju8Dun5Ts3JrBrcsP</t>
  </si>
  <si>
    <t>Tugas dan jabatan dalam struktur pengelolaan keuangan dilaksanakan dan diisi oleh SDM yang kompeten</t>
  </si>
  <si>
    <t>Bahwa Standar kompetensi organisasi dan implementasi/pemanfaatannya telah dievaluasi untuk mengetahui efektivitasnya dengan bukti:
1. Notulensi Rapat Evaluasi Stankom yang menunjukkan perubahan (B)
2. SOP Asesmen Pegawai (C)
3. SOP Perencanaan Pegawai (C)
4. Laporan FGD Penyusunan Stankom (D)
5. Peraturan Menteri Kominfo Nomor 9 Tahun 2021 tentang Kamus Kompetensi Teknis bidang Komunikasi dan informatika (E)
6. Keputusan Menteri tentang Standar Kompetensi (Kepmen Stankom No.63 Tahun 2022) (E)
7. Dokumen Stankom Jabatan Pengelola Keuangan (E)</t>
  </si>
  <si>
    <t>telah memenuhi kesesuain standar kompetensi organisasi akan tetapi untuk pengimplementasian/pemanfaatan belum di evaluasi secara efektif 
belum menunjukan bukti evaluatif seperti hasil survei, feedback stakeholder dll
- baru akan melakukan penyesuaian
- baru akan menyelesaikan penyusunan indikator dan penentuan level untuk masing-masing Kompetensi Teknis
- baru akan akan mengirimkan kembali Kamus Kompetensi
Teknis akhir yang sudah disesuaikan kepada Kementerian Pendayagunaan
Aparatur Negara dan Reformasi Birokrasi</t>
  </si>
  <si>
    <t>https://drive.google.com/drive/folders/1i80Iy_nhLlthOiKvI1yqzwnsnYvrJO8c</t>
  </si>
  <si>
    <t>Pimpinan K/L/D menciptakan lingkungan kerja yang kondusif dalam pengelolaan keuangan</t>
  </si>
  <si>
    <t>Bahwa Pimpinan organisasi melaksanakan evaluasi berkala atas kebijakan pengendalian intern dan berupaya mengatasi permasalahan yang berkaitan dengan lingkungan pengendalian yang kondusif dengan bukti:
1. Matriks Semula Menjadi Pedoman kebijakan akuntansi (B)
2. Laporan Penilaian PIPK Tahun 2024 (C)
3. SK Tim Penilaian PIPK (C)
4. Surat Pernyataan Penyampaian LK Tahun 2024 (C) 
5. Nodin Penyampaian Masukan dari Masing-Masing Satker (D) 
6. Pedoman Pelaksanaan Anggaran Kementerian 
7. Keputusan Menteri No.58 Tahun 2025 tentang Pedoman Kebijakan Akuntansi di Lingkungan Komdigi (E)</t>
  </si>
  <si>
    <t>https://drive.google.com/drive/folders/1SSKsdsKQ5_UcKQx96Q_jqukhf--QJikw</t>
  </si>
  <si>
    <t>Bahwa Sudah mengalokasikan sumber daya secara memadai untuk penerapan manajemen risiko pada tingkat operasional unit kerja, strategis unit kerja, dan strategis K/L/D dengan bukti:
1. ToR RO terkait Penerapan Manajemen Risiko (B)
2. SK UPR Tahun 2024 (B)
3. Peserta Pelatihan MR (B)</t>
  </si>
  <si>
    <t xml:space="preserve">Belum memenuhi unsur
sumber daya secara memadai untuk penerapan manajemen risiko pada tingkat operasional strategis unit kerja, dan strategis K/L/D
</t>
  </si>
  <si>
    <t>https://drive.google.com/drive/folders/1CmdZ2xBFC63weUTw4e8990-zTus29mBL</t>
  </si>
  <si>
    <t>Bahwa Seluruh pengambilan keputusan strategis K/L/D, strategis unit kerja, dan operasional unit kerja telah mempertimbangkan risiko:
1. Laporan Program Prioritas Bulanan yang disampaikan ke pimpinan yang menunjukkan kendala dn risiko dalam pelaksanaan (D)
2. Laporan EKPA yang disampaikan ke pimpinan (D)
3. Dokumen MR Tahun 2024/2025 (D)</t>
  </si>
  <si>
    <t>https://drive.google.com/drive/folders/1BI4YRnD7GprR6eIZipGC_kSEnwJzodlB</t>
  </si>
  <si>
    <t>Bahwa Kinerja penerapan manajemen risiko digunakan sebagai dasar penilaian kinerja pada seluruh UPR tingkatan operasional unit kerja, seluruh UPR tingkatan strategis unit kerja, dan UPR tingkat strategis K/L/D secara memadai dengan Bukti Dukung:
1. Dokumen PK level Kementerian dan Eselon I Tahun 2025 yang terdapat indikator Indeks RB yang turunannya adalah SPIP Terintegrasi (C)
2. Dokumen PK Eselon I Tahun 2024 (C)
3. Cascading RB (C)</t>
  </si>
  <si>
    <t>https://drive.google.com/drive/folders/1CyPNFAlU6JMSmieHXR-UYgjP9p5NlEik</t>
  </si>
  <si>
    <t>Pembentukan Struktur Organisasi yang Sesuai dengan Kebutuhan</t>
  </si>
  <si>
    <t>Struktur organisasi dibentuk dalam rangka mendukung pencapaian keandalan laporan keuangan</t>
  </si>
  <si>
    <t>Bahwa K/L/D memiliki fleksibilitas untuk menyesuaikan struktur organisasi dalam rangka mendukung perubahan proses bisnis dan perubahan perencanaan strategis dengan bukti dukung:
1. Dokumen Naskah Akademik Restrukturisasi Organisasi (A)                
2. Dokumen Naskah Akademik Restrukturisasi Organisasi (B)
3. Hasil Monev SOP (B)        
4. Draft semula menjadi Probis Kominfo ke Komdigi (B)
5. SK TIM Penilai PIPK Kementerian (C)
6. SK UAPA dan UAPB (C)
7. SOP Penyusunan Laporan Keuangan (C)
8. SK PIPK Kementerian Tahun 2024 (C)
9. SOP di lingkungan kesetjenan, keuangan dan Biro Umum (Aset) (C)
10. Kepmen Peta Jabatan (C)
11. Hasil Screenshoot JDIH terkait penyampaian Permen SOTK (D)
12. Dokumen draft rancangan Proses bisnis (D)                
13. Perpres No. 174 Tahun 2024 tentang Kementerian Komdigi (E)
14. Peraturan Me No. 1 Tahun 2025 (E)</t>
  </si>
  <si>
    <t>belum terdapat bukti yang menunjukan K/L/D memiliki fleksibilitas untuk menyesuaikan struktur organisasi dalam rangka mendukung perubahan proses bisnis dan perubahan perencanaan strategis</t>
  </si>
  <si>
    <t>https://drive.google.com/drive/folders/17qH3sfE_fJSxxizQ_RKbYqXOZd-Qq5FG</t>
  </si>
  <si>
    <t>Wewenang dan tanggung jawab pengelolaan keuangan diberikan kepada pegawai yang tepat sesuai tingkatannya untuk mendukung efektivitas dan efisiensi pelaksanaan kegiatan dan memperhatikan benturan kepentingan</t>
  </si>
  <si>
    <t>Bahwa Pimpinan organisasi memiliki akses untuk melihat proses pendelegasian wewenang dan tanggungjawab yang diberikan dan memonitor pelaksanaan tugas fungsi yang dijalankan untuk menjamin tujuan percepatan yang diharapkan dan mendukung perbaikan secara berkelanjutan denga bukti:
1. Screenshot SIMAYA terkait disposi/pendelegasian penyusunan Laporan Keuangan Tahun 2024 oleh Pimpinan (A)                
2. Matriks Semula Menjadi Pedoman kebijakan akuntansi (B)                
3. SK tentang Pejabat Perbendaharaan (C)                
4. Lapgas Coaching Clinic Penyelesai Anggaran dan langkah-langkah pelaksanaan likuidasi satuan kerja di lingkungan Komdigi (D)
5. Lapgas Persiapan Penyusunan Laporan Keuangan Kementerian Komunikasi dan Digital Semester I Tahun 2025 dan Likuidasi Satuan Kerja (D)
6. Keputusan Menteri No.58 Tahun 2025 tentang Pedoman Kebijakan Akuntansi di Lingkungan Kominfo (E)
7.Peraturan Menteri Komdigi No. 1 Tahun 2025 (E)
8. Petunjuk Teknis Pelaksanaan Anggaran Penggabungan/Pemecahan/Pembentukan Kementerian/Lembaga (Satuan Kerja) Baru (E)</t>
  </si>
  <si>
    <t>https://drive.google.com/drive/folders/1_xT5Z2gan449LcM06q-MD83-2XpcGL0f</t>
  </si>
  <si>
    <t>Penerapan kebijakan manajemen dan praktik pembinaan SDM sehingga dapat digunakan secara maksimal untuk mengelola keuangan</t>
  </si>
  <si>
    <t>Disesuaikan dengan Kriteria Pelaksanaan Bimtek dan Sertifikasi MR Tahun 2024</t>
  </si>
  <si>
    <t>https://drive.google.com/drive/folders/16TyWDHfLwAF3tBgylbzbP00vxpa_3Gem</t>
  </si>
  <si>
    <t>https://drive.google.com/drive/folders/1MGnod9i7-lLaxzSSWY2sbu15n0a2heeL</t>
  </si>
  <si>
    <t>https://drive.google.com/drive/folders/1usnxS_pceTwTgVB-3vthbJRo8zqixtbx</t>
  </si>
  <si>
    <t xml:space="preserve">Laporan Hasil Penialain IACM Tahun 2024 </t>
  </si>
  <si>
    <t xml:space="preserve">Berdasarkan hasil penilaian BPKP Nilai IACM ada di level 3 dengan skor  3,095 </t>
  </si>
  <si>
    <t>https://drive.google.com/drive/folders/1VsbPZwT9UxSRr6kyTlRf9ljbBFQFcjHO</t>
  </si>
  <si>
    <t>Pimpinan K/L/D menjalin hubungan kerja yang baik (kemitraan) dengan instansi lain terkait dengan pengelolaan keuangan</t>
  </si>
  <si>
    <t>1. Nota Kesepahaman dan Lampiran matriks Nota Kesepamahaman antara Kementerian Komdigi dengan mitra yang telah memetakan peran masing-masing pihak (A)
2. Dokumen laporan evaluasi atas Keputusan Menteri Kominfo Nomor 438 Tahun 2024 tentang Pedoman Ker Sama dan Penyusunan Perjanjian di Lingkungan Kementerian Kominfo (B)
3. Draf PKS antara Kementerian Kominfo denga BPS terkait Pertukaran data dan/atau informasi (C)
4. Paparan Keputusan Menteri Kominfo Nomor 438 Tahun 2024 tentang Pedoman Kerja Sama dan Penyusunan Perjanjian di Lingkungan Kementerian Kominfo kepada Mitra (D)
5. Dokumentasi rapat sosialisasi Keputusan Menteri Kominfo Nomor 438 Tahun 2024 tentang Pedoman Kerja Sama dan Penyusunan Perjanjian di Lingkungan Kementerian Kominfo (D)
6. Keputusan Menteri Kominfo Nomor 438 Tahun 2024 tentang Pedoman Kerja Sama dan Penyusunan Perjanjian di Lingkungan Kementerian Kominfo (E)</t>
  </si>
  <si>
    <t>https://drive.google.com/drive/folders/1YhMmCnM3O5JoVxNb3IJk5qxtm9tK_if3</t>
  </si>
  <si>
    <t>1. Pedoman MR Kemkominfo No. 6 Tahun 2017 (C)
2. Bukti Dokumen PKS/MoU/Nota Kesepahaman yang Menunjukkan adanya Pengelolaan Risiko dalam Kemitraan (C</t>
  </si>
  <si>
    <t>https://drive.google.com/drive/folders/1DwFVVjhSz040lJkVa4HlNzMr3MsvwRFz</t>
  </si>
  <si>
    <t>Pedoman Menteri Kominfo No 6 Tahun 2017 tentang Manajemen Risiko di lingkungan Kementerian Kominfo yang memuat (C) :
1. Penetapan konteks manajemen risiko (konteks risiko strategis dan Operasional) 
2. Identifikasi risiko setidaknya memuat penyebab risiko, dampak risiko, pihak yang terkena dampak
3. Analisis risiko setidaknya memuat metode prioritisasi risiko 
4. Penetapan kriteria penilaian risiko (kriteria dampak, kriteria kemungkinan, dan skala nilai risiko) 
5. Penetapan struktur manajemen risiko dan alur pertanggungjawaban 
6. Penetapan risk appetite/selera risiko 
7.Gambaran proses manajemen risiko
 8. Pembangunan budaya risiko</t>
  </si>
  <si>
    <t xml:space="preserve">belum memiliki bukti dokumen kebijakan MR yang memadai </t>
  </si>
  <si>
    <t xml:space="preserve">https://drive.google.com/drive/folders/1-2PviheUwDXvGQmcTlHoHM_lHY_c0Kbg
</t>
  </si>
  <si>
    <t xml:space="preserve">Dokumen MR yang menunjukkan Risk Register telah dituangkan </t>
  </si>
  <si>
    <t>https://drive.google.com/drive/folders/1IYxFCsrsaav94xV-d6ZVx6-camzDcYVr</t>
  </si>
  <si>
    <t>1. ToR RO-RO telah mengandung bagian Manajemen Risiko yang menunjukkan bahwa proses manajemen risiko telah diterapkan di dalam proses bisnis (C)
2. Draft Template ToR Tahun 2026 yang mengakomodir Manajemen Risiko dalam ToR</t>
  </si>
  <si>
    <t>belum ada bukti Proses manajemen risiko telah diterapkan secara konsisten, terintegrasi dengan proses bisnis dan proses perencanaan tingkat strategis unit kerja</t>
  </si>
  <si>
    <t>https://drive.google.com/drive/folders/1s94Um7U9NLbZHxDSwaMUk49m7yXphQpi</t>
  </si>
  <si>
    <t xml:space="preserve">Dokumen MR Eselon I yang telah dianalisa besaran risikonya </t>
  </si>
  <si>
    <t>https://drive.google.com/drive/folders/1_ALWazYQLpA8mSGsnT04yNtOkmwcndfK</t>
  </si>
  <si>
    <t xml:space="preserve">Dokumen MR Eselon I yang menunjukkan RTP </t>
  </si>
  <si>
    <t>https://drive.google.com/drive/folders/1-kKivqBZdaDeb6Pd-keWFAa6N1QO4bWb</t>
  </si>
  <si>
    <t>Instansi Pemerintah telah menentukan prioritas risiko pada seluruh risiko operasional unit kerja dan sebagian risiko strategis unit kerja</t>
  </si>
  <si>
    <t>https://drive.google.com/drive/folders/1EiS8UPF9LTIf7FrGA67xClYnQDwpc844</t>
  </si>
  <si>
    <t>Formulir Pemantauan TW III dan IV yang menunjukkan bahwa RTP telah diimplementasikan ©</t>
  </si>
  <si>
    <t>https://drive.google.com/drive/folders/1LnNnhFbr11ikWnvkdAEvKg4Qy68Pmgrl</t>
  </si>
  <si>
    <t>Screenshot trend penurunan risiko dari aplikasi manajemen risiko di Portal Kominfo €</t>
  </si>
  <si>
    <t>https://drive.google.com/drive/folders/1ZalrsADytmB6-rMpDRyY1P_w0CVl45Cp</t>
  </si>
  <si>
    <t>Reviu atas Kinerja Instansi Pemerintah</t>
  </si>
  <si>
    <t>Pimpinan K/L/D membandingkan tolok ukur keuangan dengan capaian kinerja secara berkala untuk mengatasi hambatan kinerja, menetapkan strategi perbaikan, dan menilai kinerja suatu unit sampai dengan periode tertentu dalam rangka mengawal pencapaian tujuan organisasi.</t>
  </si>
  <si>
    <t>1. Hasil Reviu Laporan Kinerja (C)
2. Laporan Kinerja Setjen menunjukkan perbaikan kinerja terkait pengelolaan keuangan (C)
3. Target Kinerja terkait pengelolaan keuangan tercantum di dalam PK Biro Keuangan dan RENJA Sekretariat Jenderal (D)
4. Permenkominfo Nomor 13 Tahun 2015 tentang Pedoman Penyelenggaraan Sistem Akuntabilitas Kinerja Instansi Pemerintah pada Kementerian Kominfo (E)
5. Pedoman Inspektur Jenderal Kemkominfo Nomor 2 Tahun 2022 Tentang Pedoman Evaluasi Akuntabilitas Kinerja Instansi Pemerintah di Lingkup Kemkominfo (E)
6. SOP Audit, Reviu dan Kegiatan Pengawasan Lainnya oleh APIP dan Eksternal Auditor (E)</t>
  </si>
  <si>
    <t>Pembinaan SDM terkait pengelolaan keuangan dilakukan sehingga setiap pegawai dapat memberikan manfaat optimal dalam pencapaian tujuan organisasi</t>
  </si>
  <si>
    <t>1. Rekap Data Hukuman Disiplin Bagi Pegawai (A)
2. Hasil Monev Pengembangan Kompetensi Pegawai (B)                
3. Pelatihan Kompetensi Pengelolaan Keuangan (C)                
4. Hasil Sosialisasi SOP/Pedoman (D)                
5. SOP Pengembangan Kompetensi Pegawai (E)
6. Pedoman Tu Dokumen HCDP (E)</t>
  </si>
  <si>
    <t>https://drive.google.com/drive/folders/143PNW-UQDJwUczonB4rf6CVV5nJYe8iW</t>
  </si>
  <si>
    <t>Pengendalian atas pengelolaan sistem informasi keuangan dilakukan untuk memastikan sistem informasi dapat menyajikan data yang akurat dan tepat waktu untuk digunakan oleh pengguna.</t>
  </si>
  <si>
    <t>1. Laporan Kegiatan Evaluasi atas SOP Pengembangan Aplikasi Kementerian Kominfo Tahun 2023 (B) 
2. Matriks hasil konsultasi dengan Unit Kerja terkait kebutuhan sistem informasi/aplikasi yang mendukung kinerja (B) 
3. Hasil audit internal dan eksternal sertifikasi ISO (B) 
4. Hasil survey kepuasan layanan beberapa aplikasi sistem informasi untuk menunjang pelaksanaan pekerjaan sehari-hari yang mendukung tujuan organisasi (absensi geotagging, database data kepegawaian melalui aplikasi simpatik, data penyerapan anggaran melaui aplikasi SIDARA, layanan email) pada Portal kementerian Kominfo Tahun 2023/2024 (C) 
5. Laporan hasil analisis pemetaan/pendataan kebutuhan aset-aset yang berhubungan dengan teknologi informasi (D) 
6. SOP Pengelolaan sistem informasi (E)</t>
  </si>
  <si>
    <t>belum menunjukan Kebijakan pengendalian atas pengelolaan sistem informasi organisasi telah dievaluasi secara berkala</t>
  </si>
  <si>
    <t>https://drive.google.com/drive/folders/1gKNN1T3a8fgB_rvuYzElqvkCp0c31TL2</t>
  </si>
  <si>
    <r>
      <rPr>
        <rFont val="Arial"/>
        <color theme="1"/>
        <sz val="12.0"/>
      </rPr>
      <t xml:space="preserve">Kebijakan pengelolaan sistem informasi organisasi digunakan dalam analisis kebutuhan dukungan sistem informasi, kemanfaatan sistem informasi </t>
    </r>
    <r>
      <rPr>
        <rFont val="Arial"/>
        <i/>
        <color theme="1"/>
        <sz val="12.0"/>
      </rPr>
      <t>existing</t>
    </r>
    <r>
      <rPr>
        <rFont val="Arial"/>
        <color theme="1"/>
        <sz val="12.0"/>
      </rPr>
      <t>, serta struktur pengelola dan pengguna sistem informasi beserta wewenang dan tanggungjawabnya.</t>
    </r>
  </si>
  <si>
    <r>
      <rPr>
        <rFont val="Arial"/>
        <color theme="1"/>
        <sz val="12.0"/>
      </rPr>
      <t>Pimpinan organisasi menetapkan kebijakan/</t>
    </r>
    <r>
      <rPr>
        <rFont val="Arial"/>
        <i/>
        <color theme="1"/>
        <sz val="12.0"/>
      </rPr>
      <t xml:space="preserve">grand design </t>
    </r>
    <r>
      <rPr>
        <rFont val="Arial"/>
        <color theme="1"/>
        <sz val="12.0"/>
      </rPr>
      <t>pengelolaan sistem informasi.</t>
    </r>
  </si>
  <si>
    <t>Pengelolaan BMN/D dilakukan untuk menjamin aset tersedia dan dapat digunakan dengan baik oleh pengguna dalam rangka melakukan pengelolaan keuangan</t>
  </si>
  <si>
    <t>1. Laporan barang rusak ringan/berat Tahun Semester I Tahun 2021 dan Semester I Tahun 2022 (A)
2. Laporan Barang Pengguna Tahun 2024 (A)
3. Notula Revisi Perubahan Kepmen No.116/2024 menjadi Kepmen No.58/2025 (B)       
4. Dokumen Evaluasi atas Pedoman dan Juknis Pengelola BMN (B)        
5. Aset secara fisik dihitung dan dibandingkan dengan catatan pengendalian yang dibuktikan dengan Berita Acara opname fisik persediaan, BA inventarisasi BMN Tahun 2024/2025 (C) 
6. Identifikasi aset dilekatkan pada fisik aset melalui labelisasi atas BMN (foto label BMN) 2024/ (C)
7. BA Peminjaman Aset 2024/2025 (C)
8. BA inventarisasi BMN Tahun 2024/2025 (C)
9. Laporan Sosialisasi atas Pedoman/Juknis Pada Poin E Tahun 2024/2025 (D)        
10. Pedoman terkait RK BMN (E)
11. Kepmen No.58/2025 tentang Pedoman Kebijakan Akuntansi (E) 
12. Pedoman Penghapusan BMN (E)
13. Pedoman Pengawasan dan Pengendalian BMN (E)
14. Juknis Pemanfaatan BMN (E)
15. Dokumen terkait asuransi BMN (E)</t>
  </si>
  <si>
    <t>belum ada bukti yang menunjukan bahwa Perbaikan berkelanjutan atas pengelolaan aset organisasi</t>
  </si>
  <si>
    <t>https://drive.google.com/drive/folders/1ykijYmzpjhmktZUo5Ps5Eakkx6dH81rf</t>
  </si>
  <si>
    <r>
      <rPr>
        <rFont val="Arial"/>
        <color theme="1"/>
        <sz val="12.0"/>
      </rPr>
      <t xml:space="preserve">Kebijakan/prosedur pengelolaan atas aset organisasi termasuk pengamanan fisik atas aset diimplementasikan </t>
    </r>
    <r>
      <rPr>
        <rFont val="Arial"/>
        <color theme="1"/>
        <sz val="12.0"/>
      </rPr>
      <t>secara memadai</t>
    </r>
  </si>
  <si>
    <t>Kegiatan pengendalian atas penetapan dan reviu atas indikator dan ukuran kinerja keuangan dilakukan untuk menjamin keandalan ukuran dan ketepatan penetapan indikator masing-masing unit secara berjenjang dibandingkan dengan IKU organisasi.</t>
  </si>
  <si>
    <t>1. Hasil Reviu Dokumen RENJA (C)
2. Notulensi Hasil Kegiatan Reviu RENJA (C)                                
3. Bimtek Perencanaan dan Penganggaran (D)
4. Permenkominfo Nomor 13 Tahun 2015 tentang Pedoman Penyelenggaraan Sistem Akuntabilitas Kinerja Instansi Pemerintah pada Kementeria Pedoman Inspektur Jenderal Kemkominfo Nomor 2 Tahun 2022 Tentang Pedoman Evaluasi Akuntabilitas Kinerja Instansi Pemerintah di Lingkup Kemkominfo (E)
5. SOP Audit, Reviu dan Kegiatan Pengawasan Lainnya oleh APIP dan Eksternal Auditor (E)</t>
  </si>
  <si>
    <t>https://drive.google.com/drive/folders/1YDKtLZv6gq3C1pbnyYtIUEN7EwvBJGGI</t>
  </si>
  <si>
    <t>Terdapat pemisahan fungsi dalam pengelolaan keuangan sehingga seluruh aspek utama transaksi dan kejadian tidak dikendalikan hanya oleh satu orang</t>
  </si>
  <si>
    <t>1. Evaluasi pada perubahan Tusi pada SK Tim (B)                
2. SK Pejabat Pengadaan Barang/Jasa 2024/2025 (C)
3. SK penunjukan PPK, PPSPM dan KPA 2024/2025 (C)
4. SK Tim Penilaian PIPK 2024/2025 (C)
5. Nodin Penyampaian SK Pejabat Pengadaan Barang/Jasa 2024/2025 (D)
6. Nod Penyampaian SK penunjukan PPK, PPSPM dan KPA 2024/2025 (D)
7. Nodin Penyampaian SK Tim Penilaian PIPK 2024/2025 (D)
8. Sosialisasi PMK yang Mengatur Pemisahan Fungsi (D)
9. SK Pejabat Pengadaan Barang/Jasa 2024/2025 (E)
10. SK penunjukan PPK, PPSPM dan KPA 2024/20 (E)
11. SK Tim Penilaian PIPK 2024/2025 (E)
12. Pedoman Pelaksanaan Anggaran Tahun 2025 (E)
13. PMK yang Mengatur Pemisahan Fungsi (E)</t>
  </si>
  <si>
    <t>belum menunjukan bukti Kebijakan dan implementasi terkait pemisahan fungsi dalam proses transaksi dan kejadian telah dievaluasi sehingga tidak dapat diketahui efektivitasnya</t>
  </si>
  <si>
    <t>https://drive.google.com/drive/folders/1w9Oug6DPrGHRujuxUurdJtm19SNLtdug</t>
  </si>
  <si>
    <t>Terdapat proses untuk memastikan transaksi keuangan dan kejadian penting hanya dapat diotorisasi ketika memenuhi persyaratan dan dilakukan oleh pihak yang memiliki kewenangan</t>
  </si>
  <si>
    <t>1. Evaluasi pada perubahan Tusi pada SK Tim (B)
2. SK Pejabat Pengadaan Barang/Jasa 2024/2025 (C)
3. SK penunjukan PPK, PPSPM dan KPA 2024/2025 (C)
4. SK Tim Penilaian PIPK 2024/2025 (C)
5. Nodin Penyampaian SK Pejabat Pengadaan Barang/Jasa 2024/2025 (D)
6. Nodin Penyampaian SK penunjukan PPK, PPSPM dan KPA 2024/2025 (D)
7. Nodin Penyampaian SK Tim Penilaian PIPK 2024/2025 (D)
8. Sosialisasi PMK yang mengatur Pemisahan Fungsi (D)
9. SK Pejabat Pengadaan Barang/Jasa 2024/2025 (E)
10. SK penunjukan PPK, PPSPM dan KPA 2024/20 (E)
11. SK Tim Penilaian PIPK 2024/2025 (E)
12. Pedoman Pelaksanaan Anggaran Tahun 2025 (E)
13. PMK yang mengatur Pemisahan Fungsi(E)</t>
  </si>
  <si>
    <t>belum ada data dukung yang menunjukan adanya evaluasi terhadap Kebijakan dan implementasi terkait otorisasi atas transaksi dan kejadian yang dilakukan secara berkala, terdokumentasi, dilaksanakan untuk menagani residual risk dan tindak lanjut atas hasil evaluasi tersebut telah di tindak lanjuti serta perbaikan menghasilkan kinerja yang lebih baik</t>
  </si>
  <si>
    <t>https://drive.google.com/drive/folders/1RhCZfrOOWpg_u-PB74M8dRNR4CI1KgzV</t>
  </si>
  <si>
    <t>Terdapat proses untuk memastikan transaksi keuangan telah diklasifikasikan dengan layak dan dikelompokkan dengan benar serta dicatat dengan segera sehingga relevan, bernilai, dan berguna bagi manajemen</t>
  </si>
  <si>
    <t>1. Notulensi Evaluasi SOP/Pedoman Kebijakan Akuntansi (B) 
2. Laporan Hasil Penilaian PIPK Tahun 2024 yang menunjukkan bahwa pencatatan telah disajikan dengan benar dan tepat (C)
3. Nodin Penyampaian/Sosialisasi SOP dan Pedoman Kebijakan Akuntansi (D)
4. penyusunan Laporan Keuangan (E)
5. Pedoman Kebijakan Akuntansi Tahun 2025 (E)</t>
  </si>
  <si>
    <t>https://drive.google.com/drive/folders/1qyFpR2qhX8SFNOWBcdvq3CHTPJFdW7T4</t>
  </si>
  <si>
    <t>Terdapat pembatasan atas kesempatan dan hak untuk menggunakan, atau memperoleh sumber daya dan mengakses pencatatan keuangan</t>
  </si>
  <si>
    <t>1. Evaluasi pada perubahan Kepmen 166/2024 menjadi 58/2025 (B)        
2. SK Pejabat Pengadaan Barang/Jasa 2024/2025 (C)
3. SK penunjukan PPK, PPSPM dan KPA 2024/2025 (C)
4. SK Tim Penilaian PIPK 2024/2025 (C)
5. Nodin Penyampaian SK Pejabat Pengadaan Barang/Jasa 2024/20 (D)
6. Nodin Penyampaian SK penunjukan PPK, PPSPM dan KPA 2024/2025 (D)
7. Nodin Penyampaian SK Tim Penilaian PIPK 2024/2025 (D)
8. Nodin Penyampaian SE yang mengatur Pembatasan Akses (D)        
9. SK Pejabat Pengadaan Barang/Jasa 2024/2025 (E)
10. SK penunjukan PPK, P dan KPA 2024/2025 (E)
11. SK Tim Penilaian PIPK 2024/2025 (E)
12. Pedoman Pelaksanaan Anggaran Tahun 2025 (E)
13. SE yang mengatur Pembatasan Akses (E)</t>
  </si>
  <si>
    <t>belum ada data dukung yang menunjukan adanya evaluasi terhadapKebijakan dan implementasi terkait pembatasan akses terhadap sumber daya dan pencatatannya telah dievaluasi secara berkala, terdokumentasi, dilaksanakan untuk mengetahui efektivitasnya</t>
  </si>
  <si>
    <t>https://drive.google.com/drive/folders/1npDwbid3NELo4MQK1Iu_ouk932E4sERT</t>
  </si>
  <si>
    <t>Terdapat pertanggungjawaban seseorang atau unit organisasi dalam mengelola sumber daya keuangan yang diberikan/dikuasakan kepadanya dalam rangka pencapaian tujuan organisasi</t>
  </si>
  <si>
    <t>1. LHR atas PIPK (B)
2. Laporan Penilaian PIPK Tahun 2024 (C)
3. SK Tim Penilaian PIPK (C)
4. SK Pejabat Pembendaharaan (C)
5. Nodin Penyampaian KM 101/2025 tentang Pedoman Pelaksanaan Anggaran (D)
6. KM 101/2025 tentang Pedoman Pelaksanaan Anggaran €</t>
  </si>
  <si>
    <t>belum ada data dukung yang menunjukan adanya evaluasi terhadapKebijakan dan implementasi terkait akuntabilitas sumber daya dan pencatatannya telah dievaluasi  yang dilakukan secara berkala, terdokumentasi, dilaksanakan untuk mengetahui efektivitasnya</t>
  </si>
  <si>
    <t>https://drive.google.com/drive/folders/102zKUZqY9QEbvOF2t7icF9jLZVD6TcaP</t>
  </si>
  <si>
    <t>Terdapat pengelolaan, pemeliharaan, dan pendokumentasian secara berkala yang mencakup seluruh SPI serta transaksi keuangan dan kejadian penting yang dilaksanakan secara lengkap dan akurat untuk memfasilitasi penelusuran transaksi, kejadian, dan informasi terkait</t>
  </si>
  <si>
    <t>1. Materi Pembahasan perubahan Kepmen No.166/2024 menjadi Kebijakan Akuntansi No.58/2025 (B)
2. Laporan hasil reviu atas PIPK Tahun 2024 (B)
3. Laporan Penilaian PIPK Tahun 2024 (C)
4. Screenshot Aplikasi SIMWAS (C)                        
5. Nodin penyampaian SK PIPK Tahun 2024 (D) 
6.penyampaian ke satker untuk Pedoman Kebijakan akuntansi (D)                
7. Kepmen No.58/2025 tentang Kebijakan Akuntansi Kemkominfo (transaksi dan kejadian penting diungkap dalam CaLK) (E)
8. PMK No.232/2022 tentang Penyusunan Laporan Keuangan (E)
9. SK PIPK Kementerian T (E)
10. SOP Penyusunan LK Tahun 2023 (E)</t>
  </si>
  <si>
    <t>https://drive.google.com/drive/folders/1dzNJxV05Vc55KhjsZFi92p2iQUxNp_pS</t>
  </si>
  <si>
    <t>Tersedianya informasi keuangan yang relevan untuk kebutuhan internal dan eksternal</t>
  </si>
  <si>
    <r>
      <rPr>
        <rFont val="Arial"/>
        <color theme="1"/>
        <sz val="12.0"/>
      </rPr>
      <t xml:space="preserve">Informasi yang disajikan relevan dan memenuhi ekspektasi </t>
    </r>
    <r>
      <rPr>
        <rFont val="Arial"/>
        <i/>
        <color theme="1"/>
        <sz val="12.0"/>
      </rPr>
      <t>stakeholder</t>
    </r>
  </si>
  <si>
    <t>1. Screenshot PPID yang Menunjukkan Informasi Keuangan (DIPA, RENJA, Rencana Pengadaan SIRUP, Laporan Keuangan) (C)
2. Screenshot Aplikasi SIMPATIK yang Menunjukkan informasi dan prosedur Layanan Kepegawaian (C)
3. Screenshot Aplikasi DIGIKA yang Menunjukkan informasi dan prosedur Layanan Keuangan (C)
4. Screenshot Janjikinerja yang menunjukkan PK (C)</t>
  </si>
  <si>
    <t>https://drive.google.com/drive/folders/1hi26pyVCHuMon7dI2VYhwh_kNQouTqZH</t>
  </si>
  <si>
    <t>1. Laporan Hasil Tindaklanjut SP4N LAPOR Tahun 2024/2025 (C)
2. Laporan Hasil Tindaklanjut DUMAS/WBS (C)
3. Laporan Sosialiasi SP4N LAPOR Tahun 2025 (D)
4. Nodin Penyampaian/Sosialisasi SOP dan Pedoman pengaduan masyarakat/WBS (D) 
5. Pedoman Komunikasi dan Informatika Nomor 6 Tahun 2018 tentang Pedoman Pengelolaan Pengaduan Masyarakat dan Penanganan Pelaporan Pelanggaran (Whistleblowing System) di Lingkungan Kementerian Komunikasi dan Informatika (E)</t>
  </si>
  <si>
    <t>https://drive.google.com/drive/folders/1lJNTtjhYtB82xJh3HL5LoCd91nQbJxWw</t>
  </si>
  <si>
    <t xml:space="preserve">Laporan kegiatan atas Sosialisasi Aplikasi MR yang didalamnya terdapat kebijakan terkait Pelaksanaan MR yang dikomunikasikan </t>
  </si>
  <si>
    <t>https://drive.google.com/drive/folders/16KhkernFaLsZqBYtJPHsiEdtd9ln6ZkU</t>
  </si>
  <si>
    <t xml:space="preserve">1. Dokumen Piagam MR yang meliputi Register dan RTP telah ditandatangani oleh pimpinan dan dikomunikasikan di internal (C)
2. ND Penyampaian Piagam MR </t>
  </si>
  <si>
    <t>https://drive.google.com/drive/folders/18QNIzUVXBtIXtUrJPFlyxy7yeRUzivRd</t>
  </si>
  <si>
    <t>Terlaksananya komunikasi yang efektif dengan internal dan eksternal terkait pengelolaan keuangan</t>
  </si>
  <si>
    <t>1. Rekap Data Press Release Isu Negatif (C)
2. Bukti Promosi/Sosialiasi Produk/Layanan Komdigi (C)
3. Sosialisasi Layanan Digika Komdigi (C)</t>
  </si>
  <si>
    <t>belum ada data dukung yang menunjukan adanya evaluasi terhadap upaya promosi/sosialisasi tentang produk/layanan/ pelaksanaan tugas fungsi yang menghasilkan perbaikan.
belum ada data dukung yang menunjukan adanya evaluasi terhadap adanya komunikasi dengan publik/stakeholder untuk mengatasi isu negatif, yang menghasilkan perbaikan</t>
  </si>
  <si>
    <t>https://drive.google.com/drive/folders/11FeytreMPZGh3UF7SpcprBCyZGhb7WF5</t>
  </si>
  <si>
    <t>Pemantauan Berkelanjutana</t>
  </si>
  <si>
    <t>Pimpinan organisasi/penanggungjawab program dan kegiatan/penanggungjawab operasional mengevaluasi secara berkala pengendalian intern pengelolaan keuangan yang telah dilakukan dalam rangka mencapai tujuan organisasi.</t>
  </si>
  <si>
    <t>1. Atensi/Notisi terkait pengelolaan Keuangan (B)
2. Laporan Hasil Tindaklanjut atas atensi terkait pengelolaan Keuangan (B)                
3. Laporan Kegiatan Evaluasi Pemantauan Pengelolaan Keuangan (B)</t>
  </si>
  <si>
    <t>https://drive.google.com/drive/folders/1Ufr8oalZJShoM1mxPil26jkjdupruaO6</t>
  </si>
  <si>
    <t>1. Nota Dinas Hasil Reviu MR SMT II Tahun 2024 (C)
2. Notisi/Atensi atas Pelaksanaan MR Tahun 2025 ©</t>
  </si>
  <si>
    <t>belum menunjukan Sudah dilakukan reviu atas risiko strategis unit kerja, dan strategis K/L/D</t>
  </si>
  <si>
    <t>https://drive.google.com/drive/folders/138fq1Hk3xPgqf2nIdGT0ZfaUpq4XSHfw</t>
  </si>
  <si>
    <t xml:space="preserve">Laporan Monitoring/Evaluasi MR TW III &amp; IV Tahun 2024 </t>
  </si>
  <si>
    <t>https://drive.google.com/drive/folders/1ZIT1FeCBa1B4T-78rKXWwFO66FJ-O04D</t>
  </si>
  <si>
    <t>Evaluasi terpisah dilakukan oleh pegawai dengan keahlian tertentu yang disyaratkan dan dapat melibatkan APIP atau auditor eksternal untuk menilai kinerja sistem pengendalian intern, mengidentifikasi kelemahan pengendalian, menentukan penyebab dari kegagalan aktivitas pengendalian terkait pengelolaan keuangan, serta pengaruhnya terhadap pencapaian tujuan instansi</t>
  </si>
  <si>
    <t>Laporan hasil evaluasi yang dilakukan APIP (LHE RB, AKIP, SPIP, LK) ©</t>
  </si>
  <si>
    <t>https://drive.google.com/drive/folders/1YkD0BdhnMrBldvw2uEyscfik4gjRl7SR</t>
  </si>
  <si>
    <t>1. Draf Pedoman Reviu MR (C)2. Hasil Reviu dan Pendampingan MR ©</t>
  </si>
  <si>
    <t>belum memnjukan Sudah dilakukan reviu atas seluruh risiko  strategis unit kerja, dan strategis K/L/D</t>
  </si>
  <si>
    <t>https://drive.google.com/drive/folders/14jUr7ycniFZLV-YcRdp8_xMor5DeEfmv</t>
  </si>
  <si>
    <t>KERTAS KERJA PENILAIAN STRUKTUR DAN PROSES
KK 3.3 - PENILAIAN STRUKTUR DAN PROSES PENGAMANAN ASET NEGARA/DAERAH (T3)</t>
  </si>
  <si>
    <t>Pengujian terkait Tujuan 3 SPIP (Pengamanan Aset Negara/Daerah)</t>
  </si>
  <si>
    <t>Kesimpulan</t>
  </si>
  <si>
    <t>K/L/D menegakkan integritas dan nilai etika dalam  pengelolaan aset</t>
  </si>
  <si>
    <t>Bahwa penegakan integritas dan nilai etika telah diperbaiki secara berkelanjutan sehingga tercipta suasana kerja organisasi yang kondusif yang dapat mendorong kinerja para pegawai secara optimal yang dibuktikan dengan bukti dukung sebagai berikut:
1. Dokumen Pemberian Reward and Punishment, Pedoman Apresiasi ASN, Draft Permen Tunkin, Draft KPLB, Draft Penjatuhan Hukuman Disiplin (Tanpa Identitas Pegawai) (A)
2. Laporan Wasdal KPA Setjen TA SMT II 2024 (B)
3. Laporan Wasdal KPA Setjen TA SMT I 2025 (B)
4. Laporan Rekap Pemotongan Tunkin Berdasarkan S (Nodin ke Rokeu perihal pemotongan tunkin berdasarkan predikat SKP) (B)
5. Pakta Integritas Pejabat, ASN dan Pengelola Keuangan Tahun 2024/2025 (ASN,KPA, PPK) (C)
6. Surat Teguran terkait pelanggaran dispilin Tahun 2024/2025 (C)
7. SK Pejabat Perbendaharaan (C)
8. Bukti terkait sosialisasi/diseminasi kebijakan penegakan integritas (D)
9. Keputusan Menkominfo Nomor 315 tanggal 13 April 2015 tentang Nilai Nilai Kementerian Komunikasi dan Informatika (E)
10. Peraturan Menkominfo Nomor 25 Tahun 2011 Tentang Kode Etik Pegawai di lingkungan Kemkominfo (E)
11.
Kebijakan yang mendasari pemberlakukan ASN berprestasi (SE nomor 14 Tahun 2020) (E)
12. Permenkominfo tentang penegakan disiplin PNS Peraturan Menteri Kominfo Nomor 1 Tahun 2017 tentang Pelaksanaan Pemberian Tunjangan Kinerja Bagi Pegawai di Lingkungan Kementerian Komunikasi dan Informatika Pasal 20) (E)
13. Peraturan Penegakan Etika (E)
14. SOP Reward Punishment (E)
(Konfirmasi terkait peraturan penegakan etika internal, dasar ASN Teladan, aturan nasional)</t>
  </si>
  <si>
    <t>https://drive.google.com/drive/folders/1ZQp1T6IiuceMPG-onutg5kLlL4LCQYXW</t>
  </si>
  <si>
    <t>Tugas dan jabatan dalam struktur pengelolaan aset dilaksanakan dan diisi oleh SDM yang kompeten</t>
  </si>
  <si>
    <t>Bahwa Standar kompetensi organisasi dan implementasi/pemanfaatannya telah dievaluasi untuk mengetahui efektivitasnya dengan bukti:
1. Notulensi Rapat Evaluasi Stankom yang menunjukkan perubahan (B)                       
2. SOP Asesmen Pegawai (C)
3. SOP Perencanaan Pegawai (C)
4. FGD Penyusunan Stankom (D)
5. Peraturan Menteri Kominfo Nomor 9 Tahun 2021 tentang Kamus Kompetensi Teknis bidang Komunikasi dan Informatika (E)
6. Standar kompetensi Jabatan Pimpinan Tinggi di Lingkungan Kementerian Kominfo. Standar kompetensi jabatan telah mencakup Kompetensi manajerial, sosial kultural, dan teknis (E)
7. Stankom Jabatan Pengelolaan Aset (E)</t>
  </si>
  <si>
    <t>https://drive.google.com/drive/folders/1EYMk05vZuu07uZgSqrHMQK_MZ4YTGpL8</t>
  </si>
  <si>
    <t>Pimpinan K/L/D menciptakan lingkungan kerja yang kondusif dalam pengelolaan aset</t>
  </si>
  <si>
    <t>1. Surat Peminjaman BMN (C)
2. Notulensi Rapat Hasil Sosialisasi Kepmen No.415/2024 (D)
3. Keputusan Menteri No. 58 Tahun 2025 tentang Pedoman Kebijakan Akuntansi di Lingkungan Komdigi (E)
4. Kepmen No.415 Tahun 2024 tentang Pedoman Pengamanan dan Pemeliharaan BMN dibawah Penguasaan Kominfo (E)</t>
  </si>
  <si>
    <t>https://drive.google.com/drive/folders/1O6-4Uo21klInPzDbuefVwE3Swg8U5De0</t>
  </si>
  <si>
    <t>1. ToR RO terkait Penerapan Manajemen Risiko (B)
2. SK UPR Tahun 2024 (B)
3. Peserta Pelatihan MR (B)</t>
  </si>
  <si>
    <t>https://drive.google.com/drive/folders/1EVWCJcAFKGZTBfmOcOVLCWp_2m4dxBZG</t>
  </si>
  <si>
    <t>1. Laporan Program Prioritas Bulanan yang disampaikan ke pimpinan yang menunjukkan kendala dn risiko dalam pelaksanaan (D)
2. Laporan EKPA yang disampaikan ke pimpinan (D)
3. Dokumen MR Tahun 2024/2025 (D)</t>
  </si>
  <si>
    <t>https://drive.google.com/drive/folders/1ph2x_t7Occ7pO6AV7yAFGeceRyhQuf5g</t>
  </si>
  <si>
    <t>1. Dokumen PK level Kementerian dan Eselon I Tahun 2025 yang terdapat indikator Indeks RB yang turunannya adalah SPIP Terintegrasi (C)
2. Dokumen PK Eselon I Tahun 2024 (C)
3. Cascading RB (C)</t>
  </si>
  <si>
    <t>https://drive.google.com/drive/folders/1wmaRYqwErrYtoTuoY4a_UYtYqahjelj9</t>
  </si>
  <si>
    <t>Struktur organisasi dibentuk dalam rangka mendukung pencapaian pengamanan aset</t>
  </si>
  <si>
    <t>Bahwa K/L/D memiliki fleksibilitas untuk menyesuaikan struktur organisasi dalam rangka mendukung perubahan proses bisnis dan perubahan perencanaan strategis dengan bukti dukung:
1. Naskah Akademik Perubahan SOTK Ke Komdigi dr Kominfo (A)                
2. Hasil Monev Kelembagaan ( Monev SOP (B)        
4. SOP Penetapan Status Penggunaan BMN (C)
5. SOP Penghapusan BMN (C)
6. SOP Penghapusan BMN dikarenakan sebab-sebab lain (C)
7. SOP Laporan Penyusunan BMN (C)
8. Nodin Penyampaian SOTK Baru (D)                        
9. Perpres No. 174 Tahun 2024 tentang Komdigi (E)
10. Peraturan Menteri Komdigi No. 1 Tahun 2025 (E)
11. Peraturan Menteri No. 3 Tahun 2018 terkait BLU BAKTI (E)</t>
  </si>
  <si>
    <t xml:space="preserve">Belum terdapat bukti yang menunjukkan telah dilakukan evaluasi/pengujian atas pelaksanaan proses bisnis dan ketepatannya dengan perencanaan strategis. </t>
  </si>
  <si>
    <t>https://drive.google.com/drive/folders/1D7RONi0mNNhxCTmg9Ps9nPxmTXW9WhmT</t>
  </si>
  <si>
    <t>Wewenang dan tanggung jawab pengelolaan aset diberikan kepada pegawai yang tepat sesuai tingkatannya untuk mendukung efektivitas dan efisiensi pelaksanaan kegiatan dan memperhatikan benturan kepentingan</t>
  </si>
  <si>
    <t>1. Screenshot SIMAYA terkait disposisi/pendelegasian penyusunan Laporan Barang Pengguna Tahun 2024 oleh Pimpinan (A)
2. Monitoring Pendelegasian Wewenang pada Aplikasi SIMAN (A)
3. Notula/Diskusi/Direktif Pimpinan terkait penyusunan Kepmen No.256/2025 (B)       
4. SK Kuasa Pe Barang (C)
5. SK Penunjukkan Kuasa Pengguna Anggaran / Kuasa Pengguna Barang di Masa Likuidasi (C)        
6. Notula Hasil Sosialisasi/Penyampaian PMK No.4/2015 (D)
7. Screenshot Bukti Penyampaian SK di Simaya (D)
8. Peraturan Menteri Komdigi No. 1 Tahun 2025 (E)
9. Kepmen No.256 tahun 2025 tentang Pelimpahan Kewenangan (E)
10. PMK No.4/2015 (E)
11. SE Sekjen No.9/2015 (E)</t>
  </si>
  <si>
    <t>https://drive.google.com/drive/folders/1Q7n9kSZEqdbHND7cWVrGmJ3rnjI3H7jZ</t>
  </si>
  <si>
    <t>Penerapan kebijakan manajemen dan praktik pembinaan SDM sehingga dapat digunakan secara maksimal untuk mengelola aset</t>
  </si>
  <si>
    <t>1. Tren Kenaikan Kepuasan Pegawai (A)        
2. Monev SOP pada Poin E (B)
3. Nodin-nodin Pelaksanaan SOP pada Poin E (C)        
4. Laporan Hasil Sosialiasi Standar Pelayanan (D)        
5. SOP di Bidang Kinerja Pengembangan Pegawai, Displin Pegawai (E)
6. Standar Pelayanan Kepegawaian</t>
  </si>
  <si>
    <t>https://drive.google.com/drive/folders/1tBSYcdgL7fFZXTuw-uGSD1CFv20iDCZp</t>
  </si>
  <si>
    <t>Disesuaikan dengan Kriteria Pelaksanaan Bimtek dan Sertifikasi MR Tahun 2024 (D)</t>
  </si>
  <si>
    <t>https://drive.google.com/drive/folders/1Lmjb5CL1Hnvj0JHFY2yS1spcROhS5VuX</t>
  </si>
  <si>
    <t>Hasil Pelatihan MR Tahun 2024 membandingkan Pegawai yg tersetifikasi dengan yang tidak (D)</t>
  </si>
  <si>
    <t>https://drive.google.com/drive/folders/1mWLSi19i3WrDYwPjuuW0foj5c9U5Ajsj</t>
  </si>
  <si>
    <t>Laporan Hasil Penilaian IACM Tahun 2024 (C)</t>
  </si>
  <si>
    <t>Pimpinan K/L/D menjalin hubungan kerja yang baik (kemitraan) dengan instansi lain terkait dengan pengelolaan aset</t>
  </si>
  <si>
    <t>1. Nota Kesepahaman dan Lampiran matriks Nota Kesepamahaman antara Kementerian Komdigi dengan mitra yang telah memetakan peran masing-masing pihak (A)
2. Dokumen laporan evaluasi atas Keputusan Menteri Kominfo Nomor 438 Tahun 2024 tentang Pedoman Kerja Sama dan Penyusunan Perjanjian di Lingkungan Kementerian Kominfo (B)
3. Draf PKS antara Kementerian Kominfo denga BPS terkait Pertukaran data dan/atau informasi (C)
4. Paparan Keputusan Menteri Kominfo Nomor 438 Tahun 2024 tentang Pedoman Kerja Sama dan Penyusunan Perjanjian di Lingkungan Kementerian Kominfo kepada Mitra (D)
5. Dokumentasi rapat sosialisasi Keputusan Menteri Kominfo Nomor 438 Tahun 2024 tentang Pedoman Kerja Sama dan Penyusunan Perjanjian di Lingkungan Kementerian Kominfo (D)
6. Keputusan Menteri Kominfo Nomor 438 Tahun 2024 tentang Pedoman Kerja Sama dan Penyusunan Perjanjian di Lingkungan Kementerian Kominfo (E)</t>
  </si>
  <si>
    <t>https://drive.google.com/drive/folders/1t-5ZPLkypg96r_iCLKn1FgqqMCD6MLeQ</t>
  </si>
  <si>
    <t>1. Pedoman MR Kemkominfo No. 6 Tahun 2017 (C)
2. Bukti Dokumen PKS/MoU/Nota Kesepahaman yang menunjukkan adanya Pengelolaan Risiko dalam Kemitraan (C)</t>
  </si>
  <si>
    <t>https://drive.google.com/drive/folders/1x5ILW2wpApRVuzXtVU5gkUHEmtFDw1NP</t>
  </si>
  <si>
    <t>Pedoman Menteri Kominfo No 6 Tahun 2017 tentang Manajemen Risiko di lingkungan Kementerian Kominfo yang memuat (C) :
1. Penetapan konteks manajemen risiko (konteks risiko strategis dan Operasional)
2. Identifikasi risiko setidaknya memuat penyebab risiko, dampak risiko, pihak yang terkena dampak
3. Analisis risiko setidaknya memuat metode prioritisasi risiko
4. Penetapan kriteria penilaian risiko (kriteria dampak, kriteria kemungkinan, dan skala nilai risiko);
5. Penetapan struktur manajemen risiko dan alur pertanggungjawaban;
6. Penetapan risk appetite/selera risiko
7.Gambaran proses manajemen risiko.
8. Pembangunan budaya risiko</t>
  </si>
  <si>
    <t>https://drive.google.com/drive/folders/1-uZ_YGYCGNw76rL9rcUnKpRY6w4SDSrS</t>
  </si>
  <si>
    <t>Dokumen MR yang menunjukkan Risk Register telah dituangkan (C)</t>
  </si>
  <si>
    <t>https://drive.google.com/drive/folders/1fldtcOLeKi4L2OOt6i9_ZIntNcn1UZQS</t>
  </si>
  <si>
    <t>1. ToR RO-RO telah mengandung bagian Manajemen Risiko yang menunjukkan bahwa proses manajemen risiko telah diterapkan di dalam proses bisnis (C)
2. Draft Template ToR Tahun 2026 yang mengakomodir Manajemen Risiko dalam ToR (C)</t>
  </si>
  <si>
    <t>https://drive.google.com/drive/folders/1RHd4qI-lYFNgTW84okvPylC5rsNG6qh4</t>
  </si>
  <si>
    <t>Dokumen MR Eselon I yang telah dianalisa besaran risikonya (C)</t>
  </si>
  <si>
    <t>https://drive.google.com/drive/folders/1MbE-SeZvZ388AZkz92f1GpxXxg7tQJwh</t>
  </si>
  <si>
    <t>Dokumen MR Eselon I yang menunjukkan prioritas risiko (C)</t>
  </si>
  <si>
    <t>https://drive.google.com/drive/folders/1m3RQbPtm7ordT7HMzmRMjZQrptoDDgyo</t>
  </si>
  <si>
    <t>Dokumen MR Eselon I yang menunjukkan RTP (C)</t>
  </si>
  <si>
    <t>https://drive.google.com/drive/folders/1ZvRujw0OtpeOsv_aiir7h_qYEgzjB0IV</t>
  </si>
  <si>
    <t>Formulir Pemantauan TW III dan IV yang menunjukkan bahwa RTP telah diimplementasikan (C)</t>
  </si>
  <si>
    <t>https://drive.google.com/drive/folders/1V_lS8308059yzYH7xUNxBvCFDFkS0ArE</t>
  </si>
  <si>
    <t>Bukti Dukung:1. Screenshot trend penurunan risiko dari aplikasi manajemen risiko di Portal Kominfo (E)</t>
  </si>
  <si>
    <t>seseuai</t>
  </si>
  <si>
    <t>https://drive.google.com/drive/folders/1Eu7Kp5RzsOQQmNRuQJuXuTTLT4CnxhdT</t>
  </si>
  <si>
    <t>Pimpinan K/L/D membandingkan tolok ukur kinerja pengelolaan aset dengan capaian kinerja secara berkala untuk mengatasi hambatan kinerja, menetapkan strategi perbaikan, dan menilai kinerja suatu unit sampai dengan periode tertentu dalam rangka mengawal pencapaian tujuan organisasi.</t>
  </si>
  <si>
    <t>1. Hasil Reviu Laporan Kinerja (C)
2. Laporan Kinerja Setjen menunjukkan perbaikan kinerja terkait pengelolaan keuangan dan BMN (C)
3. Hasil Reviu Usulan RKBMN dari Itjen (C)
4. Target Kinerja terkait pengelolaan BMN tercantum di dalam PK Biro Keuangan dan Biro UMUM (D)
5. Permenkominfo Nomor 13 Tahun 2015 tentang Pedoman Penyelenggaraan Sistem Akuntabilitas Kinerja Instansi Pemerintah pada Kementerian Kominfo (E)
6. Pedoman Inspektur Jenderal Kemkominfo Nomor 2 Tahun 2022 Tentang Pedoman Evaluasi Akuntabilitas Kinerja Instansi Pemerintah di Lingkup Kemkominfo (E)
7. SOP Audit, Reviu dan Kegiatan Pengawasan Lainnya oleh APIP dan Eksternal Auditor (E)</t>
  </si>
  <si>
    <t>https://drive.google.com/drive/folders/1nRdC_HKe2MUBEn8gYLHgnEoNQBZz7gUP</t>
  </si>
  <si>
    <t>Pembinaan SDM terkait pengelolaan aset dilakukan sehingga setiap pegawai dapat memberikan manfaat optimal dalam pencapaian tujuan organisasi</t>
  </si>
  <si>
    <t>1. Hasil Monev Pengembangan Kompetensi Pegawai (B)                        
2. Pelatihan Kompetensi Pengelolaan Aset (C)        
3. Hasil Sosialisasi SOP/Pedoman (D)                
4. SOP Pengembangan Kompetensi Pegawai (E)
5. Pedoman Tugas Belajar (E)
6. Dokumen HCDP (E)</t>
  </si>
  <si>
    <t>1.13</t>
  </si>
  <si>
    <t>Pengendalian atas pengelolaan sistem informasi aset dilakukan untuk memastikan sistem informasi dapat menyajikan data yang akurat dan tepat waktu untuk digunakan oleh pengguna.</t>
  </si>
  <si>
    <t>Bukti Dukung : 
1. Laporan Kegiatan Evaluasi atas SOP Pengembangan Aplikasi Kementerian Kominfo Tahun 2024 (B) 
2. Matriks hasil konsultasi dengan Unit Kerja terkait kebutuhan sistem informasi/aplikasi yang mendukung kinerja (B) 
3. Hasil audit internal dan eksternal sertifikasi ISO (B) 
4. Hasil survey kepuasan layanan beberapa aplikasi sistem informasi untuk menunjang pelaksanaan pekerjaan sehari-hari yang mendukung tujuan organisasi (absensi geotagging, database data kepegawaian melalui aplikasi simpatik, data penyerapan anggaran melaui aplikasi SIDARA, layanan email) pada Portal kementerian Kominfo Tahun 2024/2025 (C) 
5. Laporan hasil analisis pemetaan/pendataan kebutuhan aset-aset yang berhubungan dengan teknologi informasi (D)
 6. SOP Pengelolaan sistem informasi (E)</t>
  </si>
  <si>
    <r>
      <rPr>
        <rFont val="Arial"/>
        <color theme="1"/>
        <sz val="12.0"/>
      </rPr>
      <t xml:space="preserve">Kebijakan pengelolaan sistem informasi organisasi digunakan dalam analisis kebutuhan dukungan sistem informasi, kemanfaatan sistem informasi </t>
    </r>
    <r>
      <rPr>
        <rFont val="Arial"/>
        <i/>
        <color theme="1"/>
        <sz val="12.0"/>
      </rPr>
      <t>existing</t>
    </r>
    <r>
      <rPr>
        <rFont val="Arial"/>
        <color theme="1"/>
        <sz val="12.0"/>
      </rPr>
      <t>, serta struktur pengelola dan pengguna sistem informasi beserta wewenang dan tanggungjawabnya.</t>
    </r>
  </si>
  <si>
    <r>
      <rPr>
        <rFont val="Arial"/>
        <color theme="1"/>
        <sz val="12.0"/>
      </rPr>
      <t>Pimpinan organisasi menetapkan kebijakan/</t>
    </r>
    <r>
      <rPr>
        <rFont val="Arial"/>
        <i/>
        <color theme="1"/>
        <sz val="12.0"/>
      </rPr>
      <t xml:space="preserve">grand design </t>
    </r>
    <r>
      <rPr>
        <rFont val="Arial"/>
        <color theme="1"/>
        <sz val="12.0"/>
      </rPr>
      <t>pengelolaan sistem informasi.</t>
    </r>
  </si>
  <si>
    <t>1.14</t>
  </si>
  <si>
    <t>Pengelolaan BMN/D dilakukan untuk menjamin aset tersedia dan dapat digunakan dengan baik oleh pengguna dalam rangka pencapaian tujuan organisasi</t>
  </si>
  <si>
    <t>1. Laporan barang pengguna Tahun 2024 (A)
2. Laporan atas Keluhan Penggunaan Aset (A)                        
3. Notula Revisi Perubahan Kepmen No.116/2024 menjadi Kepmen No.58/2025 (B)                        
4. Aset secara fisik dihitung dan dibandingkan dengan catatan pengendalian yang dibukti opname fisik persediaan (C)
5. Identifikasi aset dilekatkan pada fisik aset melalui labelisasi atas BMN (foto label BMN) 2024/2025 (C)
6. BA Peminjaman Aset 2024/2025 (C)
7. BA inventarisasi BMN Tahun 2022/2023 (C)                
8. Laporan Sosialisasi atas Asuransi BMN (D)        
9. Pedoman terk (E)
10. Kepmen No.58/2025 tentang Pedoman Kebijakan Akuntansi (E)
11. Pedoman Penghapusan BMN (E)
12. Pedoman Pengawasan dan Pengendalian BMN (E)
13. Juknis Pemanfaatan BMN (E)
14. Dokumen terkait asuransi BMN (E)</t>
  </si>
  <si>
    <t>https://drive.google.com/drive/folders/1585tvAXVlxqW-vH8Sksy52YFtdTpNlgK</t>
  </si>
  <si>
    <r>
      <rPr>
        <rFont val="Arial"/>
        <color theme="1"/>
        <sz val="12.0"/>
      </rPr>
      <t xml:space="preserve">Kebijakan/prosedur pengelolaan atas aset organisasi termasuk pengamanan fisik atas aset diimplementasikan </t>
    </r>
    <r>
      <rPr>
        <rFont val="Arial"/>
        <color theme="1"/>
        <sz val="12.0"/>
      </rPr>
      <t>secara memadai</t>
    </r>
  </si>
  <si>
    <t>1.15</t>
  </si>
  <si>
    <t xml:space="preserve">1. Hasil Reviu Dokumen RENJA (C)
2. Notulensi Hasil Kegiatan Reviu RENJA (C) 
3. Bimtek Perencanaan dan Penganggaran (D) 
5. Permenkominfo Nomor 13 Tahun 2015 tentang Pedoman Penyelenggaraan Sistem Akuntabilitas Kinerja Instansi Pemerintah pada Kementerian Kominfo (E)
6. Pedoman Inspektur Jenderal Kemkominfo Nomor 2 Tahun 2022 Tentang Pedoman Evaluasi Akuntabilitas Kinerja Instansi Pemerintah di Lingkup Kemkominfo (E)
7. SOP Audit, Reviu dan Kegiatan Pengawasan Lainnya oleh APIP dan Eksternal Auditor (E)
</t>
  </si>
  <si>
    <t>https://drive.google.com/drive/folders/1X02Ba5rZcDN5wsQ2MBajJfy8Tn2LV1PV</t>
  </si>
  <si>
    <t>1.16</t>
  </si>
  <si>
    <t>Terdapat pemisahan fungsi dalam pengelolaan aset sehingga seluruh aspek utama transaksi dan kejadian tidak dikendalikan hanya oleh satu orang</t>
  </si>
  <si>
    <t>1. SK Pejabat Pengadaan Barang/Jasa 2024/2025 (C)
2. SK penunjukan PPK, PPSPM dan KPA 2024/2025 (C)
3. SK Tim Penilaian PIPK 2024/2025 (C)
4. SK SIMAN-2/Screenshot Proses Bisnis SIMAN-2 (C)
5. Nodin Penyampaian SK Pejabat Pengadaan Barang/Jasa 2024/2025 (D)
6. Nodin Penyampaian SK penunjukan PPK, PPSPM dan KPA 2024/2025 (D)
7. Nodin Penyampaian SK Tim Penilaian PIPK 2024/2025 (D)
8. Nodin Persiapan Pelaksanaan Sistem Manajemen Aset Negara (SIMAN-2) (D)                        
9. SK Pejabat Pengadaan Barang/Jasa 2024/2025 (E)
10. SK penunj PPSPM dan KPA 2024/2025 (E)
11. SK Tim Penilaian PIPK 2024/2025 (E)
12. Pedoman Pelaksanaan Anggaran Tahun 2025 (E)
13. PMK yang Mengatur Pemisahan Fungsi Pengelolaan Aset (E)</t>
  </si>
  <si>
    <t>isi 3.7</t>
  </si>
  <si>
    <t>1.17</t>
  </si>
  <si>
    <t>Terdapat proses untuk memastikan transaksi dan kejadian penting terkait aset hanya dapat diotorisasi ketika memenuhi persyaratan dan dilakukan oleh pihak yang memiliki kewenangan</t>
  </si>
  <si>
    <t>1. Evaluasi pada perubahan Tusi pada SK Tim (B)
2. SK Pejabat Pengadaan Barang/Jasa 2024/2025 (C)
3. SK penunjukan PPK, PPSPM dan KPA 2024/2025 (C)
4. SK Tim Penilaian PIPK 2024/2025 (C)
5. Nodin Penyampaian SK Pejabat Pengadaan Barang/Jasa 2024/2025 (D)
6. Nodin Penyampaian SK penunjukan PPK, PPSPM dan KPA 2024/2025 (D)
7. Nodin Penyampaian SK Tim Penilaian PIPK 2024/2025 (D)
8. Screenshot Juknis SAKTI bisa diakses pada Aplikasi (D)
9. Sosialisasi PMK yang Mengatur Pemisahan Fungsi (D)
10. SK Pejabat Pengadaan Barang/Jasa 2024/2025 (E)
11. SK penunjukan PPK, PPSPM dan KPA 2024/2025 (E)
12. SK Tim Penilaian PIPK 2024/2025 (E)
13. Pedoman Pelaksanaan Anggaran Tahun 2025 (E)
14. PMK yang Mengatur Pemisahan Fungsi Pengelolaan Aset (E)
15. Juknis SAKTI Modul Aset (E)</t>
  </si>
  <si>
    <t>isi 3.8</t>
  </si>
  <si>
    <t>1.18</t>
  </si>
  <si>
    <t>Terdapat proses untuk memastikan transaksi terkait aset telah diklasifikasikan dengan layak dan dikelompokkan dengan benar serta dicatat dengan segera sehingga relevan, bernilai, dan berguna bagi manajemen</t>
  </si>
  <si>
    <t>1. Surat Hasil Rekonsiliasi (SHR) bulan desember Tahun 2024 yang memastikan bahwa seluruh aset telah dicatat (C)
2. Laporan Pengguna Barang Tahun 2024 (C)
3. Nodin penyampaian ke satker dari Surat Kemenkeu (D)
4. Kebijakan Akuntansi Tahun 2025 (E)
5. SOP Penyusunan Laporan Barang (E)
6. SOP Pengelolaan/Penatausahaan BMN (E)
7. SOP terkait Asuransi BMN (E)
8. SOP Hibah (E)
9. Pedoman BMN (E)
10. PMK No.181/2016 (E)</t>
  </si>
  <si>
    <t>https://drive.google.com/drive/folders/1Yu5No7dW6iZufORip35xbqcG6SWdPuUl</t>
  </si>
  <si>
    <t>1.19</t>
  </si>
  <si>
    <t>Terdapat pembatasan atas kesempatan dan hak untuk menggunakan, atau memperoleh sumber daya dan mengakses pencatatan atas aset</t>
  </si>
  <si>
    <t>1. Dokumen Pembahasan Kepmen No.415/2024 (B)
2. Surat peminjaman barang Tahun 2024 (C)
3. Foto gudang penyimpanan yang terpasang CCTV (C) 
4. SK pendaftaran user SIMAN-2 Tahun 2025 (C)
5. Foto DBR didalam ruangan (C)
6. Foto aset yang dilakukan pemagaran (C)
7. Foto ruang data center dengan fingerprint (C)                        
8. Sosialisasi/Penyampaian Kepmen No.415/2024 (D)               
9. SOP pemakaian/peminjaman BMN (E)
10. SOP pemakaian persediaan (E)
11. Pedoman Kebijakan Akuntansi Tahun 2025 (E)
12. Kepmen 415/2024 tentang Pedoman pengamanan BMN (E)</t>
  </si>
  <si>
    <t>https://drive.google.com/drive/folders/1cPoJzMpR6P1ZjVVRpKb1eKsSR5bD8b5e</t>
  </si>
  <si>
    <t>1.20</t>
  </si>
  <si>
    <t>Terdapat pertanggungjawaban seseorang atau unit organisasi dalam mengelola aset yang diberikan/dikuasakan kepadanya dalam rangka pencapaian tujuan organisasi</t>
  </si>
  <si>
    <t>1. CaLK/Laporan Pengguna Barang (C)                
2. Nodin Penyampaian ke Satker untuk SK KPA/KPB (D)
3. Nodin Penyampaian ke Satker untuk SK UAKPA/UAKPD (D)                
4. Kebijakan Akuntansi Tahun 2025 (E)
5. SOP Penyusunan Laporan Barang (E)
6. SOP Pengelolaan/Penatausaha SOP terkait Asuransi BMN (E)
8. SOP Hibah (E)
9. Pedoman BMN (E)
10. SK KPA/KPB (E)
11. SK UAKPA/UAKPD (E)</t>
  </si>
  <si>
    <t>1.21</t>
  </si>
  <si>
    <t>Terdapat pengelolaan, pemeliharaan, dan pendokumentasian secara berkala yang mencakup seluruh SPI serta transaksi dan kejadian penting terkait aset yang dilaksanakan secara lengkap dan akurat untuk memfasilitasi penelusuran transaksi, kejadian, dan informasi terkait</t>
  </si>
  <si>
    <t>1. Materi Pembahasan perubahan Kepmen No.166/2024 menjadi Kebijakan Akuntansi No.58/2025 (B)
2. Laporan hasil reviu atas PIPK Tahun 2024 (B)
3. Laporan Penilaian PIPK Tahun 2024 (C)
4. Screenshot Aplikasi SIMWAS (C)        
5. Nodin penyampaian SK PIPK Tahun 2024 (D)
6. Nodin penyampaian ke satker KM 58/2025 (D)                
7. Kepmen No.58/2025 tentang Kebijakan Akuntansi Kemkominfo (transaksi dan kejadian penting diungkap dalam CaLK) (E)
8. PMK No.232/2022 tentang Penyusunan Laporan Keuangan (E)
9. SK PIPK Kementerian Tahun 2025 (E)
10. SOP Pen LK Tahun 2023 (E)</t>
  </si>
  <si>
    <t>1.22</t>
  </si>
  <si>
    <t>Tersedianya informasi terkait aset yang relevan untuk kebutuhan internal dan eksternal</t>
  </si>
  <si>
    <r>
      <rPr>
        <rFont val="Arial"/>
        <color theme="1"/>
        <sz val="12.0"/>
      </rPr>
      <t xml:space="preserve">Informasi yang disajikan relevan dan memenuhi ekspektasi </t>
    </r>
    <r>
      <rPr>
        <rFont val="Arial"/>
        <i/>
        <color theme="1"/>
        <sz val="12.0"/>
      </rPr>
      <t>stakeholder</t>
    </r>
  </si>
  <si>
    <t>Screenshot Aplikasi SIMAN-2 yang menunjukkan informasi terkait BMN (C)</t>
  </si>
  <si>
    <t>https://drive.google.com/drive/folders/1u9kNUnaYp26zew0kfltZHCKKC-HUFLKP</t>
  </si>
  <si>
    <t>1. Laporan Hasil Tindaklanjut SP4N LAPOR Tahun 2024/2025 (C)
2. Laporan Hasil Tindaklanjut DUMAS/WBS (C)        
3. Laporan Sosialiasi SP4N LAPOR Tahun 2025 (D)
4. Nodin Penyampaian/Sosialisasi SOP dan Pedoman pengaduan masyarakat/WBS (D)                
5. Pedoman Menteri Kom Informatika Nomor 6 Tahun 2018 tentang Pedoman Pengelolaan Pengaduan Masyarakat dan Penanganan Pelaporan Pelanggaran (Whistleblowing System) di Lingkungan Kementerian Komunikasi dan Informatika (E)</t>
  </si>
  <si>
    <t>https://drive.google.com/drive/folders/1rfn85IjJnwzBWLuo8mz9sE8TGN4Ya5Qg</t>
  </si>
  <si>
    <t>Laporan Kegiatan atas Sosialisasi Aplikasi MR yang didalamnya terdapat Kebijakan terkait Pelaksanaan MR yang dikomunikasikan (C)</t>
  </si>
  <si>
    <t>https://drive.google.com/drive/folders/1-AffWi3ICZQyIf8DeWRZWXGO2s18rkXG</t>
  </si>
  <si>
    <t>1. Dokumen Piagam MR yang meliputi Register dan RTP telah ditandatangani oleh pimpinan dan dikomunikasikan di internal (C)2. ND Penyampaian Piagam MR (C)</t>
  </si>
  <si>
    <t>https://drive.google.com/drive/folders/1iPiTITVGp0Egvhx0Kk__pPEh1bO1iVx9</t>
  </si>
  <si>
    <t>1.23</t>
  </si>
  <si>
    <t>Terlaksananya komunikasi yang efektif dengan internal dan eksternal terkait pengelolaan aset</t>
  </si>
  <si>
    <t>1. Rekap Data Press Release Isu Negatif (C)
2. Bukti Promosi/Sosialiasi Produk/Layanan Komdigi (C)
3. Sosialisasi Layanan BMN Komdigi (C)</t>
  </si>
  <si>
    <t>belum ada data dukung yang menunjukan adanya evaluasi terhadap adanya komunikasi dengan publik/stakeholder untuk mengatasi isu negatif, yang menghasilkan perbaikan</t>
  </si>
  <si>
    <t>https://drive.google.com/drive/folders/12vOinqYx06dZFI0_40LHHeX7r_fc9e7o</t>
  </si>
  <si>
    <t>1.24</t>
  </si>
  <si>
    <t>Pimpinan organisasi/penanggungjawab program dan kegiatan/penanggungjawab operasional mengevaluasi secara berkala pengendalian intern pengelolaan aset yang telah dilakukan dalam rangka mencapai tujuan organisasi.</t>
  </si>
  <si>
    <t>1. Atensi/Notisi terkait pengelolaan aset (B)
2. Laporan Hasil Tindaklanjut atas atensi terkait pengelolaan Aset (B)
3. Laporan Kegiatan Evaluasi Pemantauan Pengelolaan Aset (B) 
4. Foto Dashboard aplikasi Monev Kem.Keu (B)
5. Laporan EKPA Bulanan (B)</t>
  </si>
  <si>
    <t>https://drive.google.com/drive/folders/1-b-Tx8wu4puYhVoqCH2sBET1ixLVP1iD</t>
  </si>
  <si>
    <r>
      <rPr>
        <rFont val="Arial"/>
        <color theme="1"/>
        <sz val="14.0"/>
      </rPr>
      <t xml:space="preserve">
1. Nota Dinas Hasil Reviu MR SMT II Tahun 2024 (C)
2. Notisi/Atensi atas Pelaksanaan MR Tahun 2025 (C)</t>
    </r>
    <r>
      <rPr>
        <rFont val="Arial"/>
        <color theme="1"/>
        <sz val="14.0"/>
      </rPr>
      <t xml:space="preserve">
</t>
    </r>
  </si>
  <si>
    <t>https://drive.google.com/drive/folders/1cZuq0HwWvhH1mBPyNjY7uU_EqB7If5JU</t>
  </si>
  <si>
    <t xml:space="preserve">1. Laporan Monitoring/Evaluasi MR TW III &amp; IV Tahun 2024
</t>
  </si>
  <si>
    <t>https://drive.google.com/drive/folders/1sB610NRtDo-yAUQBg7G8KpZhepQqcVgl</t>
  </si>
  <si>
    <t>1.25</t>
  </si>
  <si>
    <t>Evaluasi terpisah dilakukan oleh pegawai dengan keahlian tertentu yang disyaratkan dan dapat melibatkan APIP atau auditor eksternal untuk menilai kinerja sistem pengendalian intern, mengidentifikasi kelemahan pengendalian, menentukan penyebab dari kegagalan aktivitas pengendalian terkait pengelolaan aset, serta pengaruhnya terhadap pencapaian tujuan instansi</t>
  </si>
  <si>
    <t>Laporan hasil evaluasi yang dilakukan APIP (LHE RB, AKIP, SPIP, LK) (C)</t>
  </si>
  <si>
    <t>https://drive.google.com/drive/folders/1G9AAFPCHktLOx3x-Pvw9aenAMj5aCT_-</t>
  </si>
  <si>
    <t>1. Pedoman Reviu MR (C) 2. Hasil Reviu dan Pendampingan MR (C)</t>
  </si>
  <si>
    <t>elum memnjukan Sudah dilakukan reviu atas seluruh risiko  strategis unit kerja, dan strategis K/L/D</t>
  </si>
  <si>
    <t>https://drive.google.com/drive/folders/1ga1OdxsjJLH5re6U0e1wOCXP5HjCoHeQ</t>
  </si>
  <si>
    <t>KERTAS KERJA PENILAIAN STRUKTUR DAN PROSES
KK 3.4 - PENILAIAN STRUKTUR DAN PROSES KETAATAN PADA PERATURAN PERUNDANG-UNDANGAN (T4)</t>
  </si>
  <si>
    <t>Pengujian terkait Tujuan 4 SPIP (Ketaatan pada Peraturan Perundang-undangan)</t>
  </si>
  <si>
    <t>Kesimpulan
Y/T</t>
  </si>
  <si>
    <t>K/L/D menegakkan integritas dan nilai etika dalam  pelaksanaan tugasnya sesuai peraturan yang berlaku</t>
  </si>
  <si>
    <t>Penegakan integritas dan nilai etika di Kementerian Komdigi telah dievaluasi dan dilakukan perbaikan secara berkelanjutan.
Hal tersebut ditunjukkan dengan beberapa upaya dan aktivitas yang telah dilaksanakan di Kementerian antara lain sebagai berikut:
- Penetapan kebijakan penegakan integritas dan nilai etika untuk seluruh pegawai dalam organisasi berupa Peraturan Menteri tentang Kode Etik Pegawai di lingkungan Kemkominfo, Peraturan tentang Disiplin pegawai, Pemberian punisment dan reward (SOP Penanganan Disiplin Pegawai), Kebijakan terkait pemberlakukan ASN berprestasi, Peraturan Menteri tentang penegakan disiplin PNS.
- Internalisasi Kebijakan penegakan integritas dan nilai etika organisasi untuk memberikan pemahaman kepada seluruh pegawai melalui pengunggahan kebijakan pada website JDIH kemkominfo yang dapat diakses oleh seluruh pegawai Kominfo, internalisasi kebijakan terhadap pegawai baru / CPNS melalui sosialisasi Kepala Biro Kepegawaian dan Organisasi serta Pelatihan bekerjasama dengan Komisi Pemberantasan Korupsi
- Pelaksanaan penegakan integritas dan nilai etika pegawai dalam pelaksanaan tugas dan fungsinya pada organisasi diwujudkan dengan implementasi kebijakan Keputusan Menteri tentang Nilai Nilai Kementerian Komunikasi dan Informatika, pemberian Surat Teguran terhadap pelanggaran dispilin pegawai, Pemberian apresiasi melalui penetapan ASN Berprestasi, serta penandatanganan Pakta Integritas Pejabat dan ASN di Kementerian
- Evaluasi atas implementasi kebijakan pada organisasi untuk meningkatkan integritas dan nilai etika dalam pembinaan etika dan disiplin ASN Komenterian Komdigi
- Perbaikan secara berkelanjutan penegakan integritas dan nilai etika sehingga tercipta suasana kerja organisasi yang kondusif yang dapat mendorong kinerja para pegawai secara optimal, melalui penilaian Integritas dan nilai etika, pelaksanaan monitoring dan evaluasi disiplin kepegawaian yang rutin dilaksanakan setiap bulan, perbaikan berkelanjutan dalam bentuk pembinaan atas tindaklanjut catatan kehadiran, serta pelaksanaan Reformasi Birokrasi secara berkelanjutan</t>
  </si>
  <si>
    <t>https://drive.google.com/drive/folders/12lhHfsOsMOMLMCd7q8vfVARFvMwDYIPF</t>
  </si>
  <si>
    <t>Kebijakan antikorupsi menjangkau semua kegiatan dan terevaluasi terus-menerus oleh struktur pengelola risiko korupsi yang bekerja efektif dengan kewenangan dan tanggung jawab yang memadai sehingga pengembangan kebijakan antikorupsi yang berkelanjutan benar-benar dilakukan.</t>
  </si>
  <si>
    <t>W/D/O</t>
  </si>
  <si>
    <t>Kebijakan antikorupsi di Kementerian Komdigi telah nyata terdiseminasi, diimplementasikan, dan diterapkan menjangkau semua kegiatan utama organisasi.
Beberapa kebijakan antikorupsi yang telah ditetapkan di Kementerian antara lain Peraturan Menteri tentang tentang Kode Etik Pegawai Kominfo, Pedoman Menteri tentang Manajemen Risiko, Pedoman Menteri Tentang Penyelenggaraan Sistem Pengendalian Intern di Lingkungan Kementerian Komunikasi dan Informatika, Pedoman Menteri Tentang Pengendalian Gratifikasi Lingkungan Kementerian Kominfo, Pedoman Menteri Tentang Penanganan Benturan Kepentingan di Lingkungan Kementerian Komunikasi dan Informatika, Pedoman Menkominfo tentang Pedoman Pengelolaan Pengaduan Masyarakat dan Penanganan Pelaporan Pelanggaran di lingkungan Kemkominfo (Whistle Blowing System), dan Pedoman Pembangunan Zona Integritas Menuju Wilayah Bebas dari Korupsi atau Wilayah Birokrasi Bersih dan Melayani di Lingkungan Kemkominfo, serta pemutakhiran SOTK Kementerian Komdigi
Kebijakan anti korupsi di Kementerian telah mengatur wewenang dan tanggung jawab pengelolaan risiko korupsi dan menetapkan struktur organisasi yang bertanggungjawab untuk melakukan pengendalian risiko korupsi.
Beberapa langkah sebagai implementasi atas kebijakan anti korupsi yang telah dilaksanakan antara lain melalui pengisian LHKPN bagi pejabat di lingkungan Kemkominfo, Pencanangan dan pembangunan pencapaian predikat WBK/WBBM pada Program Zona Integritas di lingkungan Kemkomdigi, penyusunan prosedur Pengendalian Gratifikasi Satuan Kerja, penetapan prosedur penegakan hukuman disiplin Kemkominfo
- Kebijakan antikorupsi telah nyata diimplementasikan dan menjangkau pada semua kegiatan, serta telah dilaksanakan reviu dan evaluasi terhadap efektivitasnya yang dilakukan secara formal dan terjadwal oleh struktur pengelola risiko korupsi yang bekerja efektif dengan kewenangan dan tanggung jawab yang memadai sehingga pengembangan kebijakan antikorupsi yang berkelanjutan benar-benar dilakukan.</t>
  </si>
  <si>
    <t>https://drive.google.com/drive/folders/1b995kIqgNIlPhOT7DoaOg4QERDuq4jVJ</t>
  </si>
  <si>
    <t>Kebijakan antikorupsi telah nyata diimplementasikan pada semua kegiatan, namun belum ada reviu dan evaluasi terhadap efektivitasnya yang dilakukan secara formal dan terjadwal.</t>
  </si>
  <si>
    <t>Kebijakan antikorupsi telah diimplementasikan, tetapi belum menjangkau semua kegiatan utama organisasi dengan wewenang dan tanggung jawab pengelolaan risiko korupsi belum ditetapkan secara permanen di dalam struktur organisasi</t>
  </si>
  <si>
    <t xml:space="preserve">Kebijakan antikorupsi yang terwujud dalam penetapan struktur pengelolaan risiko korupsi dan standar perilaku antikorupsi baru pada tataran terdiseminasi dan masih diterapkan secara parsial saja dan terbatas lingkupnya. </t>
  </si>
  <si>
    <t>Kebijakan yang eksplisit untuk antikorupsi tidak ditetapkan, atau kalaupun ada, tidak berjalan sama sekali atau sekadar formalitas.</t>
  </si>
  <si>
    <t>Organisasi menetapkan dan melaksanakan SOP antikorupsi yang mencakup tiga proses prinsip dalam pengelolaan risiko korupsi, yakni cegah, deteksi, dan respons</t>
  </si>
  <si>
    <t>SOP yang mencakup prinsip cegah deteksi dan respons telah diterapkan secara konsisten pada seluruh kegiatan dan ada evaluasi terjadwal dan dilakukan perbaikan berkelanjutan sehingga membawa perubahan nyata pada organisasi.</t>
  </si>
  <si>
    <t>Kebijakan/Pedoman/SOP Antikorupsi di Lingkungan Kementerian komdigi telah dikelola mulai dari Pencegahan, Deteksi, dan Respon yang di atur didalamnya, dan menjadi acuan untuk seluruh satuan kerja dalam menangani pengendalian antikorupsi dilingkungan masing - masing, melalui:
- Penetapan dan penerapan SOP mencakup proses cegah deteksi dan respons telah dilaksanakan secara keseluruhan, melalui penetapan peraturan menteri tentang tentang Kode Etik Pegawai Kominfo, Pedoman Menteri tentang Manajemen Risiko, Pedoman Menteri Tentang Penyelenggaraan Sistem Pengendalian Intern di Lingkungan Kementerian Komunikasi dan Informatika, Pedoman Menteri Tentang Pengendalian Gratifikasi Lingkungan Kementerian Kominfo, Pedoman Menteri Tentang Penanganan Benturan Kepentingan di Lingkungan Kementerian Komunikasi dan Informatika, Pedoman Menkominfo tentang Pedoman Pengelolaan Pengaduan Masyarakat dan Penanganan Pelaporan Pelanggaran di lingkungan Kemkominfo (Whistle Blowing System), dan Pedoman Pembangunan Zona Integritas Menuju Wilayah Bebas dari Korupsi atau Wilayah Birokrasi Bersih dan Melayani di Lingkungan Kemkominfo.
- Penetapan dan penerapan SOP mencakup proses cegah deteksi dan respons telah dilaksanakan seluruhnya secara konsisten pada seluruh kegiatan, dilaksanakan evaluasi secara terjadwal dan dilakukan perbaikan berkelanjutan sehingga membawa perubahan nyata pada organisasi. Hal ini dilaksanakan melalui Pengisian LHKPN bagi pejabat di lingkungan Kemkominfo, pencanangan, pembangunan, serta pencapaian predikat WBK/WBBM pada Program Zona Integritas di lingkungan Kemkomdigi, penyusunan prosedur Pengendalian Gratifikasi Satuan Kerja, prosedur Penegakan hukuman disiplin Kemkominfo prosedur pelatihan dan Induksi tentang nilai - nilai organisasi serta kode etik dan perlilaku di Lingkup Kemkominfo, prosedur Audit, Reviu dan Kegiatan Pengawasan Lainnya oleh APIP dan Eksternal Auditor, prosedur Pengelolaan Sarana Pengaduan Satuan Kerja, dan Juknis Irjen Penanganan Pengaduan Terintegrasi Berkadar Pengawasan.
selain itu, implementasi dan evaluasi kebijakan antirkorupsi juga dilaksanakan melalui penerapan manajemen risiko pada satuan kerja dengan menetapkan SK Manajemen Risiko dan Peta Risiko Satuan Kerja, penandatanganan Pakta Integritas Satuan Kerja, Penerapan WBS menggunakan aplikasi WBS serta Laporan Pengguna aplikasi WBS dan SPAN Lapor, Melaksanakan dan menyusun laporan kegiatan pencegahan, deteksi, dan respon terkait Whistleblowing System (WBS), Pengaduan Masyarakat (Dumas), Benturan Kepentingan (BK), Unit Pengendalian Gratifikasi (UPG), dan Zona Integritas (ZI), Melaksanakan pemantauan dan menyusun laporan kegiatan antikorupsi di satuan kerja, Melakukan evaluasi dan menyusun laporan pelaksanaan Standar Operasional Prosedur (SOP) Kepegawaian di lingkungan Kementerian, dan Menyusun dan mendistribusikan Nota Dinas tentang pembangunan Zona Integritas di lingkungan Kementerian.</t>
  </si>
  <si>
    <t>https://drive.google.com/drive/folders/1ukowBvwwG6qZ_H5uD8lKFy03D6EQYg_D</t>
  </si>
  <si>
    <t>Penetapan SOP mencakup proses cegah deteksi dan respons telah dilaksanakan semuanya secara konsisten, meskipun reviu dan evaluasi atas pelaksanaan SOP masih dilakukan secara insindentil.</t>
  </si>
  <si>
    <t>Penetapan SOP mencakup proses cegah deteksi dan respons telah dilaksanakan semuanya, meskipun masih kurang konsisten dan tidak ada reviu dan evaluasi atas efektivitas kegiatannya.</t>
  </si>
  <si>
    <t>Penetapan SOP antikorupsi belum mencakup tiga proses prinsip, atau mencakup ketiganya tetapi hanya berjalan sebagian saja, atau masih berfungsi secara terbatas lingkupnya, pelaksanaan SOP masih cenderung seremonial.</t>
  </si>
  <si>
    <t>Tidak ada penetapan SOP antikorupsi spesifik. Kalaupun ada, tidak berfungsi sehingga formalitas belaka.</t>
  </si>
  <si>
    <t>Tentang proses unit kerja sebagai lingkungan belajar dikelola untuk memungkinkan pegawai di semua level berpartisipasi dalam program antikorupsi dengan menghindari perilaku koruptif dan menunjukkan sikap lugas ketika berhadapan dengan situasi yang memicu perilaku korupsi.  Proses belajar juga harus menjangkau stakeholders (penyedia dan pengguna layanan) untuk mendapatkan komitmen kerjasama untuk berjalannya program antikorupsi.</t>
  </si>
  <si>
    <t>Kegiatan pembelajaran anti korupsi telah diberikan kepada pihak internal dan eksternal. Penyelenggaraan dilakukan dengan terencana dan terstruktur. Kegiatan tersebut dipantau pelaksanaannya dan dievaluasi efektivitasnya.</t>
  </si>
  <si>
    <t>Kementerian Komunikasi dan Digital (Komdigi) sebagai lingkungan belajar dikelola untuk memungkinkan pegawai di semua level berpartisipasi dalam program antikorupsi, dengan menghindari perilaku koruptif serta menunjukkan sikap lugas dalam menghadapi situasi yang berpotensi menimbulkan tindak korupsi. Proses pembelajaran juga dilaksanakan secara luas dengan menjangkau para stakeholders untuk mendapatkan komitmen bersama dalam mendukung keberlangsungan program antikorupsi. Hal ini dilakukan melalui pelaksanaan kegiatan pembelajaran antikorupsi kepada pihak internal secara terencana dan terstruktur, melibatkan pihak internal dan eksternal serta dilakukan secara terjadwal, dan dipantau pelaksanaannya serta dievaluasi efektivitasnya secara berkala untuk perbaikan berkelanjutan. Kegiatan pembelajaran antikorupsi tersebut dilaksanakan melalui berbagai program, antara lain:
- Pemberian materi pembelajaran antikorupsi dalam kegiatan Latsar CPNS dan PPPK.
- Sosialisasi pengisian LHKPN dan LHK ASN kepada seluruh pegawai.
- Penerbitan Nota Dinas oleh Biro Kepegawaian tentang kewajiban pengisian LHKPN dan LHK ASN.
- Distribusi Juknis Irjen tentang Penanganan Pengaduan Terintegrasi Berkadar Pengawasan di Lingkungan Kemkominfo.
- Pelaksanaan FGD Pencegahan Fraud di Pengadaan yang diselenggarakan pada 22 Mei di KPK.
- Penyusunan Laporan Sosialisasi Antikorupsi di Lingkungan Kemkominfo dan satuan kerja masing-masing.
- Pelaksanaan asistensi pembangunan Zona Integritas pada satuan kerja lingkup Kemkominfo.
- Kegiatan peringatan Hari Antikorupsi Sedunia.
- Perencanaan dan realisasi kegiatan pembangunan Whistleblowing System Terpadu (WBS TPK) serta laporan evaluasi Dumas dan WBS.
- Sosialisasi Roadmap Reformasi Birokrasi.
- Pelaksanaan program pendampingan Reformasi Birokrasi dan Zona Integritas.
- Sosialisasi tata cara pengaduan melalui WBS.
- Pendampingan pelaksanaan program Sistem Pengendalian Intern Pemerintah (SPIP).
- pelaksanaan program self paced learning pelatihan anti korupsi
Sebagai hasil dari pelaksanaan program pembelajaran antikorupsi tersebut, telah terjadi peningkatan partisipasi dari pegawai dan stakeholders, yang dibuktikan melalui Bertambahnya jumlah satuan kerja yang membangun Zona Integritas, Penandatanganan Pakta Integritas oleh pegawai sebagai bentuk komitmen antikorupsi, dan Peningkatan kualitas dan kuantitas laporan serta kegiatan pencegahan tindak korupsi di masing-masing satuan kerja</t>
  </si>
  <si>
    <t>https://drive.google.com/drive/folders/1iPWiA_dxNi5dGsxDy7nyO51QDZOoSigY</t>
  </si>
  <si>
    <t>Kegiatan pembelajaran anti korupsi telah melibatkan pihak internal dan eksternal serta penyelenggaraan dilakukan secara terjadwal</t>
  </si>
  <si>
    <t>Unit kerja telah melaksanakan kegiatan pembelajaran anti korupsi kepada pihak internal. Penyelenggaraan telah dilakukan secara terencana dan terstruktur</t>
  </si>
  <si>
    <t xml:space="preserve">Unit kerja telah melaksanakan kegiatan pembelajaran anti korupsi kepada pihak internal dan penyelenggaraan bersifat insidentil dan tidak kontinyu </t>
  </si>
  <si>
    <t xml:space="preserve">Tidak terdapat kegiatan pembelajaran anti korupsi yang terencana, sistematis dan terstruktur. </t>
  </si>
  <si>
    <t>Integritas adalah keutamaan-keutamaan (virtues) seperti kejujuran, hal dapat dipercaya (trustworthiness), komitmen terhadap standar etis, atau keteguhan sikap &amp; perilaku sesuai prinsip moral/etika.  Berintegritas berarti apa yang diucapkan utuh, lengkap, takbercacat, taklebih dan takkurang. Pada konteks organisasi, integritas berarti apa yang dinyatakan dalam kebijakan, SOP, peraturan, atau standar, itu pula yang dilaksanakan: utuh, tidak kurang dan tidak lebih. Transparansi dan akuntabilitas, itulah wujud nilai integritas organisasional. Integritas organisasional adalah tingkat kesesuaian kegiatan dengan peraturan/kebijakan secara keseluruhan, yang berarti bukan sekadar kesesuaian secara formal, tetapi juga kesesuaian dengan nilai prinsip yang melandasi terbitnya peraturan/ kebijakan.</t>
  </si>
  <si>
    <t>Kondisi integritas organisasional sangat tinggi</t>
  </si>
  <si>
    <t>Kondisi integritas organisasional di Kementerian Komunikasi dan Digital (Komdigi) saat ini berada pada tingkat sedang, ditunjukkan melalui kultur pengelolaan kegiatan, keuangan, dan sumber daya manusia baik pada kegiatan utama maupun pendukung yang telah mengedepankan prinsip transparansi, kepatuhan terhadap regulasi, serta nilai-nilai integritas. Upaya ini bertujuan untuk mencegah terjadinya praktik-praktik korupsi seperti gratifikasi, suap, percaloan, dan nepotisme.
Sebagai bentuk penguatan integritas, Kementerian telah menggunakan aplikasi CACM yang memungkinkan pemantauan penggunaan anggaran secara transparan pada setiap kegiatan. Kepatuhan terhadap ketentuan penggunaan anggaran juga tercermin dari capaian nilai Indikator Kinerja Pelaksanaan Anggaran (IKPA) Kementerian yang tinggi. Selain itu, proses pengajuan yang terbuka dan dapat dipantau oleh publik menunjukkan komitmen terhadap prinsip keterbukaan, yang turut tercermin dalam nilai Indeks Keterbukaan Informasi Publik yang baik. selain itu, kementerian juga turut menetapkan target dan piagam pembangunan Zona Integritas, serta Laporan hasil Survei Penilaian Integritas (SPI) Kementerian Kominfo yang diterbitkan oleh KPK dengan nilai 76,19, berada di atas rata-rata nasional (71,53), serta ditunjang oleh bukti komitmen integritas pegawai melalui penandatanganan Pakta Integritas.</t>
  </si>
  <si>
    <t>https://drive.google.com/drive/folders/141Fi9zmQtljx_gbsHCdOOLMjfEztEjNQ</t>
  </si>
  <si>
    <t>Kondisi integritas organisasional pada cukup tinggi</t>
  </si>
  <si>
    <t>Kondisi integritas organisasional pada tataran sedang</t>
  </si>
  <si>
    <t>Kondisi integritas organisasional cenderung rendah</t>
  </si>
  <si>
    <t>Kondisi integritas organisasional sangat rendah</t>
  </si>
  <si>
    <t>Terdapat persepsi bersama oleh semua pegawai secara umum bahwa yang dijadikan acuan utama sebagai perilaku etis adalah peraturan, SOP, hukum, atau standar profesional</t>
  </si>
  <si>
    <t>Iklim etis prinsip di dalam lingkungan unit kerja sangat tinggi</t>
  </si>
  <si>
    <t>Kondisi iklim etis di lingkungan Kementerian Komdigi saat ini berada pada tingkatan sedang, ditandai dengan adanya persepsi bersama di antara pegawai bahwa kepatuhan terhadap hukum, peraturan, standar operasional prosedur (SOP), dan kode etik merupakan acuan utama dalam bertindak. Prinsip etika yang dianut secara kolektif menunjukkan dominasi pendekatan berbasis aturan (rule-based), di mana seluruh pegawai menempatkan legalitas dan kepatuhan hukum sebagai pertimbangan utama dalam pengambilan keputusan.
Pemahaman dan implementasi perilaku etis tersebut tercermin dalam berbagai instrumen dan kebijakan internal yang mendukung terciptanya lingkungan kerja berintegritas. Di antaranya adalah Maklumat Pelayanan Pegawai Kominfo sebagaimana tercantum dalam Keputusan Menteri Kominfo Nomor 315 Tahun 2015 tentang Nilai-nilai Kementerian Kominfo, Piagam Zona Integritas sebagai komitmen bersama menuju wilayah bebas dari korupsi, serta penerapan nilai-nilai ASN BerAKHLAK berdasarkan SK Menkominfo Nomor 550 Tahun 2021 tentang Core Values dan Employer Branding ASN.
Kementerian juga secara konsisten melaksanakan sosialisasi nilai-nilai etika dan perilaku, salah satunya melalui kegiatan “Kominfo Talk” sebagai bagian dari upaya internalisasi nilai BerAKHLAK kepada seluruh pegawai. Hal ini turut didukung oleh hasil Reformasi Birokrasi yang menunjukkan capaian positif, serta penguatan sistem pengendalian intern pemerintah di lingkungan Komdigi.
Secara keseluruhan, iklim etis di lingkungan Komdigi telah menunjukkan kemajuan ke arah penguatan budaya kepatuhan dan profesionalisme, dengan menjadikan hukum dan etika organisasi sebagai landasan utama dalam menjalankan tugas dan tanggung jawab pegawai</t>
  </si>
  <si>
    <t>https://drive.google.com/drive/folders/1Luxt8HP4kup34pIe45d_Auu8eiikTbmN</t>
  </si>
  <si>
    <t>Iklim etis prinsip di dalam lingkungan unit kerja cukup tinggi</t>
  </si>
  <si>
    <t>Iklim etis prinsip di dalam lingkungan unit kerja pada tingkatan sedang</t>
  </si>
  <si>
    <t>Iklim etis prinsip di dalam lingkungan unit kerja cukup rendah</t>
  </si>
  <si>
    <t>Iklim etis prinsip  di dalam lingkungan unit kerja sangat rendah</t>
  </si>
  <si>
    <t xml:space="preserve">Mencakup semua langkah tindak lanjut atas indikasi korupsi yang terdeteksi, mulai dari sebatas klarifikasi hingga audit investigatif. </t>
  </si>
  <si>
    <t>Seluruh kejadian korupsi/perilaku koruptif yang ditemukan satu tahun terakhir telah selesai ditindaklanjuti oleh orang/tim yang kompeten dengan investigasi, audit, atau bentuk pengawasan lainnya dan tidak terdapat permasalahan konflik kepentingan dalam penyelesaian tindak lanjut</t>
  </si>
  <si>
    <t>Kementerian Komunikasi dan Digital (Komdigi) menunjukkan komitmen kuat dalam menangani indikasi korupsi melalui mekanisme tindak lanjut yang menyeluruh, mulai dari klarifikasi awal hingga audit investigatif oleh pihak yang berwenang dan berkompeten. Seluruh kejadian korupsi atau perilaku koruptif yang teridentifikasi dalam satu tahun terakhir telah ditindaklanjuti secara sistematis oleh tim atau individu yang kompeten dan independen.
Sebagian besar temuan tersebut telah ditindaklanjuti melalui proses investigasi, audit operasional, maupun pengawasan lainnya yang dilaksanakan oleh Aparat Pengawasan Intern Pemerintah (APIP), tanpa adanya konflik kepentingan. Salah satu bentuk konkrit dari upaya tersebut adalah penugasan APIP terhadap penanganan kasus BTS 4G oleh Badan Layanan Umum BAKTI, melalui pelaksanaan kegiatan Monitoring dan evaluasi lanjutan atas penyediaan serta penyelesaian infrastruktur BTS 4G/Lastmile, Koordinasi dan validasi data BIG, BAKTI OSS, dan AMS BAKTI serta pembahasan desain pengendalian site visit BTS 4G, Konfirmasi pencatatan aset SATRIA-1, Survei pendahuluan terhadap arsitektur dan topologi OSS BTS 4G, Audit operasional atas aplikasi OSS dan AMS BTS 4G, Asistensi penyusunan matriks tindak lanjut dan dokumen pengawasan BTS 4G, Reviu kebijakan penyelesaian kontrak BTS 4G dan infrastruktur pendukung, Pemantauan dan evaluasi draf kontrak dan penyelesaian BTS 4G, Pendampingan terhadap Badan Pemeriksa Keuangan (BPK) dalam pemeriksaan lapangan di lokasi BTS, Pemantauan rencana aksi pemulihan aset BTS dan perencanaan BTS Kahar di 630 lokasi, Verifikasi serta konfirmasi data dukung eksistensi BTS untuk laporan keuangan unaudited, Pemantauan penyelesaian dan rencana aksi akuntabilitas laporan keuangan untuk proyek-proyek BAKTI (BTS, SATRIA-1, dan HBS), serta Penerbitan rencana aksi penyajian laporan keuangan BAKTI.
Seluruh kegiatan tersebut dilaksanakan oleh auditor yang memiliki kompetensi sesuai standar serta menjunjung tinggi independensi, tanpa adanya benturan kepentingan. Langkah-langkah ini memperlihatkan keseriusan kementerian dalam menjaga akuntabilitas serta transparansi dalam pengelolaan program strategis.</t>
  </si>
  <si>
    <t>https://drive.google.com/drive/folders/1bUYGVWERc5XMCOOZSMABJ7ZzC3Tnff0L</t>
  </si>
  <si>
    <t>Tindaklanjut dalam bentuk investigasi, audit, atau bentuk pengawasan lainnya telah dilakukan oleh orang/tim yang kompeten dan independen terhadap sebagian besar temuan atas kejadian korupsi/perilaku koruptif</t>
  </si>
  <si>
    <t>Kejadian korupsi/perilaku koruptif yang ditemukan satu tahun terakhir ditindaklanjuti oleh orang/tim yang kompeten namun berpotensi memiliki konflik kepentingan</t>
  </si>
  <si>
    <t>Kejadian korupsi/perilaku koruptif yang ditemukan satu tahun terakhir ditindaklanjuti oleh orang/tim yang tidak kompeten dan berpotensi memiliki konflik kepentingan</t>
  </si>
  <si>
    <t>Kejadian korupsi/perilaku koruptif yang ditemukan satu tahun terakhir tidak ditindaklanjuti</t>
  </si>
  <si>
    <t>Semua langkah yang diambil dalam rangka memperbaiki kerusakan yang ditimbulkan oleh praktik korupsi di dalam organisasi berupa pemastian perilaku dihentikan melalui pengenaan sanksi dan perbaikan melalui pemulihan kerugian dan peningkatan pengendalian.</t>
  </si>
  <si>
    <t>Terhadap hasil investigasi, sanksi diberikan sepadan, ada pemulihan kerugian keuangan negara, dan perbaikan pengendalian. Terdapat bukti kejadian korupsi/perilaku koruptif tidak terulang karena penguatan pengendalian.</t>
  </si>
  <si>
    <t>Kementerian Komdigi telah mengambil langkah-langkah strategis dan menyeluruh dalam rangka memperbaiki kerusakan yang ditimbulkan akibat praktik korupsi di dalam organisasi. Upaya ini tidak hanya difokuskan pada penghentian perilaku menyimpang melalui pengenaan sanksi, tetapi juga mencakup pemulihan kerugian keuangan negara serta perbaikan sistem pengendalian internal.
Seluruh hasil investigasi, audit, dan pengawasan lainnya, baik dari pengawasan internal maupun eksternal, yang mengindikasikan adanya kerugian negara, telah ditindaklanjuti melalui penyetoran kembali ke kas negara. Komitmen terhadap penyelesaian ini dibuktikan melalui screenshoot dari Aplikasi SIMWAS atas tindak lanjut rekomendasi dan temuan Badan Pemeriksa Keuangan (BPK) yang telah sepenuhnya ditindaklanjuti.
Khusus terkait dengan kasus di Badan Aksesibilitas Telekomunikasi dan Informasi (BAKTI), APIP telah melakukan pemantauan intensif terhadap pengembalian kerugian negara serta mendorong langkah-langkah perbaikan pengendalian. Bukti nyata atas komitmen ini ditunjukkan melalui penugasan APIP dalam menyelesaikan kasus BAKTI, Pemulihan kerugian negara pada pihak perorangan yang dilakukan melalui penyetoran langsung kepada Aparat Penegak Hukum (APH). Perbaikan pengendalian dilakukan melalui penerbitan SK Menkominfo , yang membentuk Satuan Tugas (Satgas) Percepatan Penyelesaian dan Optimalisasi Program Infrastruktur BAKTI. Sejumlah langkah konkret telah dilaksanakan, antara lain:
- Penerbitan Peraturan Direktur Utama BAKTI tentang pedoman penyelesaian dan keberlanjutan proyek BTS 4G.
- Penandatanganan kesepakatan pengakhiran kontrak payung dengan tiga konsorsium penyedia BTS 4G
-Penandatanganan kontrak Operation and Maintenance (O&amp;M) untuk 2.919 lokasi BTS 4G yang telah selesai dibangun dan menjadi aset tetap BAKTI
- Penunjukan Kantor Jasa Penilai Publik (KJPP) untuk melakukan penilaian harga wajar atas proyek yang telah berjalan.
-Penyampaian hasil analisis komprehensif melalui Nota Dinas (Nodin) tentang pembangunan menara BTS 4G dan infrastruktur pendukung, mencakup rencana aksi dan tindak lanjut yang telah dilakukan.
Dengan langkah-langkah tersebut, Komdigi telah menunjukkan upaya nyata dalam mengatasi dampak praktik korupsi, sekaligus memperkuat sistem pencegahan melalui pengendalian internal yang lebih ketat dan akuntabel.</t>
  </si>
  <si>
    <t>https://drive.google.com/drive/folders/1zqnkWh46k_ccT0aG6m52Oenc-UKwkiAn</t>
  </si>
  <si>
    <t>Terhadap hasil investigasi, audit, atau bentuk pengawasan lainnya ditindaklanjuti dengan upaya pemulihan kerugian keuangan negara dan perbaikan  pengendalian</t>
  </si>
  <si>
    <t>Terhadap hasil investigasi, telah ditindaklanjuti dalam bentuk sanksi yang sesuai dengan nilai korupsi dan pemulihan kerugian keuangan negara namun belum ada perbaikan pengendalian.</t>
  </si>
  <si>
    <t>Terhadap hasil investigasi, ada sanksi namun tidak sepadan dan tidak ada pemulihan kerugian keuangan negara serta perbaikan pengendalian.</t>
  </si>
  <si>
    <t>Terhadap hasil investigasi, tidak ada sanksi kepada pelaku, tidak ada perbaikan pengendalian, dan tidak ada pemulihan kerugian keuangan negara atas tindakan korupsi</t>
  </si>
  <si>
    <t>Penguatan kompetensi sumber daya manusia (SDM) di Kementerian Komunikasi dan Digital (Komdigi) telah menjadi prioritas utama dalam mendukung pencapaian tujuan organisasi. Upaya ini dilaksanakan melalui penetapan standar kompetensi yang jelas dan implementasi pembinaan SDM secara berkelanjutan, serta evaluasi atas efektivitas pelaksanaannya. Adapun pelaksanaan penguatan kompetensi SDM di Kemkominfo tercermin dalam berbagai aspek berikut:
Penetapan kebijakan kompetensi pegawai dalam organisasi dilakukan melalui penyusunan dan penetapan standar kompetensi untuk seluruh jabatan dan posisi, termasuk kompetensi manajerial, teknis, dan sosial kultural. Standar ini tertuang dalam Peraturan Menteri Kominfo tentang Kamus Kompetensi Teknis Bidang Komunikasi dan Informatika, serta dokumen Standar Kompetensi Jabatan Pimpinan Tinggi di lingkungan Kementerian.
Internasialisasi kebijakan kompetensi pegawai telah dilaksanakan melalui Nota Dinas Penyampaian Standar Kompetensi dan kegiatan sosialisasi kepada seluruh pegawai. Kebijakan ini juga disampaikan melalui berbagai forum seperti bimbingan teknis dan pelatihan, serta dipublikasikan melalui saluran internal kementerian.
Pelaksanaan dan penerapan standar kompetensi dalam pengelolaan SDM diterapkan secara nyata melalui prosedur pelaksanaan asesmen pegawai dan prosedur pengisian jabatan administrasi (promosi dan mutasi). Rekrutmen jabatan pimpinan tinggi maupun administrasi dilaksanakan secara terbuka, objektif, dan berbasis kompetensi, sebagaimana tercermin dalam pengumuman rekrutmen jabatan serta Permen Kominfo tentang pengangkatan jabatan Pimpinan Tinggi/Administrasi.
Evaluasi implementasi dan efektivitas standar kompetensi telah dilakukan oleh Biro Kepegawaian dan melalui hasil evaluasi dari Komisi Aparatur Sipil Negara (KASN) atas jabatan pimpinan tinggi. Evaluasi ini menjadi dasar untuk perbaikan kebijakan pembinaan SDM. Selain itu, dilakukan juga evaluasi atas pelaksanaan asesmen melalui kegiatan pembahasan dan penyusunan perbaikan prosedur pelaksanaan asesmen pegawai.
Pengembangan dan peningkatan kompetensi SDM secara berkelanjutan dilaksanakan melalui berbagai kegiatan pelatihan, diklat, dan bimbingan teknis, seperti bimtek aplikasi SAKTI, serta pelatihan khusus yang dilaksanakan oleh Inspektorat Jenderal untuk mendukung peningkatan kompetensi pegawai. Hal ini dibuktikan melalui inventarisasi program pelatihan, laporan pelaksanaan tugas bimtek, dan realisasi program pengembangan kompetensi Inspektorat Jenderal.
Perbaikan berkelanjutan terhadap pengelolaan SDM dilakukan melalui pemantauan prestasi unit kerja, pencapaian nilai reformasi birokrasi, dan evaluasi atas opini laporan keuangan kementerian. Evaluasi ini mendukung pembentukan sistem manajemen SDM yang berbasis merit dan kompetensi.
Dengan adanya sistem pembinaan dan pengelolaan SDM berbasis kompetensi yang terus diperbaiki secara berkelanjutan, Kementerian Komdigi memastikan bahwa seluruh jabatan diisi oleh individu yang sesuai dengan kebutuhan organisasi, sehingga mampu mendukung pencapaian target strategis secara optimal.</t>
  </si>
  <si>
    <t>Belum terdapat hasil evalausi</t>
  </si>
  <si>
    <t>https://drive.google.com/drive/folders/1FKaHX_kWBFIcUVWXpS4CUGNuKB5r9Jpn</t>
  </si>
  <si>
    <t>Pimpinan K/L/D menciptakan lingkungan kerja yang kondusif untuk mendukung ketaatan terhadap peraturan yang berlaku</t>
  </si>
  <si>
    <t>Pimpinan di lingkungan Kementerian Komdigi secara aktif menciptakan lingkungan kerja yang kondusif guna mendukung ketaatan terhadap peraturan yang berlaku dan pencapaian tujuan organisasi. Keterlibatan pimpinan tidak hanya terbatas pada penetapan kebijakan, tetapi juga mencakup pengawasan, evaluasi, dan penguatan implementasi kebijakan pengendalian intern secara berkelanjutan.
Penyusunan dan penetapan kebijakan strategis organisasi dilakukan secara langsung oleh pimpinan, termasuk dalam penyusunan Pedoman Pelaksanaan Anggaran, Kebijakan Akuntansi, dan kebijakan lainnya yang berkaitan dengan akuntabilitas dan kinerja. Hal ini dibuktikan melalui nota dinas permohonan penandatanganan kebijakan, serta berita acara dan pointer arahan pimpinan dalam berbagai forum penyusunan kebijakan.
Penerapan kebijakan oleh seluruh lini organisasi, yang didukung oleh sumber daya manusia sesuai dengan struktur organisasi dan sistem yang telah ditetapkan, termasuk SK pengelola keuangan (KPA, PPK, PPSPM), pakta integritas satuan kerja, serta piagam manajemen risiko sebagai komitmen bersama dalam penerapan prinsip-prinsip tata kelola yang baik.
Evaluasi kebijakan pengendalian intern dilakukan secara berkala, antara lain melalui laporan monev pelaksanaan anggaran, laporan PIPK, serta rekapitulasi capaian SKP dan hasil survey kepuasan layanan internal. Proses ini memungkinkan identifikasi dan perbaikan berkelanjutan terhadap hambatan dalam pelaksanaan tugas organisasi.
Penerapan manajemen kinerja, keuangan, SDM, dan manajemen risiko di lingkungan Kominfo telah meningkatkan efektivitas dan efisiensi pelaksanaan program. Hal ini tercermin dalam capaian kinerja organisasi berupa Hasil penilaian Reformasi Birokrasi, nilai Opini atas Laporan Keuangan, penilaian Indikator Kinerja Pelaksanaan Anggaran, serta Capaian nilai kinerja anggarandengan memperoleh hasil yang baik.
Penerapan manajemen risiko dan akuntabilitas kinerja diperkuat dengan kebijakan normatif, antara lain melalui Peraturan menteri tentang Sistem Akuntabilitas Kinerja Instansi Pemerintah (SAKIP), Pedoman Menteri tentang Manajemen Risiko, dan Peraturan menteri tentang Organisasi dan Tata Kerja.
Seluruh implementasi ini mencerminkan peran aktif pimpinan dalam menciptakan budaya kerja yang kondusif, akuntabel, dan berorientasi hasil, serta mendukung penerapan prinsip good governance secara menyeluruh.</t>
  </si>
  <si>
    <t>https://drive.google.com/drive/folders/10UQOZmsIlMF3Qom9cZSYuFv7liGb9cjp</t>
  </si>
  <si>
    <t>Kementerian Komdigi telah menunjukkan komitmen nyata dalam penerapan manajemen risiko melalui alokasi sumber daya yang memadai, baik pada tingkat operasional maupun strategis unit kerja. Upaya ini bertujuan untuk memastikan bahwa manajemen risiko terintegrasi dalam setiap proses perencanaan, pelaksanaan, dan evaluasi program kerja, serta mendukung terciptanya tata kelola pemerintahan yang efektif, efisien, dan akuntabel.
Alokasi sumber daya untuk tingkat operasional dan strategis unit kerja dilakukan secara terencana dan telah mencakup berbagai kegiatan seperti: rapat koordinasi manajemen risiko, identifikasi dan analisis risiko, penyusunan profil risiko, pelaksanaan Rencana Tindak Pengendalian (RTP), serta monitoring dan evaluasi atas pelaksanaan rencana kerja dan DIPA. Dukungan anggaran untuk pelaksanaan manajemen risiko pada level ini berjalan tanpa hambatan, mencerminkan kesiapan organisasi dalam mendukung pengendalian risiko secara sistematis.
Dalam pelaksanaannya, alokasi sumber daya tersebut tidak mengalami kendala pada tingkat operasional maupun strategis unit kerja, baik dari sisi pembiayaan maupun dukungan sumber daya manusia, karena telah menjadi bagian dari proses perencanaan dan penganggaran secara reguler.
Bukti atas implementasi manajemen risiko yang didukung sumber daya memadai adalah tersedianya SK Unit Pengelola Risiko (UPR) di tingkat satuan kerja dan kementerian, yang menunjukkan struktur kelembagaan pengelola risiko, Piagam Manajemen Risiko satuan kerja dan kementerian sebagai dasar hukum pelaksanaan kegiatan manajemen risiko, Formulir dokumen manajemen risiko (Form 1 s.d. Form 3) yang telah disahkan oleh pimpinan unit kerja dan pimpinan kementerian, Laporan pelaksanaan tugas asistensi dan pemantauan manajemen risiko, termasuk tindak lanjut yang dilakukan oleh satuan kerja, Term of Reference (ToR) yang memuat risiko di tingkat satuan kerja sebagai dasar penyusunan kegiatan dan penganggaran.
Dengan telah dialokasikannya sumber daya secara memadai di dua level tersebut (operasional dan strategis unit kerja), Kementerian Kominfo memastikan bahwa upaya identifikasi, mitigasi, serta pengendalian risiko dapat berjalan optimal.</t>
  </si>
  <si>
    <t>penerapan amnajemen risiko di level kementerian belum berjalan</t>
  </si>
  <si>
    <t>https://drive.google.com/drive/folders/1WRcBj6UELNGNGpebXMruXFdm6Rhv-lNc</t>
  </si>
  <si>
    <t>Kementerian Komdigi telah mengintegrasikan pendekatan berbasis risiko dalam proses pengambilan keputusan, khususnya pada tingkat operasional unit kerja. Seluruh keputusan operasional yang diambil telah mempertimbangkan informasi risiko yang diperoleh melalui proses manajemen risiko secara sistematis dan terdokumentasi.
Informasi risiko yang dimanfaatkan dalam pengambilan keputusan operasional berasal dari hasil penyusunan peta risiko oleh masing-masing unit kerja. Peta risiko ini memuat identifikasi risiko, penilaian tingkat risiko, serta strategi pengendaliannya. Informasi tersebut menjadi dasar dalam menyusun rencana mitigasi dan rencana aksi yang ditujukan untuk meminimalisir potensi dampak negatif terhadap pencapaian tujuan unit kerja.
Setiap pengambilan keputusan operasional unit kerja, terutama dalam penyusunan Rencana Kerja telah memasukkan output manajemen risiko sebagai komponen pendukung untuk memastikan bahwa keputusan yang diambil telah memperhitungkan risiko secara tepat.
Pelaksanaan manajemen risiko di tingkat unit kerja juga didukung dengan dokumen-dokumen yang sah dan telah disetujui oleh pimpinan unit yaitu berupa TOR unit kerja yang mencantumkan output manajemen risiko, Dokumen manajemen risiko (Piagam Risiko, SK UPR, dan Formulir 1 s.d. 4) yang telah ditandatangani pimpinan,
Evaluasi dan pemutakhiran risiko yang dilakukan berdasarkan hasil monitoring dan masukan dari pengawasan APIP, seperti risiko terkait ketidaktercapaian target Perjanjian Kinerja, temuan pengawasan, atau ketidaksesuaian pelaksanaan kegiatan, dan Formulir manajemen risiko yang mencantumkan penilaian tingkat risiko serta rencana tindak pengendaliannya secara detail pada masing-masing unit kerja.
Dengan demikian, Kementerian Kominfo telah menjadikan manajemen risiko sebagai salah satu komponen penting dalam siklus pengambilan keputusan operasional, serta menunjukkan upaya nyata dalam membangun budaya kerja yang sadar risiko dan akuntabel.</t>
  </si>
  <si>
    <t>https://drive.google.com/drive/folders/1W5UqWW9DMB5xA5CH8Ro8VEUZtzQgdAcN</t>
  </si>
  <si>
    <t>Kementerian Komdigi telah menunjukkan komitmen kuat dalam mendorong penerapan manajemen risiko secara menyeluruh, tidak hanya pada tataran kebijakan dan implementasi, tetapi juga dalam aspek pengukuran kinerja. Kinerja penerapan manajemen risiko telah digunakan sebagai dasar penilaian kinerja bagi seluruh Unit Pengelola Risiko (UPR) baik di tingkat operasional maupun strategis unit kerja secara memadai.
Penerapan manajemen risiko dijadikan sebagai indikator kinerja, tercermin dalam dokumen Target Kinerja (SKP) pejabat eselon II dan pegawai yang tergabung dalam tim UPR, di mana pencapaian target terkait manajemen risiko menjadi bagian dari penilaian kinerja individu dan unit kerja. Integrasi ini mendorong setiap satuan kerja untuk secara aktif mengelola risiko dan melaporkan capaian pengelolaannya sebagai bagian dari proses manajemen kinerja.
Penjabaran mengenai tanggung jawab atas pelaksanaan manajemen risiko juga secara eksplisit dicantumkan dalam Terms of Reference (ToR) masing-masing unit kerja, baik dalam konteks pelaksanaan kegiatan maupun perencanaan kerja tahunan. Hal ini memperkuat posisi manajemen risiko sebagai bagian tak terpisahkan dari mekanisme akuntabilitas kinerja di lingkungan Kementerian Kominfo.
Pimpinan unit kerja turut menunjukkan komitmennya terhadap pelaksanaan manajemen risiko melalui penandatanganan Pakta Integritas, serta pembentukan Tim UPR melalui Surat Keputusan (SK), dan penyusunan Piagam Manajemen Risiko di tingkat satuan kerja.
Proses ini juga dilengkapi dengan evaluasi penerapan manajemen risiko secara berkala oleh masing-masing satuan kerja, yang digunakan untuk memperbarui profil risiko dan menyesuaikan strategi mitigasi, sehingga relevan terhadap dinamika lingkungan internal dan eksternal organisasi.
Dengan penggunaan kinerja penerapan manajemen risiko sebagai bagian dari sistem penilaian kinerja yang berlaku di seluruh satuan kerja operasional dan strategis, Kementerian Kominfo telah menanamkan budaya manajemen risiko ke dalam siklus kinerja organisasi secara sistematis dan terukur. Upaya ini menjadi landasan penting dalam menciptakan organisasi yang adaptif, akuntabel, dan mampu merespons tantangan secara proaktif.</t>
  </si>
  <si>
    <t>https://drive.google.com/drive/folders/1Yrgz7wycz9OS2c1-sd7KgwdohmjmTpNn</t>
  </si>
  <si>
    <t>Program antikorupsi didukung dengan penyediaan alokasi sumberdaya secara eksplisit dan memadai, baik anggaran, personil, dan sarana prasarana</t>
  </si>
  <si>
    <t>Sumber daya keuangan, SDM, dan sarana-prasarana untuk melaksanakan kegiatan pengelolaan risiko korupsi pada semua kegiatan telah tersedia dalam jumlah dan kualitas yang memadai. Tidak ada informasi yang memperlihatkan kegiatan antikorupsi terhambat karena masalah SDM, keuangan, dan sarana prasarana.</t>
  </si>
  <si>
    <t>Kementerian Komdigi menunjukkan komitmen kuat terhadap penguatan budaya antikorupsi melalui penyediaan sumber daya secara eksplisit dan memadai dalam mendukung pelaksanaan program dan kegiatan pengelolaan risiko korupsi di seluruh unit kerja. Alokasi ini mencakup aspek anggaran, sumber daya manusia, serta sarana dan prasarana, sehingga tidak ditemukan hambatan pelaksanaan program antikorupsi akibat keterbatasan sumber daya.
Program dan anggaran terkait pengelolaan risiko korupsi telah dialokasikan secara eksplisit dalam dokumen perencanaan dan penganggaran (RKA-KL), termasuk pada kegiatan pemeliharaan dan pengembangan sistem pelaporan pengaduan masyarakat serta whistleblowing system (WBS) dan pengadaan sarana prasarana pendukung.
Sumber daya manusia (SDM) untuk mendukung kegiatan pengendalian korupsi telah ditetapkan secara formal dan mencukupi, baik dari sisi kuantitas maupun kualitas. Komitmen ini tercermin dari keberadaan SK Tim yang menangani berbagai aspek pengelolaan risiko korupsi, antara lain:
-Tim Pengendalian dan Penanganan Dumas WBS,
- Unit Pengelola Risiko (UPR) dalam Manajemen Risiko,
- Tim Penanganan Benturan Kepentingan,
- Unit Pengendali Gratifikasi (UPG), dan
- Tim Pembangunan Zona Integritas (ZI).
Selain itu, program antikorupsi juga didukung melalui pelaksanaan kegiatan strategis yang dimuat dalam dokumen Rencana Kerja Tahunan (RKT), seperti:
- Pendampingan pelaksanaan Reformasi Birokrasi dan Zona Integritas,
- Pendampingan implementasi SPIP,
- Sosialisasi Whistleblowing System dan Dumas, serta
- Sosialisasi Unit Pengendali Gratifikasi dan Penanganan Benturan Kepentingan.
Seluruh alokasi tersebut memastikan bahwa tidak terdapat kegiatan antikorupsi yang terhambat karena kendala SDM, anggaran, atau sarana prasarana. Dengan dukungan yang kuat di seluruh aspek sumber daya, pelaksanaan program pengelolaan risiko korupsi di Kementerian Kominfo dapat berlangsung secara optimal dan berkelanjutan.</t>
  </si>
  <si>
    <t>masih terdapat keterbatan jumlah pengelola risiko karena belum terdapat penugasan secara khusus yang diberikan pejabat yang berwenang kepada pegawai di lingkungan Kementerian kominfo</t>
  </si>
  <si>
    <t>https://drive.google.com/drive/folders/1ffY11Ma5pYMNtoORhjj99ucbJQMns9LP</t>
  </si>
  <si>
    <t>SDM dan anggaran untuk kegiatan pengelolaan risiko korupsi pada kegiatan utama telah tersedia dalam jumlah dan kualitas yang memadai. Tidak ditemukan informasi yang memperlihatkan kegiatan antikorupsi terhambat karena masalah SDM dan keuangan.</t>
  </si>
  <si>
    <t xml:space="preserve">SDM untuk melaksanakan kegiatan pengelolaan risiko korupsi pada kegiatan utama telah tersedia dalam jumlah yang memadai. Tidak ditemukan informasi yang memperlihatkan kegiatan antikorupsi terhambat karena masalah SDM. </t>
  </si>
  <si>
    <t>Terdapat data yang mengisyaratkan kegiatan pengelolaan risiko korupsi terhambat secara signifikan karena masalah ketersediaan SDM, keuangan, atau sarpras, tetapi sudah ada upaya kompensatif untuk mengatasi permasalahan.</t>
  </si>
  <si>
    <t>Terdapat data yang mengisyaratkan kegiatan pengelolaan risiko korupsi terhambat secara signifikan karena masalah ketersediaan SDM, keuangan, dan sarana prasarana dan tidak ada kegiatan kompensatif untuk mengatasi permasalahan tersebut.</t>
  </si>
  <si>
    <t xml:space="preserve">Keputusan formal pimpinan dalam pelaksanaan tugas dan fungsi unit kerja secara nyata telah mempertimbangkan risiko korupsi, disusun secara partisipatif dan kegiatan yang bersifat kemitraan dan kolaboratif telah berdampak nyata pada efektivitas pengelolaan risiko korupsi. </t>
  </si>
  <si>
    <t>Pimpinan di lingkungan Kementerian Komdigi secara aktif menggunakan kewenangan dan pengaruhnya untuk mengelola risiko korupsi secara efektif. Sikap antikorupsi tidak hanya ditampilkan dalam proses pengambilan keputusan sehari-hari, tetapi juga diwujudkan dalam kebijakan formal dan kolaborasi lintas pihak guna memperkuat sistem pencegahan, deteksi, dan respons terhadap potensi korupsi.
Dalam pengambilan keputusan yang bernilai strategis seperti pengadaan barang dan jasa, pimpinan secara eksplisit mempertimbangkan risiko korupsi dan menetapkan kebijakan mitigatif, seperti pelaksanaan reviu oleh Aparat Pengawasan Intern Pemerintah (APIP) terhadap pengadaan dengan nilai material.
Keterbukaan pimpinan terhadap risiko korupsi juga tercermin dari dukungannya terhadap sistem pelaporan pelanggaran dan pengaduan, dengan tersedianya aplikasi Whistleblowing System (WBS) yang memungkinkan pegawai menyampaikan laporan dugaan korupsi tanpa intimidasi.
Komitmen pimpinan terhadap budaya antikorupsi ditunjukkan melalui keterlibatan aktif dalam kegiatan edukasi internal dan eksternal, serta pelaksanaan sosialisasi antikorupsi yang melibatkan seluruh pegawai, termasuk CPNS/P3K, dan diwujudkan dalam penandatanganan Pakta Integritas oleh pejabat dan ASN, dan pengisian LHKP/LHKASN oleh ASN dilingkungan kementerian, serta komitmen pimpinan dan pencanangan dan pembangunan Zona Integritas WBK/WBBM di lingkungan komfigi.
Untuk mencegah benturan kepentingan, pimpinan telah menetapkan kebijakan formal berupa pedomanan penanganan konflik kepentingan, yang menjadi bagian integral dari pengelolaan risiko etika dan integritas.
Kesadaran pimpinan terhadap risiko fraud diwujudkan dalam implementasi aplikasi manajemen risiko yang mencakup peta risiko korupsi/fraud, memastikan bahwa risiko yang teridentifikasi menjadi dasar pengambilan tindakan pengendalian yang relevan.
Pada tingkat eksternal, Kemkominfo menunjukkan komitmennya dalam membangun sinergi dengan lembaga antikorupsi melalui perjanjian kerja sama dengan Komisi Pemberantasan Korupsi (KPK) terkait penanganan pengaduan dalam upaya pemberantasan tindak pidana korupsi.
Dengan langkah-langkah konkret tersebut, pimpinan di lingkungan Kementerian Kominfo tidak hanya menunjukkan komitmen pribadi terhadap nilai-nilai antikorupsi, tetapi juga mendorong terciptanya ekosistem organisasi yang mendukung integritas, akuntabilitas, dan tata kelola yang baik secara sistemik dan berkelanjutan.</t>
  </si>
  <si>
    <t>https://drive.google.com/drive/folders/17yZCeME1btPtxpEMWR0-WH4oHkPhQEgq</t>
  </si>
  <si>
    <t>Pimpinan telah menampilkan sikap antikorupsi dalam setiap pengambilan keputusan untuk pelaksanaan tugas dan fungsi unit kerja dan terwujud dalam keputusan formal. Pimpinan selalu terbuka membahas risiko korupsi dengan bawahan dan secara aktif mengupayakan kerjasama dengan berbagai pihak dalam aktivitas cegah-deteksi-respons.</t>
  </si>
  <si>
    <t>Pimpinan telah mempertontonkan sikap antikorupsi dalam proses pengambilan keputusan sehari-hari, dan melibatkan diri dalam kegiatan-kegiatan edukatif, serta melaksanakan upaya-upaya pengelolaan risiko korupsi yang bersifat kemitraan dan kolaboratif dan telah cukup substansial meskipun lingkupnya masih terbatas (tidak semua kegiatan) dan belum konsisten.</t>
  </si>
  <si>
    <t>Pimpinan telah mempertontonkan sikap antikorupsi dalam proses pengambilan keputusan sehari-hari, dan melibatkan diri dalam kegiatan-kegiatan edukatif, serta melaksanakan kegiatan antikorupsi bekerjasama dengan lembaga lain tetapi banyak aktivitas masih cenderung seremonial.</t>
  </si>
  <si>
    <t>Pimpinan tidak menggunakan kuasa dan wewenangnya untuk mendorong sikap antikorupsi dalam pengambilan keputusan, tidak menampilkan sikap untuk memberdayakan diri dan melakukan upaya yang bersifat kemitraan dan kolaboratif agar mampu mengelola risiko korupsi secara efektif.</t>
  </si>
  <si>
    <t>Pemimpin adalah penerap kaidah perilaku etis sekaligus menerapkannya dalam manajemen, artinya menjadikan nilai-nilai etis sebagai norma yang harus dipatuhi bawahan. Pimpinan mendorong bawahan untuk mengikutinya melalui atensi yang diberikan di berbagai kesempatan, keterbukaan dan transparansi, reinforcement, perlakuan adil, dan pengambilan keputusan yang menyertakan pertimbangan etis.</t>
  </si>
  <si>
    <t xml:space="preserve">Tingkat kepemimpinan etis di dalam unit organisasi sangat tinggi </t>
  </si>
  <si>
    <t>Tingkat kepemimpinan etis di lingkungan Kementerian Komunikasi dan Digital (Komdigi) berada pada tataran yang cukup tinggi. Pimpinan secara konsisten menunjukkan perilaku yang mencerminkan kaidah dan standar etika organisasi dalam aktivitas sehari-hari. Nilai-nilai etis tidak hanya diinternalisasi oleh pimpinan secara personal, tetapi juga dijadikan acuan dalam pengambilan keputusan manajerial dan dalam pembentukan budaya organisasi yang bersih dan berintegritas.
Pimpinan di berbagai tingkatan organisasi menunjukkan komitmen terhadap perilaku etis melalui keterbukaan dalam membahas isu-isu integritas, pemberian atensi terhadap pelanggaran etika, dan dorongan yang kuat kepada seluruh pegawai untuk menaati norma etis organisasi. Pimpinan juga menunjukkan perlakuan yang adil dan tidak diskriminatif, serta mendorong praktik kerja yang bertanggung jawab dan akuntabel.
Hal ini diperkuat dengan partisipasi aktif pimpinan dalam kegiatan sosialisasi nilai integritas dan antikorupsi, salah satunya ditunjukkan dalam kegiatan Sosialisasi Pedoman Pembangunan Zona Integritas dan Pemberian Penghargaan Zona Integritas kepada satuan kerja yang berprestasi. Dalam kegiatan tersebut, Wakil Menteri Kominfo secara eksplisit menyampaikan pentingnya penguatan budaya anti korupsi serta menghimbau seluruh satuan kerja untuk mengedepankan perilaku antikorupsi dan secara aktif melaporkan penyimpangan melalui platform WBS Dumas dan SP4N Lapor.
Upaya ini juga tercermin dalam peningkatan jumlah satuan kerja yang berkomitmen dan aktif membangun Zona Integritas (ZI). Hal ini menjadi indikator konkret dari keberhasilan pimpinan dalam menanamkan dan menegakkan nilai-nilai etis secara menyeluruh di lingkungan unit kerja.
Dengan pendekatan yang konsisten, terbuka, dan adil, pimpinan di Kementerian Kominfo tidak hanya berperan sebagai teladan perilaku etis, tetapi juga sebagai penggerak utama dalam menciptakan budaya organisasi yang berintegritas dan profesional.</t>
  </si>
  <si>
    <t>https://drive.google.com/drive/folders/1QCvegWQ0CPCD0cC5XCFR129epgtu4sZi</t>
  </si>
  <si>
    <t xml:space="preserve">Tingkat kepemimpinan etis di dalam unit organisasi cukup tinggi </t>
  </si>
  <si>
    <t xml:space="preserve">Tingkat kepemimpinan etis di dalam unit organisasi pada tataran sedang </t>
  </si>
  <si>
    <t xml:space="preserve">Tingkat kepemimpinan etis di dalam unit organisasi cukup rendah </t>
  </si>
  <si>
    <t>Tingkat kepemimpinan etis di dalam unit organisasi sangat rendah</t>
  </si>
  <si>
    <t>Dalam struktur organisasi terdapat unit yang melaksanakan fungsi kepatuhan internal.</t>
  </si>
  <si>
    <t>Struktur organisasi Kementerian Komunikasi dan Informatika telah dirancang secara fleksibel untuk mendukung pelaksanaan proses bisnis dan penyesuaian terhadap dinamika perubahan perencanaan strategis. Unit-unit dalam struktur organisasi tidak hanya menjalankan tugas dan fungsinya sesuai ketentuan, tetapi juga telah dibekali pemahaman mengenai arus data dan informasi yang mendukung efektivitas pelaksanaan tugas masing-masing.
Struktur organisasi Kementerian dijalankan dengan SDM yang mencukupi dan proses pengelolaan informasi telah berbasis teknologi digital yang terintegrasi. Salah satu contohnya adalah aplikasi SIMPATIK yang mendigitalisasi data kepegawaian dan mendukung proses-proses manajerial seperti perhitungan kenaikan pangkat. Selain itu, aplikasi APIK dan SIMAYA juga digunakan untuk mendukung efisiensi dalam pengelolaan presensi pegawai, perhitungan tunjangan kinerja, hingga uang makan, yang seluruhnya terhubung dengan proses bisnis organisasi.
Penyesuaian terhadap struktur dan proses bisnis juga ditunjukkan melalui kegiatan evaluatif dan pengembangan berkelanjutan. Kementerian secara berkala melakukan pembahasan naskah akademik dan evaluasi proses bisnis serta menyusun pembaruan terhadap regulasi seperti Kepmen Probis, Permen SOTK, dan dokumen struktur BLU BAKTI**. Hal ini menunjukkan bahwa organisasi memiliki mekanisme adaptif untuk menyesuaikan struktur sesuai arah dan kebutuhan strategis.
Adanya unit yang menjalankan fungsi kepatuhan internal juga menjadi bagian penting dalam menjamin bahwa struktur organisasi berjalan sesuai koridor regulasi, perencanaan strategis, dan nilai-nilai tata kelola yang baik.
Dengan struktur organisasi yang adaptif, dukungan teknologi informasi, serta fungsi kepatuhan yang berjalan efektif, Kementerian Kominfo mampu menjaga kesinambungan tata kelola organisasi sekaligus merespons perubahan dengan lincah dan akuntabel.</t>
  </si>
  <si>
    <t>https://drive.google.com/drive/folders/1m4YN14_YgSSovynaBipyh8deXwfzQPwL</t>
  </si>
  <si>
    <t>Pendelegasian wewenang dan tanggung jawab dalam pelaksanaan tugas dan fungsi telah memperhatikan benturan kepentingan</t>
  </si>
  <si>
    <t>Pimpinan Kementerian komdigi telah menetapkan kebijakan pendelegasian wewenang dan tanggung jawab secara berjenjang kepada struktur di bawahnya sesuai dengan tugas dan fungsi masing-masing unit. Prosedur dan kegiatan yang telah didelegasikan tersebut dipahami dan diketahui oleh seluruh pihak yang berkepentingan, serta dilaksanakan sesuai dengan kebijakan dan prosedur yang telah ditetapkan.
Pelaksanaan wewenang dan tanggung jawab organisasi dilakukan dengan memperhatikan potensi benturan kepentingan dan disertai dengan evaluasi berkala terhadap efektivitas pelaksanaannya. Evaluasi dilakukan baik melalui pengukuran hasil kerja maupun melalui respon dari stakeholder atas layanan yang diberikan. Salah satu contoh implementasi nyata adalah dalam proses penyusunan Laporan Keuangan (LK), di mana pimpinan secara aktif memantau pelaksanaannya melalui sistem SIMAYA, menerima laporan kemajuan, serta memberikan arahan langsung melalui sistem disposisi digital yang juga mendukung komunikasi dua arah (bottom-up dan top-down).
Selain itu, pimpinan memiliki akses terhadap seluruh proses pendelegasian dan dapat mengawasi pelaksanaan tugas secara langsung, guna memastikan bahwa tujuan organisasi dapat tercapai secara efektif dan efisien serta mendukung perbaikan secara berkelanjutan.
Proses ini didukung dengan perangkat kebijakan, sistem informasi, dan sumber daya manusia yang ditugaskan secara formal melalui SKP, Surat Tugas, dan SK UAPA/UAKPA, serta dikuatkan dengan pedoman teknis pendelegasian dalam sistem SIMAYA.
Dengan mekanisme pendelegasian yang telah dibangun, Kementerian komdigi memastikan bahwa seluruh pelaksanaan tugas dan fungsi berjalan dengan koordinasi yang kuat, akuntabilitas yang tinggi, serta mengedepankan nilai integritas dan efektivitas pelayanan publik.</t>
  </si>
  <si>
    <t>https://drive.google.com/drive/folders/1dJFyynKy3HbaoqugaX_6sNH4hheYSP4w</t>
  </si>
  <si>
    <t>Penerapan kebijakan manajemen dan praktik pembinaan SDM telah sesuai dengan peraturan yang berlaku</t>
  </si>
  <si>
    <t>Pengelolaan Sumber Daya Manusia (SDM) di Kementerian komdigi telah dilakukan secara menyeluruh dan berkesinambungan, mulai dari tahap perencanaan, pengadaan, pengembangan, hingga pemberhentian pegawai. Praktik manajemen SDM ini dilaksanakan sesuai dengan peraturan perundang-undangan yang berlaku dan terus dievaluasi serta disempurnakan agar sejalan dengan kebutuhan organisasi dan pencapaian tujuan strategis, termasuk mendukung keandalan pelaporan keuangan kementerian.
Proses ini dikuatkan dengan dokumen kebijakan, pelaksanaan kegiatan, serta monitoring dan evaluasi berkelanjutan yang secara nyata menunjukkan kematangan praktik pengelolaan SDM.
- Kementerian Kominfo telah memiliki kebijakan pengelolaan SDM yang mengatur sejak tahapan rekrutmen, pengembangan, hingga pemberhentian pegawai. Kebijakan ini mencakup pedoman dan SOP di bidang kinerja, pengembangan kompetensi, dan disiplin pegawai.
- Kebijakan pengelolaan SDM telah dikomunikasikan secara aktif kepada seluruh pemangku kepentingan di lingkungan Kemkominfo dan dipahami dalam pelaksanaan sehari-hari. Proses sosialisasi dan pelibatan pegawai dalam dinamika pengelolaan SDM telah dilakukan secara sistematis.
- Kebijakan dan prosedur SDM telah diimplementasikan secara konsisten dalam pengelolaan pegawai, mulai dari pengangkatan, pelatihan, penugasan, hingga pengakhiran masa kerja, melalui perencanaan dan pelaksanaan pengembangan kompetensi dan Pemanfaatan aplikasi SIMPATIK sebagai database kepegawaian untuk mendukung proses kerja dan validasi data SDM.
- Kebijakan SDM telah dievaluasi secara berkala untuk menilai efektivitasnya dalam mendukung kinerja organisasi. Evaluasi ini menjadi dasar peningkatan kualitas pengelolaan pegawai.
- Pengelolaan SDM telah mengalami peningkatan dan perbaikan berkelanjutan mendukung secara langsung pada capaian organisasi terutama dalam mendukung keandalan pelaporan keuangan dan tata kelola, hal ini dibuktikan dengan Nilai SKP pegawai penyusun laporan keuangan yang menunjukkan hasil kinerja baik., Capaian opini atas Laporan Keuangan yang mencerminkan kontribusi SDM yang kompeten, dan Hasil survei kepuasan pengguna layanan pengelolaan keuangan yang menunjukkan tingkat kepuasan tinggi atas kompetensi dan pelayanan pegawai.
Melalui tahapan tersebut, Kementerian komdigimenunjukkan komitmen kuat dalam membangun sistem pengelolaan SDM yang tidak hanya patuh regulasi, namun juga adaptif, transparan, dan berorientasi hasil. Upaya ini secara nyata memperkuat pencapaian kinerja organisasi termasuk dalam pelaporan keuangan yang akuntabel dan tepat waktu.</t>
  </si>
  <si>
    <t>Belum terdapat evaluasi atas efektivitas pembinaan SDM</t>
  </si>
  <si>
    <t>https://drive.google.com/drive/folders/1UCkAVFzQMEN9L0O0lyKH9QnH8hONABze</t>
  </si>
  <si>
    <t>Kementerian komdigi telah melakukan berbagai upaya sistematis untuk meningkatkan kompetensi dan keterampilan pegawai terkait manajemen risiko. Kegiatan ini dilaksanakan dalam bentuk pelatihan, bimbingan teknis, sertifikasi, serta pelatihan internal (in-house training) dengan cakupan yang semakin luas dan merata di seluruh unit kerja.
Upaya peningkatan kapasitas ini tidak hanya difokuskan pada penguasaan teknis, tetapi juga pada pemahaman strategis atas risiko yang berdampak terhadap pencapaian tujuan organisasi. Pendekatan bertahap dan menyeluruh menjadi bukti bahwa komdigi berkomitmen untuk menjadikan manajemen risiko sebagai bagian dari budaya organisasi.
- Komdigi mulai melakukan inisiatif peningkatan kompetensi pegawai terkait manajemen risiko, namun cakupannya belum optimal dan masih bersifat terbatas di beberapa unit kerja, melalui tersedianya pelatihan dan pembekalan awal terkait manajemen risiko, namun belum mencakup keseluruhan pegawai atau belum dilakukan secara berkala dan sistematis.
- Peningkatan kompetensi manajemen risiko telah dilakukan secara memadai, melalui penyelenggaraan in-house training atau bimbingan teknis internal oleh biro kepegawaian yang menghadirkan instruktur dari masing-masing unit kerja. Pelatihan disesuaikan dengan kurikulum/silabus berbasis kebutuhan aktual, namun masih menjangkau kelompok tertentu (misal: pegawai yang terlibat langsung dalam pengelolaan MR).
- Upaya peningkatan kompetensi manajemen risiko telah menjangkau **sebagian besar pegawai** (lebih dari 70%), dan dilakukan secara terstruktur oleh unit kerja, melalui penyelenggaraan secara aktif program pelatihan dan/atau sertifikasi terkait manajemen risiko secara bertahap selama tahun berjalan, dengan minimal 71% pegawai di setiap unit kerja telah mengikuti pelatihan.
- Peningkatan kompetensi telah diberikan kepada seluruh pegawai, baik yang secara langsung terlibat dalam pengelolaan risiko maupun yang berkontribusi pada proses pengendalian internal organisasi. Seluruh pegawai pada Unit Eselon I telah diberikan fasilitas pelatihan terkait manajemen risiko**, termasuk pegawai yang tidak langsung terlibat dalam Unit Pengelola Risiko (UPR). Kegiatan pelatihan dilakukan terjadwal dan tercatat dalam laporan resmi unit kerja, disesuaikan dengan kebutuhan jabatan masing-masing.
- Upaya peningkatan kompetensi telah dilakukan secara menyeluruh dan berkelanjutan, serta dievaluasi efektivitasnya secara berkala guna memastikan keterkaitan antara peningkatan kapasitas dan efektivitas pengelolaan risiko di masing-masing unit kerja. Setiap kegiatan pelatihan ditindaklanjuti dengan evaluasi pencapaian hasil pelatihan, baik dari sisi penguasaan materi maupun dampaknya terhadap kinerja pengelolaan risiko. Evaluasi dilakukan berdasarkan umpan balik peserta, laporan hasil belajar, serta korelasi antara peningkatan kompetensi dengan capaian indikator manajemen risiko unit kerja.
Dengan pelaksanaan pelatihan yang sistematis dan melibatkan sebagian besar hingga seluruh pegawai, serta evaluasi efektivitas pascapelatihan, Kementerian Kominfo telah menunjukkan praktik penguatan kompetensi manajemen risiko yang matang dan berorientasi hasil, sebagai bagian dari sistem pengendalian intern yang berfungsi secara optimal.</t>
  </si>
  <si>
    <t>https://drive.google.com/drive/folders/1fAh7u3skghhySGQ_ataOxlkzUxQGry-o</t>
  </si>
  <si>
    <t>Bahwa sebagian besar pegawai di lingkungan Kementerian Komdigi telah memiliki pemahaman yang memadai terkait manajemen risiko. Pemahaman ini diperoleh melalui sosialisasi, pelatihan, serta integrasi prinsip-prinsip manajemen risiko ke dalam pelaksanaan tugas dan fungsi masing-masing unit kerja.
Untuk mengukur tingkat kesadaran dan pemahaman pegawai terhadap manajemen risiko, Kementerian Kominfo telah melakukan survey internal yang dilaksanakan dengan metodologi sampling terstruktur. Survey ini bertujuan untuk mengetahui seberapa besar pemahaman pegawai terhadap konsep, proses, dan pentingnya manajemen risiko dalam mendukung pengendalian intern dan pencapaian tujuan organisasi. Survey ini mencakup pertanyaan mengenai Pemahaman dasar tentang risiko, Keterlibatan pegawai dalam penyusunan atau pemutakhiran peta risiko, Persepsi terhadap efektivitas pelaksanaan manajemen risiko di unit kerja. Laporan survei juga memuat rekomendasi tindak lanjut untuk memperluas pemahaman pegawai, misalnya melalui pelatihan lanjutan, coaching, atau integrasi materi MR dalam onboarding CPNS.
Dengan adanya kegiatan survey dan hasil yang menunjukkan bahwa sebagian besar pegawai memahami manajemen risiko, maka tingkat kesadaran pegawai terhadap manajemen risiko di Kementerian komdigi dapat dinyatakan berada pada level yang baik. Upaya ini menjadi bagian penting dalam membangun budaya sadar risiko di lingkungan kerja dan mendukung sistem pengendalian intern yang efektif.</t>
  </si>
  <si>
    <t>https://drive.google.com/drive/folders/1Ag9CexGarmASdT1XcpErq_Vino0ct4AQ</t>
  </si>
  <si>
    <t>Bahwa Aparat Pengawasan Intern Pemerintah (APIP) di lingkungan Kementerian komdigi telah menjalankan praktik audit internal yang berstandar profesional dan seragam, serta mampu memberikan nilai tambah bagi organisasi melalui rekomendasi yang memperkuat pengendalian intern, manajemen risiko, dan tata kelola organisasi.
Salah satu bukti konkret atas kontribusi APIP dalam mendorong perbaikan pengendalian organisasi adalah capaian nilai IACM (Internal Audit Capability Model). Nilai ini mencerminkan kematangan fungsi audit internal di Kementerian Kominfo yang tidak hanya bersifat kepatuhan, namun juga telah mengarah pada peran strategis dan konsultatif. Melalui IACM, APIP secara aktif mengevaluasi proses pengendalian intern serta memberikan masukan perbaikan yang implementatif kepada pimpinan unit kerja.
Pengawasan dan perbaikan juga ditindaklanjuti melalui mekanisme pemantauan Area of Improvement (AoI) IACM yang dilakukan secara berkala oleh Inspektorat Jenderal. Pemantauan ini mencakup evaluasi pelaksanaan rekomendasi, capaian indikator perbaikan, serta progres kemajuan peningkatan kualitas pengawasan berbasis risiko.</t>
  </si>
  <si>
    <t>https://drive.google.com/drive/folders/1Y5FnaPUj5NiC51HFrR2ggZ6VwMram8RC</t>
  </si>
  <si>
    <r>
      <rPr>
        <rFont val="Arial"/>
        <color theme="1"/>
        <sz val="12.0"/>
      </rPr>
      <t>Pimpinan K/L/D menjalin hubungan kerja yang baik (kemitraan) dengan instansi lain terkait pencegahan dan pengendalian kecurangan/</t>
    </r>
    <r>
      <rPr>
        <rFont val="Arial"/>
        <i/>
        <color theme="1"/>
        <sz val="12.0"/>
      </rPr>
      <t>fraud</t>
    </r>
  </si>
  <si>
    <t>Pimpinan Kementerian Komdigi senantiasa membangun hubungan kerja yang sinergis dan strategis dengan berbagai instansi mitra, baik instansi pemerintah pusat/daerah, lembaga pengawasan, maupun mitra kerja operasional. Kemitraan ini tidak hanya bersifat administratif, namun diarahkan untuk mencapai tujuan strategis organisasi, seperti keandalan pelaporan keuangan, pencegahan dan pengendalian kecurangan/fraud, serta efisiensi pemanfaatan sumber daya bersama. Komitmen ini diwujudkan melalui penetapan kebijakan, mekanisme formal kerjasama, pelaksanaan sesuai kewenangan, hingga evaluasi atas dampaknya terhadap pencapaian kinerja organisasi.
- Bahwa pimpinan Kementerian Komdigi telah menetapkan kebijakan dan mekanisme kerja sama dengan instansi lain dalam rangka mendukung pencegahan dan pengendalian fraud. Hal ini diwujudkan melalui penyusunan dokumen kerja sama seperti MoU dan Perjanjian Kerja Sama (PKS) yang menetapkan ruang lingkup, tujuan, dan tanggung jawab masing-masing pihak.
- Kementerian Kominfo memastikan kebijakan kerja sama dipublikasikan secara luas kepada para pihak yang berkepentingan, termasuk subjek, objek, dan penerima manfaat kerja sama. Hal ini menjamin transparansi dan akuntabilitas pelaksanaan kerja sama lintas instansi, melalui penyusunan Surat Edaran, Publikasi kebijakan melalui saluran internal/website, dan Sosialisasi kebijakan kerja sama pada satuan kerja terkait.
- Dalam pelaksanaan kerja sama, masing-masing pihak menjalankan perannya sesuai kewenangan dan indikator kinerja yang disepakati. Sebagai contoh, kerja sama pemanfaatan Barang Milik Negara (BMN) dilakukan antara Satker Komdigi dengan Kementerian Keuangan. Termasuk di dalamnya adalah evaluasi tarif PNBP atas pemanfaatan aset negara dan sinergi program lainnya.
- Kementerian Kominfo melaksanakan evaluasi secara berkala atas pelaksanaan kebijakan kerja sama, baik yang bersifat internal maupun melalui instansi pengawasan. Evaluasi ini mencakup pelaksanaan kontrak, efektivitas pemanfaatan sumber daya, serta penguatan mitigasi risiko bersama.
- Pelaksanaan hubungan kerja dan kemitraan organisasi yang dijalankan telah berkontribusi nyata terhadap efektivitas pencapaian tujuan organisasi dan efisiensi sumber daya lintas instansi. Hal ini dibuktikan dengan keberhasilan dalam penyusunan laporan keuangan yang mendapatkan penghargaan dan opini WTP, sebagai hasil sinergi antara Biro Keuangan, APIP, dan instansi mitra.
Kemitraan yang kuat, terbuka, dan terstruktur yang dijalin oleh pimpinan Kementerian komdigi menunjukkan bahwa pencegahan dan pengendalian fraud bukan hanya tanggung jawab internal, tetapi juga merupakan bagian dari kolaborasi lintas instansi dalam membangun tata kelola pemerintahan yang baik, akuntabel, dan bebas dari korupsi.</t>
  </si>
  <si>
    <t>belum terdapat bukti evalausi pelaksanaan kebijakan kerjasama</t>
  </si>
  <si>
    <t>https://drive.google.com/drive/folders/1OgEeNHFk8u9wRgO4HXtPfDVknB4aizLA</t>
  </si>
  <si>
    <t xml:space="preserve">Kementerian Komunikasikomdigi telah menunjukkan komitmen dalam membangun hubungan kerja dan kemitraan yang akuntabel dan berorientasi hasil dengan berbagai pihak. Dalam pelaksanaannya, Kementerian juga memperhatikan potensi risiko yang muncul dari hubungan kemitraan melalui proses identifikasi dan pengelolaan risiko sebagai bagian dari penerapan manajemen risiko yang lebih luas. praktik pengelolaan risiko kemitraan telah diterapkan dan diintegrasikan ke dalam proses bisnis. Risiko kemitraan saat ini diklasifikasikan sebagai bagian dari risiko operasional yang telah dianalisis, dimitigasi, dan dijadikan perhatian dalam pelaksanaan kegiatan antarinstansi.
- Kementerian telah memiliki Pedoman Manajemen Risiko yang menjadi landasan dalam mengelola risiko, termasuk risiko kemitraan meskipun belum secara eksplisit dicantumkan.
- Kementerian telah memiliki kebijakan pengelolaan risiko secara terbatas untuk memitigasi risiko kemitraan, melalui tersedianya identifikasi risiko kemitraan dalam dokumen MR, MoU/PKS yang mengandung klausul mitigasi risiko, serta Dokumen perencanaan kolaborasi/kerja sama yang disertai risk assessment
- Pengelolaan risiko kemitraan telah dilaksanakan dengan memadai melalui pemetaan dan mitigasi dalam dokumen Manajemen Risiko unit kerja, termasuk dalam profil risiko Sekretariat Jenderal. Risiko kemitraan telah diposisikan sebagai bagian dari risiko operasional yang diperhatikan secara aktif.
- Penerapan manajemen risiko terhadap kemitraan telah terintegrasi ke dalam proses bisnis, khususnya dalam perencanaan, pelaksanaan, dan monitoring program kerja lintas instansi. Hal ini membantu memastikan efektivitas pelaksanaan kerja sama dan meminimalisir dampak dari potensi fraud atau konflik peran, melalui Penyusunan program kerja (Renja) dan dokumen perjanjian kerja sama yang disertai identifikasi risiko, Integrasi penilaian risiko dalam penyusunan rencana kegiatan bersama mitra, dan Pemanfaatan dokumen profil risiko dalam forum perencanaan strategis
- Risiko kemitraan telah direviu secara berkala, dan hasil review dijadikan bahan pembelajaran dan penyempurnaan kebijakan serta perjanjian kerja sama ke depan. Evaluasi dilakukan sebagai tindak lanjut atas hasil audit atau evaluasi internal maupun eksternal, seperti dari BPKP atau APIP, melalui penyusunan Nota Dinas Biro Keuangan atas Tindak Lanjut AoI Hasil Evaluasi BPKP, Reviu profil risiko oleh Biro Perencanaan, Penyesuaian isi PKS berdasarkan hasil evaluasi risiko, dan Rencana pengembangan pedoman manajemen risiko yang memuat kategori risiko kemitraan secara lebih eksplisit
Kementerian komdigi secara bertahap telah mengidentifikasi dan mengelola risiko kemitraan dengan pendekatan manajemen risiko yang menyatu dalam proses bisnis organisasi. Praktik ini tidak hanya memastikan keberhasilan kerja sama lintas instansi, tetapi juga menjadi bagian penting dalam mencegah konflik kepentingan dan menjaga integritas tata kelola publik.
</t>
  </si>
  <si>
    <t>belum terdapat kebijakan terkait risiko kemitraan</t>
  </si>
  <si>
    <t>https://drive.google.com/drive/folders/1cMzc5XVt2-l_T3YH-fGvmadTnb91np__</t>
  </si>
  <si>
    <t>Kementerian komdigi telah memiliki Kebijakan Manajemen Risiko yang memadai dan terintegrasi, sebagaimana tertuang dalam Pedoman Menteri Kominfo tentang manajemen risiko. Kebijakan ini menjadi acuan dalam penyusunan sistem dan implementasi Manajemen Risiko secara menyeluruh pada unit organisasi.
Implementasi kebijakan dilakukan secara nyata dan sistematis, melalui
Penerapan sistem manajemen risiko berbasis digital melalui aplikasi MR Kominfo, yang digunakan oleh satuan kerja untuk menyusun profil risiko, merancang rencana pengendalian, serta memantau tindak lanjut risiko secara berkala, tersedianya dokumen formal penerapan MR di seluruh satuan kerja, meliputi SK Unit Pengelola Risiko (UPR), Piagam Manajemen Risiko, Formulir MR 1 s.d. 3 (identifikasi, analisis, dan RTP).
selain itu, implementasi kebijakan juga dilakukan dengan terdokumentasikannya TOR kegiatan satuan kerja yang menyatakan keterlibatan manajemen risiko dalam setiap tahapan perencanaan dan pelaksanaan program/kegiatan, sehingga memastikan bahwa risiko telah dipertimbangkan sejak awal, serta Tindak lanjut atas hasil evaluasi manajemen risiko tahun 2023, menunjukkan adanya mekanisme umpan balik dan perbaikan berkelanjutan sebagai bagian dari siklus manajemen risiko kementerian.</t>
  </si>
  <si>
    <t>https://drive.google.com/drive/folders/1rGfHoPXTwn-exthAvNiCuKcJXWOJ3iYM</t>
  </si>
  <si>
    <t>Kementerian Komdigi telah menunjukkan upaya nyata dalam penerapan manajemen risiko yang efektif dengan mengidentifikasi risiko secara sistematis dan menuangkannya dalam dokumen register risiko (risk register). Proses identifikasi risiko dilakukan di seluruh satuan kerja melalui mekanisme Unit Pengelola Risiko (UPR) sesuai pedoman internal yang berlaku.
Register risiko yang disusun telah memuat informasi penting mencakup sumber risiko, dampak, kemungkinan, level risiko, serta rencana tindak pengendalian atau Risk Treatment Plan (RTP), sehingga memenuhi kriteria kualitas yang ditetapkan dan dapat dijadikan dasar dalam pengambilan keputusan strategis maupun operasional.
Kementerian Kominfo telah memiliki kualitas identifikasi risiko dan penyusunan register risiko yang memadai, ditunjukkan melalui tersedianya Dokumen Manajemen Risiko satuan kerja yang terdiri dari Formulir identifikasi risiko (Form 1), Formulir analisis dan evaluasi risiko (Form 2), Formulir rencana tindak pengendalian (Form 3), Formulir monitoring dan tindak lanjut (Form 4). Dokumen ini menunjukkan bahwa proses identifikasi dilakukan secara sistematis, mempertimbangkan konteks internal dan eksternal organisasi, serta ditandatangani oleh pimpinan satuan kerja sebagai bentuk komitmen.
selain itu, register risiko yang disusun telah mencerminkan pemahaman pegawai terhadap manajemen risiko, dibuktikan dari hasil survei pemahaman manajemen risiko di lingkungan satuan kerja. Survei menunjukkan bahwa sebagian besar responden memahami proses identifikasi dan mitigasi risiko yang berlaku di unitnya.Tindak lanjut atas hasil evaluasi manajemen risikomenunjukkan bahwa risiko-risiko yang teridentifikasi telah ditinjau ulang, dikategorikan kembali jika diperlukan, dan dilakukan penyempurnaan atas RTP, sebagai bagian dari penguatan siklus manajemen risiko.</t>
  </si>
  <si>
    <t>Belum terdapat risk register kementerian kominfo</t>
  </si>
  <si>
    <t>https://drive.google.com/drive/folders/17j5Tm9rdwUkxvGBdA3737N7olSkHIGiM</t>
  </si>
  <si>
    <t>Kementerian Komdigi telah mengintegrasikan proses manajemen risiko ke dalam seluruh tahapan proses bisnis dan perencanaan strategis serta operasional. Proses manajemen risiko tidak lagi bersifat formalitas administratif, melainkan telah menjadi bagian tak terpisahkan dari pengambilan keputusan pada setiap tingkatan organisasi, baik di tingkat satuan kerja (operasional dan strategis) maupun di tingkat kementerian (strategis K/L/D).
Hal ini menunjukkan adanya penerapan prinsip manajemen risiko berbasis konteks organisasi yang selaras dengan arahan strategis dan tujuan kelembagaan, serta konsistensi dalam pelaksanaannya. Penerapan manajemen risiko di Kementerian telah menyatu dalam siklus perencanaan dan pelaksanaan program/kegiatan. Hal ini ditunjukkan melalui:
- Integrasi dalam TOR Satuan Kerja. Setiap tahun, seluruh unit/satuan kerja menyusun TOR kegiatan yang secara eksplisit mencantumkan elemen manajemen risiko, antara lain Identifikasi potensi risiko pelaksanaan kegiatan, Strategi mitigasi risiko, Rencana tindakan pengendalian, Penanggung jawab dan indikator keberhasilan mitigasi
- Dokumen Manajemen Risiko yang disusun secara berkala dan diperbarui. Seluruh satuan kerja telah menyusun dokumen manajemen risiko yang memuat Form 1–4, dan ditandatangani oleh pimpinan sebagai bentuk komitmen, serta digunakan sebagai rujukan dalam pelaksanaan program kerja.
- Evaluasi atas pelaksanaan manajemen risiko oleh APIP dan/atau UPR telah mendorong perbaikan dan penyempurnaan atas dokumen risiko maupun proses mitigasinya. Unit kerja merespons hasil evaluasi ini dengan memperbarui RTP, menetapkan PIC, dan memperkuat monitoring berkala.
- Diterbitkannya surat tugas asistensi MR menandakan bahwa proses manajemen risiko dilaksanakan dengan pendekatan kolaboratif antara unit kerja pelaksana dan fungsi pengendalian, guna memastikan manajemen risiko benar-benar diinternalisasi ke dalam proses bisnis harian.</t>
  </si>
  <si>
    <t>proses manajemen risiko belum diterapkan secara memadai di level strategis unit kerja, karena masih terdapat risk register yang tidak dipantau setelah dilakukan penyusunan</t>
  </si>
  <si>
    <t>https://drive.google.com/drive/folders/10isEFzZQFWE4v6NN-U428rwegn1PCM5y</t>
  </si>
  <si>
    <t>Kementerian Komdigi telah melaksanakan proses analisis risiko terhadap risiko-risiko yang telah diidentifikasi pada tingkat operasional dan strategis unit kerja. Analisis risiko ini mencakup penilaian terhadap kemungkinan terjadinya risiko (likelihood) serta besarnya dampak (impact) apabila risiko tersebut terjadi, yang dituangkan dalam profil risiko satuan kerja dan kementerian.
Setiap unit kerja telah menyusun profil risiko berdasarkan Formulir Manajemen Risiko (Form 1–3), termasuk penilaian terhadap kemungkinan dan dampak dari risiko yang teridentifikasi. Penilaian dilakukan dengan mengisi parameter risiko sesuai pedoman internal dan dituangkan dalam format baku.
Kementerian melalui Inspektorat Jenderal dan UPR unit kerja telah mengeluarkan surat tugas asistensi dalam rangka membantu unit kerja melakukan identifikasi dan analisis risiko. Proses asistensi dibuktikan melalui notulensi kegiatan yang mencerminkan adanya pembahasan intensif terhadap skenario dampak dan peluang risiko.
Hasil evaluasi APIP atas manajemen risiko tahun sebelumnya telah ditindaklanjuti oleh unit kerja dengan memperbaiki parameter risiko, merevisi bobot dampak, dan menyesuaikan peta risiko agar lebih mencerminkan eksposur riil. Ini menunjukkan peningkatan kualitas secara bertahap.
Unit terkait telah mengikuti dan mendiskusikan isi Perpres tentang Manajemen Risiko Pembangunan Nasional, sebagai upaya memperkaya wawasan metodologi dan keselarasan kerangka risiko nasional. Hal ini menjadi bekal untuk penguatan metodologi analisis risiko.</t>
  </si>
  <si>
    <t>https://drive.google.com/drive/folders/1nXsclOjJ2zuQFopKRuKdtCYpCZiXN58N</t>
  </si>
  <si>
    <t>Kementerian Komdigi telah menerapkan proses penentuan prioritas risiko secara sistematis terhadap seluruh risiko operasional unit kerja dan strategis unit kerja. Penentuan prioritas ini dilakukan dengan mengurutkan risiko berdasarkan hasil penilaian tingkat dampak (impact) dan kemungkinan terjadinya (likelihood), yang dituangkan secara eksplisit dalam profil risiko.
Proses ini dilakukan sebagai bagian dari penyusunan dokumen Manajemen Risiko di setiap satuan kerja dan diselaraskan dengan pedoman internal, yaitu Peraturan Menteri Kominfo tentang Manajemen Risiko di lingkungan Kementerian Kominfo. Risiko-risiko yang memiliki tingkat eksposur tertinggi diprioritaskan untuk ditindaklanjuti melalui Rencana Tindak Pengendalian (RTP), sehingga sumber daya organisasi dapat difokuskan secara efektif.
Pedoman ini memberikan landasan metodologis mengenai bagaimana risiko diidentifikasi, dinilai, dan diprioritaskan. Hal ini mencakup pengaturan penilaian risiko dengan skoring dan pembuatan matriks risiko untuk memvisualisasikan tingkat prioritas secara sistematis.
Setiap satuan kerja menyusun laporan hasil evaluasi MR yang memuat hasil pemeringkatan risiko berdasarkan skor residual risk. Dokumen ini menunjukkan bahwa risiko telah diprioritaskan dari kategori tinggi, sedang, hingga rendah, dan digunakan sebagai dasar tindakan pengendalian. Dalam dokumen profil risiko, seluruh risiko yang telah diidentifikasi kemudian dipetakan dalam matriks risiko dan diurutkan berdasarkan bobot skoring. Skoring diperoleh melalui parameter terstandar sesuai panduan MR. Risiko prioritas tinggi ditandai secara visual dan menjadi perhatian utama dalam perencanaan mitigasi.
Unit kerja secara aktif melakukan perbaikan berdasarkan hasil evaluasi, termasuk merevisi daftar prioritas risiko bila terdapat perubahan konteks atau paparan risiko baru. Ini menunjukkan adanya pembelajaran berkelanjutan dalam menentukan prioritas.</t>
  </si>
  <si>
    <t>https://drive.google.com/drive/folders/1wgeuHZw7adzapWuFb_YNLzbdENl7QmS2</t>
  </si>
  <si>
    <t>Kementerian Komdigi telah menentukan rencana tindak pengendalian (RTP) sebagai bagian dari implementasi manajemen risiko pada tingkat unit kerja. RTP disusun berdasarkan risiko yang telah diidentifikasi dan diprioritaskan, baik risiko operasional maupun sebagian risiko strategis.
RTP ini dituangkan secara formal dalam Formulir 3 Dokumen Manajemen Risiko, yang menjadi instrumen pelaksanaan dan pemantauan pengendalian risiko. Proses penyusunan RTP dilakukan dengan memperhatikan konteks masing-masing unit kerja, dan ditindaklanjuti melalui kegiatan pemantauan sebagaimana tercantum dalam Formulir 4 (Pemantauan Triwulan). Hasil evaluasi triwulanan dan tahunan menunjukkan adanya keterpaduan antara identifikasi risiko, RTP, dan pelaksanaan pengendalian.
- Kementerian Kominfo telah mulai menyusun rencana tindak pengendalian terhadap sebagian risiko operasional unit kerja. Dalam tahap ini, tidak semua risiko prioritas ditindaklanjuti, namun inisiatif telah dimulai melalui pembentukan Unit Pengelola Risiko (UPR) dan pengisian Formulir 3 oleh beberapa satuan kerja.
- Seluruh satuan kerja di Kementerian Kominfo telah menyusun RTP terhadap seluruh risiko operasional yang telah diprioritaskan. Rencana pengendalian ini mencakup identifikasi aktivitas mitigasi, penanggung jawab, dan jadwal pelaksanaan, melalui Penetapan RTP dalam Formulir 3 untuk semua risiko operasional yang bernilai residual tinggi–sedang, seperti keterlambatan pengadaan barang dan jasa.
- Kementerian Kominfo telah menyusun RTP tidak hanya terhadap seluruh risiko operasional unit kerja, tetapi juga telah mulai menyasar sebagian risiko strategis di tingkat eselon II. Hal ini ditunjukkan melalui dokumen manajemen risiko yang telah mencantumkan RTP untuk risiko strategis seperti ketidaktercapaian sasaran RPJMN atau kebijakan prioritas nasional.
- RTP telah mencakup baik risiko operasional maupun strategis secara menyeluruh dan dirancang dengan pendekatan sistematis. Rencana pengendalian mempertimbangkan efektivitas kontrol yang sudah ada dan identifikasi celah pengendalian.
- RTP telah disusun secara menyeluruh terhadap risiko operasional, strategis unit kerja, dan strategis K/L/D. Setiap risiko disertai RTP yang spesifik, realistis, dan terhubung langsung dengan pencapaian sasaran organisasi. Evaluasi dilakukan berkala dan menjadi bagian dari penyusunan rencana kerja kementerian, melalui Integrasi RTP dalam perencanaan RKA-KL dan RPJMN dan Penggunaan hasil evaluasi RTP sebagai dasar penyusunan TOR kegiatan</t>
  </si>
  <si>
    <t>https://drive.google.com/drive/folders/1V56LmrNCSo7Zf2m_2OdjAtZ4Xao7Vt08</t>
  </si>
  <si>
    <t>Kementerian Komdigi telah mengimplementasikan lebih dari 60% rencana tindak pengendalian (RTP) terhadap risiko operasional dan strategis unit kerja secara konsisten. Pelaksanaan RTP ini difasilitasi oleh alokasi sumber daya yang memadai, baik dari sisi pendanaan, personil, maupun sarana-prasarana. Progres pelaksanaan RTP terdokumentasi dalam Formulir 4 sebagai instrumen pemantauan berkala atas implementasi penanganan risiko.
Hasil implementasi ini mencerminkan komitmen Kementerian Kominfo dalam mengelola risiko secara aktif dan adaptif, serta memperkuat proses pengambilan keputusan berbasis risiko di seluruh level organisasi.
- Pada tahap awal, implementasi RTP dilakukan secara terbatas dan belum mencakup sebagian besar risiko yang telah diprioritaskan. Dokumentasi realisasi masih belum sistematis. Beberapa unit kerja mulai melaksanakan kegiatan mitigasi seperti pelatihan atau SOP baru, namun belum terdokumentasi di Formulir 4.
- RTP terhadap sebagian besar risiko operasional telah mulai diimplementasikan. Pemantauan sudah dilakukan melalui sebagian Formulir 4 secara berkala per triwulan
- Tindak pengendalian dilaksanakan terhadap seluruh risiko operasional dan sebagian risiko strategis. Dokumentasi melalui Formulir 4 menjadi dasar pemantauan konsistensi dan efektivitas pengendalian, melalui Penguatan koordinasi pelaksanaan kegiatan prioritas nasional (risiko strategis) dan Implementasi SOP untuk kendala internal dalam penyusunan RKA/DIPA
- Implementasi RTP telah dilakukan terhadap seluruh risiko operasional dan risiko strategis unit kerja secara signifikan, lebih dari 60% target pengendalian tercapai. Progres pemantauan dituangkan secara lengkap dalam Formulir 4. Formulir 4 mencatat pelaksanaan dan hasil tindak pengendalian serta Piagam MR dan hasil audit internal memperkuat validitas pelaksanaan
- RTP terhadap seluruh risiko operasional, strategis unit kerja, dan strategis K/L/D telah diimplementasikan. Setiap pengendalian ditindaklanjuti, dimonitor, dievaluasi, dan direvisi bila perlu. Ada pelaporan agregat dan pemanfaatan hasil pengendalian dalam perbaikan kebijakan dan strategi.</t>
  </si>
  <si>
    <t>https://drive.google.com/drive/folders/1l99rUeHE9BF1N2fKhqUBRY0fIr-5V4B7</t>
  </si>
  <si>
    <t>Kementerian Komdigi telah melaksanakan tindak pengendalian atas risiko-risiko operasional dan strategis unit kerja. Pelaksanaan pengendalian tersebut telah memberikan dampak terhadap penurunan level risiko, yang secara umum terlihat pada risiko operasional unit kerja. Hasil evaluasi dari Formulir 4 dan data yang terekam dalam aplikasi manajemen risiko di Portal Kominfo menunjukkan adanya tren penurunan level risiko.
Hal ini mencerminkan bahwa pengendalian sudah mulai berjalan sesuai dengan rencana, namun perlu penguatan baik dari sisi kualitas tindakan pengendalian maupun monitoring dan evaluasi untuk meningkatkan efektivitas lebih lanjut.
- Instansi belum menunjukkan data atau bukti konkret bahwa tindak pengendalian yang dilakukan memberikan dampak terhadap penurunan level risiko. RTP masih sebatas pelaksanaan administratif.
- Tindak pengendalian menunjukkan penurunan level risiko pada sebagian kecil risiko operasional saja, dan dokumentasinya belum konsisten. Masih perlu penguatan mekanisme pemantauan dan evaluasi.
- RTP telah menunjukkan penurunan risiko pada sebagian besar risiko operasional unit kerja. Bukti terlihat pada pengisian Form 4 dan indikator risiko di sistem informasi, meskipun belum merata atau belum mencapai efisiensi penuh.
- Penurunan risiko terlihat pada seluruh risiko operasional dan strategis unit kerja. Level risiko berhasil diturunkan, namun persentase efektivitas keseluruhan masih di bawah 60%. Pengendalian berjalan dilakukan melalui Perbaikan SOP mitigasi, Penguatan koordinasi antarunit, Monitoring implementasi pengendalian lewat Formulir 4
- Tindak pengendalian telah menurunkan risiko secara signifikan (di atas 60%) terhadap risiko operasional, strategis unit kerja, dan strategis K/L/D. Penurunan risiko sudah menjadi bagian dari proses pembelajaran dan perbaikan kebijakan.</t>
  </si>
  <si>
    <t>https://drive.google.com/drive/folders/1PAi9-H63WdHMNbcMRQ1dVnGzCTJT6Vdy</t>
  </si>
  <si>
    <t>Merupakan kegiatan yang terstruktur dan sistematis dalam mengidentifikasi, menganalisis probabilitas dan signifikansi dampak bila suatu praktik korupsi terjadi dan mengevaluasinya dalam rangka menentukan respons yang tepat terhadapnya, yang menjangkau seluruh kegiatan utama organisasi dan menghasilkan rancangan tindak pengendalian memitigasi risiko korupsi yang sudah terpetakan</t>
  </si>
  <si>
    <t>Rencana tindak pengendalian hasil asesmen risiko korupsi baik pada kegiatan utama maupun kegiatan pendukung telah dilaksanakan dan updating register risiko korupsi dilakukan secara periodik dan konsisten</t>
  </si>
  <si>
    <t>Kementerian Komdigi telah melaksanakan kegiatan asesmen risiko korupsi secara terstruktur dan sistematis, mencakup identifikasi risiko, analisis probabilitas dan dampak, serta penyusunan rencana tindak pengendalian. Proses ini dijalankan dengan pendekatan yang menyeluruh terhadap seluruh proses bisnis, baik pada tingkat operasional maupun strategis, serta didukung dengan dokumentasi dalam bentuk Matriks Manajemen Risiko (MR) di seluruh satuan kerja.
Risiko korupsi juga telah dipetakan melalui penyusunan Fraud Risk Scenario yang menjadi bagian integral dalam Matriks MR. Selain itu, pembelajaran dari kasus korupsi yang terjadi di lingkungan BAKTI telah menjadi landasan dalam menyusun analisis risiko lanjutan serta rencana perbaikan yang konkret. Hal ini diperkuat dengan penerbitan Keputusan Menteri Kominfo No. 472 Tahun 2023 yang membentuk Satgas khusus untuk memastikan penyelesaian dan optimalisasi program secara bersih dan akuntabel.
- Unit kerja telah mengidentifikasi potensi risiko korupsi, termasuk modus dan penyebabnya, baik dari hasil evaluasi internal maupun referensi dari kejadian sebelumnya. Namun, proses ini belum dilengkapi dengan penilaian risiko (probabilitas dan dampak) maupun rencana pengendalian yang konkret.
- Kementerian telah melaksanakan asesmen risiko korupsi pada beberapa kegiatan utama, menghasilkan peta risiko korupsi dan rencana tindak pengendalian (RTP). Jadwal pelaksanaan RTP telah disusun, yaitu berupa kegiatan Pemetaan risiko korupsi pada proses pengadaan, perizinan, dan layanan publik
- Asesmen risiko korupsi telah mencakup seluruh kegiatan utama, menghasilkan rencana pengendalian yang terjadwal dan dilaksanakan, sebagaimana dibuktikan dalam pelaksanaan RTP dan pengawasan berkala yang dilaksanakan melalui Penerapan mitigasi risiko pengadaan barang/jasa melalui reviu APIP, mekanisme whistleblowing, dan pelaporan benturan kepentingan.</t>
  </si>
  <si>
    <t>https://drive.google.com/drive/folders/1totSDxqVU3ksjawPMK2_srcmSPWA7Men</t>
  </si>
  <si>
    <t>Asesmen risiko korupsi pada kegiatan utama telah menghasilkan peta risiko korupsi dan rencana tindak pengendalian dan terjadwal. Ada bukti RTP dilaksanakan.</t>
  </si>
  <si>
    <t>Asesmen risiko korupsi pada beberapa kegiatan utama telah menghasilkan peta risiko korupsi dan rencana tindak pengendalian dan terjadwal</t>
  </si>
  <si>
    <t>Unit kerja telah melakukan identifikasi skenario/modus dan penyebab korupsi namun belum dilakukan penilaian atas risiko korupsi yang teridentifikasi</t>
  </si>
  <si>
    <t>Penilaian risiko korupsi tidak berjalan</t>
  </si>
  <si>
    <t>Kementerian Komdigi secara konsisten telah menerapkan mekanisme reviu kinerja sebagai bagian dari penguatan sistem akuntabilitas kinerja instansi pemerintah. Pimpinan pada seluruh jenjang organisasi secara aktif terlibat dalam melakukan evaluasi berkala atas capaian kinerja, membandingkannya dengan tolok ukur (IKU dan Perjanjian Kinerja), dan menetapkan strategi perbaikan terhadap hambatan yang ditemukan. Proses ini tidak hanya terdokumentasi dalam laporan-laporan kinerja seperti LAKIP, tetapi juga dituangkan dalam notulensi rapat pimpinan, tindak lanjut evaluasi kinerja, dan pemanfaatan aplikasi digital seperti PANTAU dan e-Monev.
Reviu kinerja tidak hanya bersifat administratif, tetapi juga substansial dengan analisis tren capaian, penetapan strategi pemulihan, serta penguatan akuntabilitas melalui Perjanjian Kinerja dan evaluasi SAKIP dan RB. Dengan adanya bukti nyata bahwa reviu kinerja dilakukan secara berkala, terdokumentasi, serta berdampak pada peningkatan capaian kinerja dari waktu ke waktu, maka pelaksanaan reviu ini telah mendukung pencapaian tujuan organisasi secara langsung.
- Pimpinan Kementerian Komdigi dan seluruh jajaran di bawahnya memiliki tanggung jawab untuk melaksanakan reviu kinerja secara berkala. Hal ini dikuatkan dengan keberadaan regulasi internal seperti Permenkominfo No. 13 Tahun 2015 serta Keputusan Menteri tentang IKU yang menjadi landasan pelaksanaan reviu pada berbagai level organisasi.
- Seluruh pimpinan unit dan pegawai telah mengetahui dan memahami kewajiban pelaksanaan reviu kinerja melalui sosialisasi Perjanjian Kinerja, penyusunan manual indikator, serta pendokumentasian dalam Perjanjian Kinerja masing-masing unit.
- Reviu atas capaian kinerja secara nyata dilaksanakan dan terdokumentasi secara baik melalui laporan capaian bulanan, SKP dalam e-Kinerja, serta laporan pelaksanaan program prioritas. Evaluasi ini memberikan input bagi perbaikan capaian kinerja periode berikutnya.
- Kebijakan dan pelaksanaan reviu kinerja oleh seluruh jenjang pimpinan telah dievaluasi secara berkala, ditunjukkan dengan hasil evaluasi SAKIP dan RB dari KemenpanRB, serta laporan evaluasi capaian bulanan internal dari Biro Perencanaan
- Pelaksanaan reviu kinerja oleh pimpinan berkontribusi nyata terhadap peningkatan kinerja organisasi, ditunjukkan oleh tren peningkatan dalam LAKIP, penyusunan dokumen tindak lanjut Perjanjian Kinerja, serta rapat pimpinan (seperti Evaluasi Kinerja Pelaksanaan Anggaran/EKPA) yang rutin membahas strategi perbaikan kinerja.</t>
  </si>
  <si>
    <t>https://drive.google.com/drive/folders/1V_m629xxnEHVS-buCaIJo3MDaZxJu4n3</t>
  </si>
  <si>
    <t>Pembinaan SDM dilakukan sesuai peraturan perundangan yang berlaku sehingga setiap pegawai dapat memberikan manfaat optimal dalam pencapaian tujuan organisasi</t>
  </si>
  <si>
    <t>Pembinaan sumber daya manusia (SDM) di Kementerian Komdigi telah dilaksanakan secara sistematis, sesuai kebijakan dan prosedur yang ditetapkan dalam peraturan perundangan yang berlaku. Proses pembinaan ini meliputi peningkatan disiplin, pengembangan kompetensi, dan penyusunan Sasaran Kinerja Pegawai (SKP), yang terus dievaluasi dan disesuaikan agar mendukung pencapaian kinerja organisasi secara optimal. Berbagai laporan dan kegiatan menunjukkan komitmen kementerian dalam mengembangkan kapasitas pegawai secara menyeluruh, yang pada akhirnya mampu mendukung tujuan strategis Kementerian.
- Kementerian Komdigi telah memiliki kebijakan pembinaan SDM yang mengatur sejak dari perencanaan, pengembangan, hingga evaluasi kinerja. Hal ini tertuang dalam dokumen Laporan Kebijakan SKP bulanan, laporan pengembangan kepegawaian, serta hasil evaluasi Reformasi Birokrasi.
- Kebijakan pembinaan SDM telah **disosialisasikan dan dipahami oleh seluruh pihak yang berkepentingan, termasuk melalui kegiatan sosialisasi penyusunan SKP, FGD, Bimtek, dan kampanye nilai organisasi seperti Kominfo BERAKHLAK.
- Pembinaan SDM telah dilaksanakan sesuai prosedur dan peraturan. Hal ini dibuktikan melalui pendataan prestasi Unit/Satuan Kerja, pelaksanaan dan pemantauan SKP bulana, serta evaluasi kedisiplinan pegawai secara rutin.
- Kementerian telah melakukan evaluasi terhadap efektivitas pembinaan SDM dengan mengukur dampak dari kebijakan pembinaan dan pengembangan kompetensi. Evaluasi ini terekam dalam analisis impact dari kebijakan pembinaan SDM serta laporan monitoring pengembangan kompetensi dan kepegawaian.
- Pembinaan SDM terus diperbaiki secara berkelanjutan dan telah mendukung pencapaian kinerja organisasi secara optimal. Ini ditunjukkan melalui konsistensi pelaksanaan monitoring, analisis dampak, serta penguatan nilai-nilai budaya kerja yang menunjang pencapaian indikator kinerja utama.</t>
  </si>
  <si>
    <t>Evaluasi atas efektivitas pembinaan SDM belum ada</t>
  </si>
  <si>
    <t>https://drive.google.com/drive/folders/1SBkJ76y_j7_fLbgVhPxPDTU8BmKM0vRp</t>
  </si>
  <si>
    <r>
      <rPr>
        <rFont val="Arial"/>
        <color theme="1"/>
        <sz val="12.0"/>
      </rPr>
      <t>Pengendalian atas pengelolaan sistem informasi dilakukan untuk memastikan tidak terjadi kecurangan/</t>
    </r>
    <r>
      <rPr>
        <rFont val="Arial"/>
        <i/>
        <color theme="1"/>
        <sz val="12.0"/>
      </rPr>
      <t>fraud</t>
    </r>
  </si>
  <si>
    <t>Kementerian Komdigi elah menerapkan kebijakan pengendalian atas pengelolaan sistem informasi yang bertujuan untuk mendukung kinerja organisasi sekaligus meminimalisasi risiko kecurangan (fraud). Kebijakan ini mencakup seluruh aspek siklus hidup sistem informasi mulai dari perencanaan, pengembangan, penggunaan, hingga evaluasi. Struktur pengelolaan sistem informasi juga telah ditetapkan secara jelas, lengkap dengan pemetaan wewenang dan tanggung jawab baik dari sisi pengelola maupun pengguna. Selain itu, Kementerian secara berkala mengevaluasi efektivitas implementasi sistem informasi melalui audit, survei kepuasan pengguna, dan analisis kebutuhan unit kerja. Dengan demikian, sistem informasi di lingkungan Kementerian tidak hanya mendukung pencapaian tujuan strategis, tetapi juga dikelola dengan akuntabilitas yang tinggi.
- Kementerian Komdigi telah memiliki SOP dan kebijakan formal terkait pengelolaan sistem informasi, termasuk pengembangan, pengoperasian, serta pengamanan sistem informasi. SOP ini menjadi landasan dalam pengelolaan sistem informasi yang efektif dan terstandar.
- Kebijakan dan SOP pengelolaan sistem informasi telah dikomunikasikan kepada pengelola dan pengguna** melalui berbagai kegiatan sosialisasi dan operasionalisasi kebijakan, serta dimonitor secara fungsional oleh unit pengampu (PDSI). Pemahaman ini terbukti dari pemetaan kebutuhan SI dari unit kerja dan pendataan aset TI.
- Kebijakan SI telah digunakan dalam analisis kebutuhan aplikasi dan pemanfaatan sistem yang telah ada, serta penyusunan struktur pengelola dan pengguna sistem informasi yang jelas. Sistem seperti SIMPATIK, SIDARA, absensi geotagging, dan layanan email internal adalah contoh nyata integrasi SI untuk mendukung proses kerja unit.
- Kementerian telah melakukan evaluasi rutin atas pengelolaan sistem informasi. Evaluasi dilakukan melalui kegiatan seperti audit internal dan eksternal ISO, serta evaluasi SOP pengembangan aplikasi. Hal ini bertujuan menilai kemanfaatan dan efektivitas sistem terhadap pencapaian kinerja dan keamanan data.
- Walaupun evaluasi berkala telah dilakukan, narasi maupun bukti konkret mengenai perbaikan sistem informasi secara berkelanjutan** (continuous improvement) masih terbatas atau belum terdokumentasi secara eksplisit. Oleh karena itu, indikator ini dinilai mencapai tingkat B secara keseluruhan.</t>
  </si>
  <si>
    <t>https://drive.google.com/drive/folders/1Alr2Cc8TyW8xyAAN7ADw0ey61xPDmLiG</t>
  </si>
  <si>
    <t>Pengelolaan BMN/D dilakukan untuk menjamin  BMN/D digunakan sesuai peraturan yang berlaku (tidak terjadi pelanggaran hukum terkait penggunaan BMN/D) oleh pimpinan dan pegawai)</t>
  </si>
  <si>
    <t>Kementerian Komdigi elah mengelola Barang Milik Negara (BMN) secara optimal dan berkesinambungan untuk menjamin penggunaan aset sesuai dengan ketentuan perundang-undangan dan mencegah potensi pelanggaran hukum. Pengelolaan BMN dilakukan melalui kebijakan yang komprehensif, implementasi prosedur teknis yang memadai, pengamanan fisik aset, serta evaluasi dan tindak lanjut yang konsisten. Dengan memanfaatkan sistem informasi dan dokumentasi yang terintegrasi, Kominfo secara proaktif melakukan pemantauan kondisi aset, penghapusan, hingga perencanaan kebutuhan barang. Langkah-langkah ini membuktikan bahwa pengelolaan BMN telah mencapai tahap perbaikan berkelanjutan, sejalan dengan prinsip akuntabilitas dan tata kelola yang baik.
- Kementerian Komdigi telah menetapkan berbagai pedoman dan juknis terkait pengelolaan BMN, mulai dari perencanaan kebutuhan, akuntansi, penghapusan, hingga pengawasan dan asuransi aset. Dokumen tersebut menjadi dasar formal pelaksanaan pengelolaan BMN di seluruh unit kerja.
- Kebijakan telah dikomunikasikan secara luas melalui kegiatan sosialisasi yang terdokumentasi, sehingga seluruh pengelola dan pengguna memahami prosedur pengelolaan BMN secara menyeluruh, mulai dari perencanaan hingga penghapusan.
- Implementasi kebijakan telah dilakukan secara sistematis, termasuk pengamanan fisik aset, pencatatan melalui identifikasi labelisasi BMN, pemantauan melalui berita acara opname, serta pengelolaan gudang dan DBR. Pengguna aset juga memberikan manfaat langsung atas keberadaan aset tersebut dalam mendukung kinerja.
- Evaluasi pengelolaan BMN dilakukan melalui laporan pengawasan dan pengendalian, hasil reviu LK, dan tindak lanjut atas temuan BPK. Temuan tersebut menjadi dasar penyempurnaan pengelolaan aset secara berkelanjutan, termasuk dalam hal optimalisasi penggunaan, pengamanan, dan efisiensi aset.
- Kementerian Komdigi telah menerapkan perbaikan berkelanjutan dalam pengelolaan aset, dibuktikan dengan Laporan aset rusak ringan/berat dan proses penghapusan aset yang tertib, Perencanaan kebutuhan berbasis kebutuhan aktual (RK-BMN), serta Tidak adanya penggunaan aset pribadi untuk keperluan kantor atau sebaliknya. Sistem pengendalian dan dokumentasi juga didukung aplikasi terintegrasi untuk memastikan validitas dan keandalan data aset.</t>
  </si>
  <si>
    <t>Belum terdapat evalausi atas prosedur</t>
  </si>
  <si>
    <t>https://drive.google.com/drive/folders/163Ls5zAOkbmSlQ8uoS1-vhrtccb-oW_i</t>
  </si>
  <si>
    <t>Kementerian Komdigi telah menetapkan kebijakan serta prosedur terkait penetapan dan reviu atas indikator dan ukuran kinerja untuk memastikan keterkaitan antara capaian unit kerja dengan Indikator Kinerja Utama (IKU) organisasi secara menyeluruh. Prosedur ini dijalankan secara terstruktur dari tingkat kementerian hingga unit kerja Eselon I dan telah menjadi bagian dari proses perencanaan dan pengukuran kinerja organisasi.
Penetapan dan reviu indikator dilakukan dengan mempertimbangkan efektivitas indikator yang digunakan, pergeseran paradigma pengukuran dari output menuju outcome, serta masukan hasil evaluasi dari Kementerian PAN-RB terkait Sistem Akuntabilitas Kinerja Instansi Pemerintah (SAKIP). Dengan ini, indikator kinerja di lingkungan Kementerian Kominfo dapat digunakan sebagai alat kendali manajerial yang handal dan berkelanjutan.
- Kementerian Kominfo telah menyusun kebijakan dan prosedur penetapan indikator kinerja melalui Keputusan Menteri tentang IKU dan dokumen Perjanjian Kinerja beserta manual indikatornya. Ini menunjukkan bahwa mekanisme formal telah ditetapkan untuk menjadi acuan seluruh unit kerja.
- Kebijakan tersebut telah diketahui dan dikomunikasikan kepada unit kerja melalui proses penyusunan perjanjian kinerja serta pelaksanaan program prioritas, meskipun penerapan yang konsisten pada seluruh unit kerja masih dalam tahap penyempurnaan.
- Prosedur reviu atas indikator dan ukuran kinerja telah diimplementasikan melalui penyusunan perjanjian kinerja yang disertai penyesuaian indikator kinerja setiap tahun. Dalam proses ini, dilakukan harmonisasi antara indikator unit kerja dengan IKU organisasi.
- Evaluasi atas indikator dan ukuran kinerja dilakukan secara berkala dengan memperbaiki struktur indikator dari yang sebelumnya hanya berbasis output menjadi berbasis outcome, sesuai arahan dan hasil evaluasi dari Kemenpan-RB melalui penilaian SAKIP.</t>
  </si>
  <si>
    <t>https://drive.google.com/drive/folders/1OByWWZ_rSxn6O5CljlI4AVXVaxCboF3k</t>
  </si>
  <si>
    <t>Kementerian Komdigi telah menerapkan prinsip pemisahan fungsi dalam seluruh aspek utama proses transaksi dan kejadian sebagai bagian dari pengendalian internal yang mendasar. Penerapan ini dirancang untuk mencegah terjadinya konflik kepentingan, kolusi, dan penyalahgunaan wewenang, sekaligus memastikan transparansi dan akuntabilitas dalam penyelenggaraan program serta pelaporan keuangan. Pemisahan fungsi dilakukan secara sistematis dan terdokumentasi melalui berbagai Surat Keputusan (SK), struktur organisasi, serta regulasi internal seperti SOTK dan SK pengelola keuangan. Kebijakan ini telah disosialisasikan dan dilaksanakan oleh seluruh unit kerja, dan dievaluasi secara berkala, serta diperbaiki secara berkelanjutan untuk menyesuaikan dengan dinamika organisasi dan lingkungan strategis. - Kementerian Kominfo telah menetapkan kerangka kebijakan formal mengenai pemisahan fungsi, melalui regulasi internal seperti Peraturan menteri tentang Struktur Organisasi dan Tata Kerja, SK penunjukan PPK, PPSPM, KPA, dan pejabat pengadaan barang/jasa, Analisis Jabatan (Anjab) Penyusun LK sebagai bagian dari penguatan pengelolaan keuangan. - Kebijakan pemisahan fungsi ini telah disosialisasikan kepada para pihak yang berkepentingan melalui rapat-rapat koordinasi dan notulensinya, serta ditindaklanjuti dengan laporan pelaksanaan tugas berdasarkan pembagian fungsi dan kewenangan. - Pemisahan fungsi telah diimplementasikan sesuai kebijakan dengan ditetapkannya SK pengelola keuangan di masing-masing unit kerja, termasuk KPA, PPK, PPSPM, serta Unit Akuntansi Pengguna Anggaran (UAKPA) dan Unit Akuntansi Pembantu Pengguna Anggaran (UAPA). - Kementerian telah melakukan evaluasi terhadap kebijakan dan implementasi pemisahan fungsi secara berkala untuk memastikan efektivitas pengendalian internal. Evaluasi dilakukan dalam konteks penguatan sistem keuangan, efisiensi pelaksanaan tugas, serta hasil evaluasi organisasi. - Pemisahan fungsi telah dijadikan instrumen strategis dalam penguatan pengendalian internal, mitigasi risiko kolusi dan penyalahgunaan wewenang, serta efektivitas pelaksanaan kegiatan. Hal ini ditunjukkan dengan evaluasi menyeluruh dan pembaruan kebijakan yang berkelanjutan, serta ketersediaan dokumen manajemen risiko dan laporan evaluasi yang menunjukkan penyesuaian terhadap dinamika strategis organisasi.</t>
  </si>
  <si>
    <t>https://drive.google.com/drive/folders/1vfvY50G2IJX-ohcq_xJGCoZy5TMEQToJ</t>
  </si>
  <si>
    <t>Kementerian Komdigi telah menerapkan sistem otorisasi atas transaksi dan kejadian penting yang terstruktur, terdokumentasi, dan terintegrasi dengan mekanisme pengendalian internal organisasi. Proses otorisasi ini menjamin bahwa setiap transaksi hanya dilakukan oleh pihak yang berwenang, setelah memenuhi seluruh persyaratan yang berlaku, guna menghindari penyimpangan, kolusi, dan penyalahgunaan wewenang.
Proses ini didukung oleh regulasi internal, struktur organisasi, dan dokumen pelaksanaan yang sesuai standar akuntabilitas, serta dievaluasi secara berkala untuk mendorong perbaikan berkelanjutan. Selain itu, sistem otorisasi yang diterapkan secara konsisten juga memperkuat efektivitas pelaksanaan program/kegiatan dan mendukung pencapaian tujuan organisasi.
- Kementerian telah menetapkan kebijakan dan pedoman formal terkait otorisasi transaksi dan kejadian penting, termasuk prosedur pelaksanaannya melalui penyusunan SK Sekjen tentang PIPK, Pedoman Penilaian Pengendalian Intern atas Pelaporan Keuangan (PA), SOP penyusunan laporan keuangan, serta penugasanpelaksanaan PIPK sebagai bentuk implementasi awal
- Kebijakan terkait otorisasi telah disosialisasikan dan dipahami oleh unit kerja, yang ditunjukkan melalui penerbitan SK pejabat keuangan (KPA, PPK, PPSPM) dan keikutsertaan unit kerja dalam rapat serta penyusunan pedoman PA tahun berjalan.
- Otorisasi dilakukan sesuai kewenangan yang ditetapkan, dengan dokumentasi yang membuktikan pelaksanaannya. Bukti penerapan otorisasi antara lain Surat peminjaman BMN yang diotorisasi oleh pengelola resmi, SPM yang ditandatangani oleh pejabat berwenang, dan Penerapan otorisasi dalam pencairan dana melalui SPP
- Evaluasi atas efektivitas implementasi kebijakan otorisasi dilakukan melalui Penilaian PIPK secara menyeluruh, Kertas kerja evaluasi otorisasi pada transaksi dan kejadian penting, Audit terkait pengelolaan aset
- Proses otorisasi tidak hanya dilaksanakan dan dievaluasi, tetapi juga diperbaiki secara berkelanjutan. Bukti perbaikan meliputi Penggunaan dokumen otorisasi yang akurat dalam pengelolaan BMN dan persediaan, Verifikasi dan pengawasan terhadap setiap transaksi penting, dan Evaluasi terhadap praktik otorisasi yang menjadi bagian dari sistem kontrol internal</t>
  </si>
  <si>
    <t>https://drive.google.com/drive/folders/1g2i8hUdwn4GbwnvXjIgiu7t1brTbwe6P</t>
  </si>
  <si>
    <t>Kementerian Komdigi telah melaksanakan proses pencatatan transaksi dan kejadian secara tepat waktu, akurat, dan sesuai dengan kebijakan akuntansi yang berlaku. Pencatatan ini dilakukan secara sistematis untuk memastikan bahwa setiap transaksi diklasifikasikan dan dikelompokkan dengan benar, sehingga relevan dan bernilai bagi proses pengambilan keputusan manajerial. Selain itu, proses ini juga telah dievaluasi dan diperbaiki secara berkelanjutan guna mendukung efektivitas pencapaian tujuan organisasi.
- Kementerian Kominfo telah menetapkan kebijakan dasar mengenai pencatatan transaksi dan kejadian yang tertuang dalam dokumen formal, seperti SOP penyusunan laporan keuangan yang berlaku di seluruh satuan kerja.
- Kebijakan pencatatan transaksi telah disosialisasikan dan dipahami oleh pengelola keuangan/kegiatan, pegawai, dan pimpinan melalui nota dinas serta penyampaian laporan keuangan secara resmi ke Kementerian Keuangan.
- Proses pencatatan telah dilakukan sesuai dengan pedoman yang telah ditetapkan. Hal ini dibuktikan dengan adanya laporan hasil penilaian PIPK yang menyatakan pencatatan telah dilakukan dengan benar, SHR yang menunjukkan seluruh aset telah dicatat, dan hasil analisis laporan keuangan yang akurat.
- Kementerian secara berkala mengevaluasi efektivitas implementasi pencatatan melalui reviu APIP, hasil tripartit bersama BPK dan Kemenkeu, serta penggunaan sistem digital seperti MONSAKTI. Proses ini juga didukung oleh penerbitan kebijakan akuntansi dan struktur pengelolaan keuangan yang jelas.
- Kementerian terus melakukan perbaikan terhadap pencatatan transaksi dengan cara meninjau dan memperbarui kebijakan akuntansi serta membahas aspek penilaian pencatatan melalui PIPK. Notulensi pembahasan PIPK dan kebijakan akuntansi juga menunjukkan bahwa aspek pencatatan telah menjadi perhatian utama dalam menjaga keandalan pelaporan.)
 16. SOP penyusunan Laporan Keuangan (E)</t>
  </si>
  <si>
    <t>https://drive.google.com/drive/folders/1jpxvsvfti6dkkWNfZD5-7lJFqtLv9fo4</t>
  </si>
  <si>
    <t>Kementerian Komdigi telah menetapkan kebijakan pembatasan akses terhadap sumber daya dan pencatatannya sebagai bagian dari upaya pengendalian intern guna mencegah penyalahgunaan dan menjamin akuntabilitas pengelolaan sumber daya organisasi. Kebijakan ini diwujudkan dalam bentuk prosedur tertulis, pelaksanaan pengendalian akses secara teknis dan fisik, komunikasi kepada pihak terkait, serta evaluasi berkala untuk mengukur efektivitas pelaksanaannya. Seluruh proses dilakukan sesuai standar yang berlaku dan telah menunjukkan adanya perbaikan berkelanjutan yang mendukung pencapaian tujuan organisasi secara optimal.
- Kementerian Komdigi telah memiliki kebijakan dan prosedur tertulis mengenai pembatasan akses terhadap sumber daya dan pencatatannya. Kebijakan ini mencakup pengelolaan barang milik negara, persediaan, serta tata kelola akuntansi dan keuangan. Dokumen yang mendasari kebijakan tersebut antara lain berupa SOP penggunaan dan peminjaman BMN, SOP pemakaian persediaan, serta SK pengelola keuangan dan pedoman kebijakan akuntansi yang ditetapkan melalui keputusan menteri.
- Kebijakan pembatasan akses telah dikomunikasikan kepada pihak-pihak terkait dan dipahami oleh para pelaksana teknis yang bertanggung jawab. Penunjukan pejabat pengelola keuangan dilakukan secara formal sebagai bentuk pelaksanaan kebijakan tersebut di tingkat operasional.
- Pembatasan akses telah diimplementasikan sesuai dengan ketentuan yang berlaku, baik dari sisi sistem maupun pengamanan fisik. Penerapan pembatasan dilakukan melalui penetapan user dalam sistem keuangan (SAKTI), pembatasan fisik melalui pemasangan CCTV di gudang dan pemagaran aset, serta pencatatan dan dokumentasi yang dilaksanakan oleh unit keuangan.
- Kementerian telah melaksanakan evaluasi terhadap kebijakan dan implementasi pembatasan akses secara berkala. Evaluasi ini mencakup laporan pemakaian aset dan persediaan, temuan atas pengelolaan aset, penilaian pengendalian intern pemerintah, serta reviu laporan keuangan. Evaluasi tersebut menunjukkan sejauh mana efektivitas kebijakan dan implementasinya di berbagai unit kerja.
- Hasil evaluasi yang dilakukan telah digunakan sebagai dasar untuk melakukan penyempurnaan terhadap kebijakan dan implementasi pembatasan akses. Perbaikan dilakukan secara bertahap dan berkelanjutan untuk menyesuaikan dengan dinamika kebutuhan organisasi, perkembangan teknologi, serta temuan hasil evaluasi. Hal ini menunjukkan bahwa pengendalian atas akses sumber daya telah berjalan secara optimal dan berkontribusi terhadap pencapaian tujuan organisasi.</t>
  </si>
  <si>
    <t>https://drive.google.com/drive/folders/1AoBo872Msayg1RxmgOsE-ht1zxitp1JF</t>
  </si>
  <si>
    <t>Kementerian Komdigi telah menetapkan dan menjalankan kebijakan pertanggungjawaban atas sumber daya dan pencatatannya secara sistematis untuk mendukung akuntabilitas dan tata kelola pemerintahan yang baik. Kebijakan ini diterapkan melalui penetapan prosedur, pelaksanaan tugas oleh pejabat yang berwenang, serta pengawasan dan evaluasi secara berkala. Langkah perbaikan berkelanjutan terus dilakukan berdasarkan hasil evaluasi, yang turut berkontribusi terhadap peningkatan kualitas laporan keuangan dan pengelolaan barang milik negara, serta tercermin dalam penurunan jumlah temuan audit. Dengan pendekatan ini, akuntabilitas atas sumber daya dapat mendukung mitigasi risiko penyalahgunaan dan pencapaian tujuan organisasi secara optimal.
- Kementerian Komdigi telah memiliki kebijakan dan prosedur tertulis mengenai pertanggungjawaban atas sumber daya dan pencatatannya. Kebijakan ini tercantum dalam Pedoman Pertanggungjawaban Anggaran dan penetapan pejabat pengelola keuangan yang memiliki kewenangan dan tanggung jawab sesuai peraturan perundang-undangan.
- Kebijakan pertanggungjawaban atas sumber daya telah dikomunikasikan dan dipahami oleh pihak yang berkepentingan. Ini ditunjukkan melalui kegiatan sosialisasi pedoman serta penetapan formal pejabat pengelola keuangan, sehingga para pelaksana memahami tanggung jawab dan prosedur yang harus dijalankan.
- Pertanggungjawaban terhadap sumber daya dan pencatatannya telah dilaksanakan oleh pegawai atau pejabat yang ditunjuk sesuai kebijakan. Hal ini dapat dilihat dari laporan pertanggungjawaban bendahara, laporan penilaian kinerja pelaksanaan anggaran (IKPA), serta pelaksanaan rekonsiliasi keuangan yang dilakukan secara berkala.
- Kebijakan dan implementasi akuntabilitas terhadap sumber daya telah dievaluasi secara berkala. Evaluasi dilakukan melalui audit dan reviu laporan keuangan, pelaksanaan stock opname, rekonsiliasi internal, dan analisis atas penggunaan sumber daya tertentu seperti kartu kendali BBM. Evaluasi ini digunakan untuk mengukur efektivitas pengelolaan dan meminimalkan risiko penyimpangan.
- Berdasarkan hasil evaluasi yang telah dilakukan, perbaikan terhadap kebijakan dan praktik pertanggungjawaban terus diupayakan untuk meningkatkan efektivitas dan efisiensi pengelolaan sumber daya. Upaya ini tercermin dari capaian opini WTP atas laporan keuangan dan tren penurunan temuan BPK terhadap pengelolaan BMN. Perbaikan dilakukan secara menyeluruh dan berkelanjutan guna memastikan bahwa pengelolaan sumber daya organisasi mendukung pencapaian tujuan strategis secara optimal.</t>
  </si>
  <si>
    <t>https://drive.google.com/drive/folders/1rMKzVVpwToQLfAs2wEVzuHG3b17e405S</t>
  </si>
  <si>
    <t>Kementerian Komdigi telah melaksanakan pengelolaan, pemeliharaan, dan pendokumentasian Sistem Pengendalian Intern (SPI) serta transaksi dan kejadian penting secara lengkap, akurat, dan terdokumentasi dengan baik. Proses ini ditopang oleh kebijakan tertulis dan penggunaan sistem/aplikasi digital seperti SIMWAS, SIMAN, e-BMN, dan Digika, yang memungkinkan penyimpanan dan penelusuran dokumen secara elektronik dan *real-time*. Pendekatan ini tidak hanya menjamin integritas dan keterlacakan informasi, tetapi juga telah disesuaikan secara berkelanjutan dengan kebutuhan organisasi dan dinamika lingkungan strategis. Hasilnya, dokumentasi yang dihasilkan memiliki nilai strategis bagi manajemen maupun pihak eksternal, seperti BPK dan APIP, dalam proses pengawasan dan pengambilan keputusan.
- Kementerian Komdigi telah memiliki kebijakan dan prosedur tertulis yang mengatur pendokumentasian SPI serta transaksi dan kejadian penting. Kebijakan ini dituangkan dalam pedoman SPIP, kebijakan akuntansi, SK PIPK, serta SOP penyusunan laporan keuangan sebagai bagian dari tata kelola yang baik.
- Kebijakan terkait pendokumentasian telah dikomunikasikan dan dipahami oleh pihak-pihak yang berkepentingan, melalui kegiatan penyampaian kebijakan dan rapat-rapat teknis. Penyampaian kebijakan akuntansi, pembahasan akun signifikan, serta distribusi tabel A PIPK menjadi bukti bahwa substansi kebijakan telah dijelaskan dan diteruskan kepada unit pelaksana.
- Pendokumentasian atas SPI serta transaksi dan kejadian penting telah dilaksanakan secara konsisten dan sesuai dengan prosedur yang ditetapkan. Pendokumentasian ini dilakukan baik secara fisik maupun elektronik melalui berbagai aplikasi, seperti SIMWAS untuk dokumen tindak lanjut temuan BPK, SIMAN dan e-BMN untuk aset, serta Digika untuk transaksi keuangan. Selain itu, dokumen SPIP juga disimpan secara digital, mendukung keterlacakan dan kemudahan akses informasi.
- Pendokumentasian atas SPI serta transaksi dan kejadian penting telah dievaluasi secara berkala guna memastikan efektivitasnya. Evaluasi ini dilaksanakan melalui reviu laporan keuangan, penilaian PIPK dari tahun ke tahun, serta pembahasan teknis dan laporan pemantauan terhadap hasil tindak lanjut BPK. Hasil evaluasi menjadi dasar untuk mengidentifikasi celah penguatan dokumentasi.
- Pendokumentasian telah diperbaiki secara berkelanjutan dengan mengintegrasikan teknologi informasi untuk memastikan penyimpanan dan keterlacakan dokumen yang lebih baik. Penggunaan sistem elektronik mendukung penyajian informasi yang relevan dan bernilai strategis, yang dapat dimanfaatkan oleh manajemen dan auditor secara tepat waktu. Perbaikan ini telah disesuaikan dengan dinamika lingkungan organisasi, menjadikan dokumentasi sebagai alat penting dalam pengambilan keputusan dan pengendalian intern.</t>
  </si>
  <si>
    <t>https://drive.google.com/drive/folders/1MAN1YdH7ss1vhEguFUAz65KY5FuD5jUq</t>
  </si>
  <si>
    <r>
      <rPr>
        <rFont val="Arial"/>
        <color theme="1"/>
        <sz val="12.0"/>
      </rPr>
      <t>Tersedianya informasi yang relevan untuk kebutuhan internal dan eksternal dalam upaya pencegahan dan pengendalian kecurangan/</t>
    </r>
    <r>
      <rPr>
        <rFont val="Arial"/>
        <i/>
        <color theme="1"/>
        <sz val="12.0"/>
      </rPr>
      <t>fraud</t>
    </r>
  </si>
  <si>
    <t>Kementerian Komdigi telah menyediakan informasi yang relevan, tepat waktu, andal, dan sesuai dengan kebutuhan baik internal maupun eksternal dalam rangka mendukung upaya pencegahan dan pengendalian kecurangan. Informasi ini dikelola secara sistematis melalui aplikasi digital seperti WBS Dumas, SIMWAS, dan APIK, yang memungkinkan pelaporan, pemantauan, serta tindak lanjut pengaduan dan rekomendasi hasil pengawasan. Klasifikasi dan evaluasi atas jenis dan kebutuhan informasi dilakukan secara berkala, sehingga informasi yang disajikan tidak hanya lengkap dan mudah diakses, namun juga memenuhi ekspektasi para pemangku kepentingan. Keberadaan JDIH dan K-Cloud turut mendukung keterbukaan informasi publik secara akuntabel.
- Beberapa informasi yang relevan untuk mendukung pengendalian intern telah tersedia, namun belum sepenuhnya lengkap dan konsisten. Hal ini terlihat dari dokumen-dokumen arahan kebijakan dan dokumen sistem pengaduan yang masih dalam tahap penguatan atau integrasi, seperti manual book SIMWAS, juknis pengaduan terintegrasi, serta regulasi dasar terkait Dumas dan WBS.
- Informasi yang relevan sudah tersedia secara lengkap, namun masih terdapat keterbatasan dalam akses publik atau akses antarunit. Beberapa informasi penting terkait pengendalian intern, produk kebijakan, layanan tusi, serta pengaduan masyarakat sudah tersedia melalui JDIH, K-Cloud, dan aplikasi SIMWAS, tetapi pemanfaatannya belum sepenuhnya merata.
- Informasi yang mendukung pengendalian intern telah tersedia secara lengkap dan dapat diakses dengan mudah oleh pihak yang memerlukan. Ini mencakup data rekomendasi hasil audit, akun sistem pengawasan, informasi keuangan dan non-keuangan, serta keterhubungan sistem informasi melalui berbagai platform seperti SIMWAS, JDIH, Digika, dan portal internal kementerian.
- Kementerian telah melakukan evaluasi terhadap klasifikasi dan efektivitas penyajian informasi secara berkala. Evaluasi ini mencakup pemantauan pengaduan melalui Dumas dan WBS, asesmen terhadap sistem WBS TPK terintegrasi, serta analisis disiplin pegawai. Hasil evaluasi digunakan sebagai dasar perbaikan dan penguatan sistem informasi.
- Informasi yang disajikan telah memenuhi ekspektasi stakeholder internal maupun eksternal. Keberadaan aplikasi seperti WBS Dumas, SIMWAS, APIK, serta sistem absensi dan pemantauan anggaran telah mendukung penyajian informasi secara real-time, relevan, dan sesuai kebutuhan pengendalian fraud. Sistem informasi ini tidak hanya memfasilitasi pelaporan dan tindak lanjut pengaduan, tetapi juga memberikan transparansi dan akuntabilitas bagi publik dan auditor.</t>
  </si>
  <si>
    <t>https://drive.google.com/drive/folders/1-rpZDv9nA81y2Rdzsl6xZ0kWug_hxp00</t>
  </si>
  <si>
    <t>Pimpinan Kementerian Komunikasi dan Informatika telah membangun dan mengimplementasikan sistem pengaduan sebagai bagian dari upaya peningkatan transparansi, akuntabilitas, dan partisipasi publik. Sistem ini mencakup pengelolaan pengaduan masyarakat dan pelaporan pelanggaran (whistleblowing), yang telah didukung dengan kebijakan, SOP, dan sarana aplikasi pelaporan. Pengaduan yang masuk ditindaklanjuti sesuai ketentuan, dan sistemnya dievaluasi untuk memastikan efektivitas serta kontribusinya terhadap perbaikan kinerja dan tata kelola organisasi.
- Kementerian Kominfo telah memiliki kebijakan formal terkait pengelolaan pengaduan masyarakat dan pelaporan pelanggaran, sebagaimana tertuang dalam Pedoman Menteri Kominfo Nomor 6 Tahun 2018. Kebijakan ini menjadi dasar bagi pelaksanaan sistem pengaduan yang terintegrasi di lingkungan kementerian.
- Sistem pengaduan telah disosialisasikan dan digunakan oleh masyarakat maupun internal kementerian. Bukti sosialisasi dan pemanfaatan sistem terlihat dari keberadaan aplikasi LAPOR, WBS Dumas, serta laporan pengaduan yang diakses melalui berbagai unit kerja.
- Pengaduan yang diterima melalui sistem telah ditindaklanjuti sesuai dengan kebijakan dan prosedur yang ditetapkan. Proses ini tercermin dalam laporan hasil pengaduan dan dokumen tindak lanjut yang menunjukkan bahwa pengelolaan pengaduan berjalan secara aktif dan responsif.
- Sistem pengaduan yang diterapkan telah dievaluasi melalui kegiatan pemutakhiran dan penelaahan oleh APIP, termasuk identifikasi kelemahan dan penyebab kegagalan pencapaian target kinerja. Hasil evaluasi ini digunakan sebagai dasar untuk melakukan perbaikan sistem.
- Pengelolaan pengaduan di Kementerian Kominfo tidak hanya berjalan sesuai prosedur dan dievaluasi, tetapi juga berdampak nyata terhadap perbaikan kebijakan dan peningkatan kualitas layanan. Informasi dari pengaduan digunakan dalam proses pembelajaran organisasi dan pengambilan keputusan strategis, sehingga mendorong perbaikan berkelanjutan.</t>
  </si>
  <si>
    <t>https://drive.google.com/drive/folders/1-eZNuNHts8e9uq0ntIT9fNzQq1TGTRqE</t>
  </si>
  <si>
    <t>Kementerian Komdigi telah menetapkan strategi dan kebijakan manajemen risiko melalui Pedoman Menteri Komunikasi dan Informatika tentang Pedoman Manajemen Risiko di lingkungan Kementerian. Kebijakan ini telah mulai dikomunikasikan secara bertahap kepada pegawai, baik pada tingkat operasional maupun strategis di unit kerja. Komunikasi dilakukan melalui penetapan dokumen manajemen risiko, pelaksanaan asistensi, pembentukan Unit Pengelola Risiko (UPR), serta penyusunan profil risiko strategis di berbagai satuan kerja. Meskipun pelaksanaan komunikasi belum menjangkau seluruh pegawai strategis di seluruh unit dan tingkat Kementerian, upaya ini menunjukkan komitmen dalam membangun budaya sadar risiko yang konsisten dan terstruktur.
Strategi dan kebijakan manajemen risiko telah dikomunikasikan kepada seluruh pegawai pada tingkat operasional unit kerja dan sebagian pegawai di tingkat strategis. Ini tercermin dari adanya SK Manajemen Risiko, dokumen profil risiko strategis, hasil survei pemahaman risiko di UKE I, serta kegiatan asistensi manajemen risiko kepada satuan kerja.</t>
  </si>
  <si>
    <t>https://drive.google.com/drive/folders/1GOdyYHwlt24TPqlbaJNOLFQtYrMpqF6A</t>
  </si>
  <si>
    <t>Kementerian Komdigi telah menyusun dan mengkomunikasikan register risiko serta rencana tindak pengendalian pada berbagai tingkatan organisasi, mulai dari tingkat operasional satuan kerja, tingkat strategis unit kerja, hingga tingkat strategis Kementerian. Proses komunikasi ini melibatkan pemilik risiko, koordinator risiko, dan pihak terkait lainnya, melalui pelaporan triwulanan, asistensi teknis, dan penyusunan dokumen formal seperti form profil risiko, SK manajemen risiko, serta piagam manajemen risiko. Informasi risiko ini juga digunakan sebagai bahan dalam proses pengambilan keputusan, terutama dalam menyusun perencanaan strategis dan pelaksanaan program. Namun, belum tersedia bukti bahwa register risiko secara konsisten dimanfaatkan sebagai bahan pembelajaran dan inovasi di seluruh unit kerja.
Register risiko dan rencana tindak pengendalian untuk tingkat operasional, strategis unit kerja, dan strategis kementerian telah disusun dan dikomunikasikan secara menyeluruh kepada pihak-pihak yang relevan. Komunikasi dilakukan melalui dokumen register risiko yang dilaporkan secara berkala dan dijadikan dasar koordinasi antar pemilik risiko dan koordinator risiko di satuan kerja. Bukti seperti form peta risiko strategis, SK, dan hasil asistensi juga menunjukkan adanya pendekatan sistematis terhadap penyampaian informasi risiko.</t>
  </si>
  <si>
    <t>https://drive.google.com/drive/folders/1cIs-5vQTeCIVW-0vQ8ta9KUWTfFXHvXr</t>
  </si>
  <si>
    <t>Saluran pelaporan internal yang dikelola secara kredibel dalam menerima pelaporan dan memberikan perlindungan kepada pelapor sehingga kepedulian meningkat dan memberikan efek penggentar yang efektif.</t>
  </si>
  <si>
    <t>Unit kerja menyelenggarakan sistem whistleblowing secara mandiri dan telah dimanfaatkan secara konstruktif oleh pegawai dan stakeholder. Informasi whistleblowing ditangani sesuai prosedur dan keandalan sistem whistleblowing dipantau dan dievaluasi efektivitasnya sebagai bahan perbaikan yang berkelanjutan</t>
  </si>
  <si>
    <t>Kementerian Komdigi telah menyelenggarakan sistem whistleblowing internal secara mandiri melalui aplikasi Whistleblowing System (WBS) dan saluran pengaduan masyarakat (DUMAS). Sistem ini dibangun dengan dasar hukum yang kuat, mekanisme perlindungan terhadap pelapor, serta pelaksanaan evaluasi secara berkala terhadap efektivitas pengelolaannya. Pelaporan yang masuk dikelola secara profesional sesuai dengan prosedur, dengan bukti nyata adanya tindak lanjut atas laporan yang diterima. Kolaborasi dengan KPK serta hasil asesmen dan pelatihan yang dilaksanakan menunjukkan bahwa sistem whistleblowing di Kemkominfo dikelola secara kredibel dan telah dimanfaatkan secara konstruktif oleh pegawai dan stakeholder.
Unit kerja telah menyelenggarakan sistem WBS secara mandiri, dimanfaatkan secara konstruktif oleh pegawai dan stakeholder, dan terdapat mekanisme perlindungan terhadap pelapor. Intensi pelaporan terindikasi cukup tinggi sebagaimana dibuktikan melalui laporan masuk, telaah dan tindak lanjut, serta hasil survei sikap terhadap pelapor.
Kementerian Komdigitelah sampai pada level A karena sistem whistleblowing telah dimanfaatkan secara konstruktif oleh pegawai dan stakeholder,ditangani sesuai prosedur, terdapat evaluasi berkala (monev Dumas WBS), dilakukan pelatihan, asesmen kebijakan internal (oleh KPK, dan digunakan sebagai bahan perbaikan berkelanjutan dalam manajemen pengaduan.</t>
  </si>
  <si>
    <t>https://drive.google.com/drive/folders/1BYeFixUWqGiZJLZ8uUyKEv8sN0RYwcNt</t>
  </si>
  <si>
    <t>Unit kerja menyelenggarakan sistem whistleblowing internal secara mandiri, telah dimanfaatkan secara konstruktif oleh pegawai dengan tumbuhnya intensi whistleblowing yang cukup tinggi dan sikap positif kepada pelapor, serta mekanisme perlindungan kepada pelapor berfungsi.</t>
  </si>
  <si>
    <t>Unit kerja menyelenggarakan sistem whistleblowing internal dan cukup berfungsi, secara umum sikap terhadap pelapor cukup positif dan niat whistleblowing pada tataran sedang. Pegawai tidak memanfaatkan saluran whistleblowing karena masih tidak percaya mekanisme perlindungan pelapor berjalan.</t>
  </si>
  <si>
    <t>Unit kerja menyelenggarakan sistem whistleblowing internal namun tidak ada bukti saluran pelaporan berfungsi dan dimanfaatkan, dan sikap terhadap pelapor masih cenderung negatif dan niat whistleblowing cenderung rendah.</t>
  </si>
  <si>
    <t>Unit kerja tidak menyelenggarakan sistem whistleblowing dan adanya sikap negatif terhadap pelapor</t>
  </si>
  <si>
    <r>
      <rPr>
        <rFont val="Arial"/>
        <color theme="1"/>
        <sz val="12.0"/>
      </rPr>
      <t>Terlaksananya komunikasi yang efektif dengan internal dan eksternal dalam upaya pencegahan dan pengendalian kecurangan/</t>
    </r>
    <r>
      <rPr>
        <rFont val="Arial"/>
        <i/>
        <color theme="1"/>
        <sz val="12.0"/>
      </rPr>
      <t>fraud</t>
    </r>
  </si>
  <si>
    <t>Kementerian Komdigi telah melaksanakan komunikasi yang efektif dengan pihak internal dan eksternal dalam rangka mendukung upaya pencegahan dan pengendalian kecurangan (fraud). Komunikasi dilakukan secara terstruktur dan berkala melalui berbagai media seperti Website Itjen, aplikasi SIMWAS, portal Kominfo, serta kegiatan survei kepuasan layanan. Informasi juga disampaikan melalui dokumen resmi, pedoman, serta forum diskusi yang mendorong partisipasi aktif dari stakeholder.
Selain itu, perbaikan berkelanjutan atas strategi komunikasi internal dan eksternal terus dilakukan, yang berdampak pada meningkatnya kepercayaan publik, membaiknya citra instansi, serta diperolehnya opini WTP dari BPK. Hal ini menunjukkan bahwa komunikasi tidak hanya berjalan secara teknis, tetapi juga telah membawa dampak nyata dalam memperkuat sistem pengendalian dan tata kelola pemerintahan yang bersih.
Telah dilakukan komunikasi secara terstruktur dan berkala kepada internal dan eksternal. Ini dibuktikan melalui tersedianya Website Itjen dan JDIH sebagai media publikasi regulasi dan kebijakan antikorupsi, Survei kepuasan layanan pengawasan, Notulensi dan koordinasi dengan Kementerian Keuangan dan BPK, Laporan pelaksanaan Dumas dan WBS semesteran, serta Komunikasi internal melalui portal dan forum diskusi
- Komunikasi yang dilakukan telah melalui proses evaluasi, yaitu melalui Evaluasi Dumas dan WBS secara berkala, Survei kepuasan internal (kesetjenan dan satker), Monitoring dan evaluasi tindak lanjut temuan, Dokumentasi hasil rapat koordinasi internal dan dengan instansi eksternal, dan Hasil survei pelayanan dan asesmen keterbukaan informasi
- Terdapat bukti bahwa perbaikan atas strategi komunikasi terus dilakukan dan memberikan hasil nyata seperti tercapainya Opini WTP BPK atas LK, Meningkatnya indeks keterbukaan informasi publik, Adanya evaluasi hasil pengaduan sebagai dasar penyempurnaan sistem, dan Renovasi layanan sebagai respons atas komunikasi kebutuhan satker</t>
  </si>
  <si>
    <t>https://drive.google.com/drive/folders/1NfTsw9pw-_lWvlo46HMTcP-KSUK-4VM-</t>
  </si>
  <si>
    <t>Pimpinan organisasi/penanggungjawab program dan kegiatan/penanggungjawab operasional mengevaluasi secara berkala pengendalian intern yang telah dilakukan dalam rangka mencapai tujuan organisasi</t>
  </si>
  <si>
    <t>Kementerian Komdigi telah melaksanakan pemantauan terhadap pelaksanaan pengendalian intern secara berkala pada berbagai aktivitas, baik pada level program, kegiatan, hingga unit kerja dan individu. Pemantauan ini dilakukan melalui sistem pelaporan dan aplikasi yang telah tersedia, seperti SMART, e-Monev, dan e-Kinerja, serta forum koordinasi antarunit.
Kementerian Komdigi telah melaksanakan pemantauan pengendalian intern secara menyeluruh mencakup Program, kegiatan, dan unit kerja di berbagai tingkatan, Kinerja individu melalui e-Kinerja, Evaluasi capaian kinerja dan anggaran</t>
  </si>
  <si>
    <t>https://drive.google.com/drive/folders/1on_67CFk6wmWDx0uJWtoiUhkgx1GHSy3</t>
  </si>
  <si>
    <t>Kementerian Komdigi telah melaksanakan proses reviu atas manajemen risiko yang mencakup risiko operasional unit kerja, risiko strategis unit kerja, serta risiko strategis pada tingkat kementerian. Proses reviu ini dilaksanakan oleh APIP secara periodik sebagai bagian dari upaya penguatan sistem pengendalian intern dan peningkatan tata kelola risiko yang akuntabel.
Reviu dilakukan terhadap dokumen manajemen risiko, laporan pemantauan triwulanan dan tahunan, serta nota dinas hasil asistensi dan evaluasi risiko. Seluruh risiko telah diidentifikasi dan dicatat dalam profil risiko, baik pada tingkat unit kerja eselon I maupun secara terintegrasi dalam profil risiko strategis Kementerian.
Sudah Dilakukan Reviu atas Seluruh Risiko Operasional Unit Kerja, Strategis Unit Kerja, dan Strategis K/L/D,
Reviu dilakukan terhadap seluruh kategori risiko, yaitu Risiko operasional unit kerja melalui dokumen MR dan pemantauan rutin, Risiko strategis unit kerja terlihat dalam cascading ke unit kerja Eselon I, dan Risiko strategis K/L/D: ditunjukkan melalui profil risiko tingkat kementerian yang telah dimapping ke UKI</t>
  </si>
  <si>
    <t>https://drive.google.com/drive/folders/1cp4CPoX5a4aAOjgJDp23qYnKVI4ePLBq</t>
  </si>
  <si>
    <t>Kementerian Komdigi telah melaksanakan pemantauan (monitoring) terhadap risiko dan tindak pengendalian, terutama pada risiko operasional dan strategis unit kerja. Proses ini dilaksanakan secara sistematis dan berkala melalui formulir manajemen risiko, laporan hasil monitoring oleh APIP, serta pengisian form pemantauan triwulanan pada aplikasi Manajemen Risiko Kominfo.
Selain itu, terdapat risk profile pada tingkat strategis unit kerja yang diperbarui secara berkala dan dijadikan acuan dalam pengelolaan risiko masing-masing satuan kerja. Namun, belum terdapat bukti kuat bahwa monitoring risiko telah mencakup risiko strategis pada tingkat kementerian secara menyeluruh dan dimanfaatkan secara eksplisit sebagai bahan pembelajaran lintas unit kerja.
Kementerian telah melakukan pemantauan terhadap risiko pada level operasional dan strategis unit kerja yang dibuktikan melalui Laporan hasil monitoring oleh APIP pada unit kerja, Formulir manajemen risiko yang mencakup identifikasi, penilaian, dan pemantauan, Pemantauan triwulan melalui aplikasi manajemen risiko, Risk profile strategis unit kerja (UKE I) tahun 2024</t>
  </si>
  <si>
    <t>https://drive.google.com/drive/folders/113psVgmPsa6et3ooeMcxxAcZBx-YZUaO</t>
  </si>
  <si>
    <t>Evaluasi terpisah dilakukan oleh pegawai dengan keahlian tertentu yang disyaratkan dan dapat melibatkan APIP atau auditor eksternal untuk menilai ketaatan terhadap peraturan perundang-undangan</t>
  </si>
  <si>
    <t>Kementerian Komdigi telah melaksanakan evaluasi terpisah terhadap pengendalian intern dan pelaksanaan program/kegiatan melalui keterlibatan APIP dan auditor eksternal seperti BPKP dan Kementerian Keuangan. Evaluasi ini mencakup seluruh program dan kegiatan serta dilakukan dengan metodologi yang tepat oleh pihak yang kompeten.
- Kementerian telah melaksanakan evaluasi terpisah atas pengendalian intern dan pelaksanaan program/kegiatan, misalnya melalui laporan hasil evaluasi oleh BPKP dan reviu APIP atas RKAKL serta laporan-laporan evaluasi lainnya.
- Evaluasi telah dilakukan pada sebagian aktivitas pengendalian dan seluruh program/kegiatan oleh pihak yang kompeten, Kementerian melakukan evaluasi atas berbagai program dan kegiatan termasuk anggaran, pengadaan, dan penyerapan kinerja, menggunakan metode yang tepat dan melibatkan APIP, BKN, serta Kemenkeu.
- Evaluasi dilakukan pada seluruh aktivitas pengendalian dan seluruh program/kegiatan oleh pihak yang kompeten, Evaluasi sudah mencakup seluruh pengendalian dan program, baik oleh APIP maupun eksternal dengan tersedianya Laporan Kinerja Keuangan oleh APIP, Laporan Penilaian PIPK, Hasil Konfirmasi Evaluasi Pelaksanaan Anggaran, Laporan Keuangan dan Laporan Evaluasi oleh Kemenkeu</t>
  </si>
  <si>
    <t>https://drive.google.com/drive/folders/10dO4gfgzbUfFz8LEHKgm2iAp-kYfs8K_</t>
  </si>
  <si>
    <t>Kementerian Komdigi telah melakukan reviu independen terhadap proses tindak pengendalian risiko, khususnya pada tingkat operasional dan sebagian strategis unit kerja. Proses reviu dilaksanakan oleh APIP dengan metode yang memadai, serta didukung bukti dokumentasi dan tindak lanjut dari satuan kerja.
– Reviu terhadap proses tindak pengendalian untuk risiko tingkat operasional unit kerja/OPD dilaksanakan melalui implementasi peraturan menteri tentang Pedoman Manajemen Risiko dan dokumentasi atas tindak lanjut MR oleh Satuan Kerja
– Reviu terhadap proses tindak pengendalian untuk risiko tingkat operasional unit kerja cukup memadai dibuktikan denganreviu secara rutin atas risiko operasional oleh APIP dan unit kerja. Proses ini mulai terstruktur, dengan adanya dokumentasi tindak lanjut dan pelibatan pihak yang kompeten.
– Reviu terhadap proses tindak pengendalian untuk risiko tingkat operasional dan strategis unit kerja memadai. Reviu telah menjangkau risiko di tingkat operasional dan strategis unit kerja. Proses ini dilengkapi dengan tindak lanjut dan pelaporan rutin, serta pemantauan melalui aplikasi MR Kementerian.</t>
  </si>
  <si>
    <t>https://drive.google.com/drive/folders/1zoZM_2DXRZPKlDHWDbfbK0oazl7WHgqs</t>
  </si>
  <si>
    <t>PENJAMINAN KUALITAS HASIL PENILAIAN MANDIRI MATURITAS PENYELENGGARAAN SPIP TERINTEGRASI
PEMERINTAH DAERAH …
Periode Penilaian 01 Juli 2024 sampai dengan 30 Juni 2025</t>
  </si>
  <si>
    <t>KERTAS KERJA PENILAIAN PENCAPAIAN TUJUAN SPIP
KK LEAD III - PENILAIAN PENCAPAIAN TUJUAN SPIP</t>
  </si>
  <si>
    <t>No.</t>
  </si>
  <si>
    <t>Pencapaian Tujuan</t>
  </si>
  <si>
    <t>Capaian K/L/D</t>
  </si>
  <si>
    <t>Indikator</t>
  </si>
  <si>
    <t>Definisi Indikator</t>
  </si>
  <si>
    <t>Cara Pengukuran</t>
  </si>
  <si>
    <t xml:space="preserve">Efektivitas dan Efisiensi </t>
  </si>
  <si>
    <t>1.</t>
  </si>
  <si>
    <t>Capaian Outcome</t>
  </si>
  <si>
    <t>Mengukur efektivitas pencapaian tujuan organisasi</t>
  </si>
  <si>
    <t>Menghitung rata-rata pencapaian indikator kinerja dari sasaran strategis K/L/D</t>
  </si>
  <si>
    <t>Menghitung rata-rata pencapaian indikator kinerja dari sasaran program K/L/D</t>
  </si>
  <si>
    <t>2.</t>
  </si>
  <si>
    <t>Capaian Output</t>
  </si>
  <si>
    <t>Mengukur efisiensi pencapaian tujuan kegiatan</t>
  </si>
  <si>
    <t>Menghitung rata-rata pencapaian indikator output dari kegiatan satuan kerja</t>
  </si>
  <si>
    <t>Keandalan Pelaporan Keuangan</t>
  </si>
  <si>
    <t>Opini atas Laporan Keuangan – BPK RI</t>
  </si>
  <si>
    <t>Penilaian atas kewajaran penyajian Laporan Keuangan Instansi Pemerintah oleh BPK RI</t>
  </si>
  <si>
    <t xml:space="preserve">Dapatkan informasi Opini Laporan Keuangan dalam 5 tahun terakhir, yang terdiri dari:
- TMP
- TW
- WDP
- WTP-DPP
- WTP </t>
  </si>
  <si>
    <t>Pengamanan atas Aset Negara/Daerah</t>
  </si>
  <si>
    <t>Pengamanan Aset</t>
  </si>
  <si>
    <t xml:space="preserve">Penilaian atas kualitas pengamanan BMN/BMD </t>
  </si>
  <si>
    <t>Mengidentifikasi catatan pada LHP BPK terkait permasalahan administrasi aset dalam 5 tahun terakhir</t>
  </si>
  <si>
    <t>Ketaatan terhadap Peraturan Perundang-undangan</t>
  </si>
  <si>
    <t>Jumlah Temuan atas Ketidakpatuhan dalam LHP BPK RI</t>
  </si>
  <si>
    <t>Banyaknya temuan yang dilaporkan dalam LHP BPK RI pada subbab Temuan atas Ketidakpatuhan Terhadap Peraturan Perundang-undangan.</t>
  </si>
  <si>
    <t>Menghitung jumlah butir temuan dalam LHP BPK RI terkait Ketidakpatuhan Terhadap Peraturan Perundang-undangan.</t>
  </si>
  <si>
    <t xml:space="preserve">Keterjadian Tindak Pidana Korupsi </t>
  </si>
  <si>
    <t xml:space="preserve">Keterjadian tindak pidana korupsi dalam tahun dan/atau saat penilaian </t>
  </si>
  <si>
    <t>PENJAMINAN KUALITAS HASIL PENILAIAN MANDIRI MATURITAS PENYELENGGARAAN SPIP TERINTEGRASI
KEMENTERIAN KOMUNIKASI DAN INFORMATIKA
Periode Penilaian 01 Juli 2023-1 sampai dengan 30 Juni 2024</t>
  </si>
  <si>
    <t>KERTAS KERJA PENILAIAN PENCAPAIAN TUJUAN SPIP
TUJUAN 1: EFEKTIVITAS DAN EFISIENSI PENCAPAIAN TUJUAN ORGANISASI
KK 5.1A - PENILAIAN CAPAIAN SASARAN STRATEGIS K/L/D</t>
  </si>
  <si>
    <t>Sasaran Strategis K/L</t>
  </si>
  <si>
    <t>KRITERIA SASARAN STRATEGIS</t>
  </si>
  <si>
    <t>CAPAIAN</t>
  </si>
  <si>
    <t>INDIKATOR DAN TARGET KINERJA TEPAT</t>
  </si>
  <si>
    <t>DATA ANDAL</t>
  </si>
  <si>
    <t>TARGET</t>
  </si>
  <si>
    <t>REALISASI</t>
  </si>
  <si>
    <t>PERSENTASE REALISASI</t>
  </si>
  <si>
    <t>Hasil Penilaian Sasaran, Indikator, Target, dan Keandalan data sesuai</t>
  </si>
  <si>
    <t>Seluruh kriteria Sasaran, Indikator, Target, dan Keandalan Data dinilai Tepat</t>
  </si>
  <si>
    <t>Capaian di bawah 120%</t>
  </si>
  <si>
    <t>Persentase Realisasi menurut PK</t>
  </si>
  <si>
    <t>Catatan/Keterangan</t>
  </si>
  <si>
    <t>SS.01 Meningkatnya Cakupan dan Kualitas Jaringan Pita Lebar yang Cepat dan Terjangkau</t>
  </si>
  <si>
    <t>Jumlah Desa/Kelurahan di Wilayah Pelayanan Universal Telekomunikasi dan Informatika yang Terjangkau Layanan Mobile Broadband 4G (Kumulatif)</t>
  </si>
  <si>
    <t>5,025.00
 Desa/Kelurahan</t>
  </si>
  <si>
    <t>6.794
 Desa/Kelurahan</t>
  </si>
  <si>
    <t>Capaian persentase Realisasi melebihi 120%</t>
  </si>
  <si>
    <t>Persentase (%) Kapasitas Satelit Multifungsi (SATRIA I) di Terestrial melalui Ground Segment/IP Hub (kumulatif)</t>
  </si>
  <si>
    <t>6.67 %</t>
  </si>
  <si>
    <t>1,499.25 %</t>
  </si>
  <si>
    <t>SS.02 Meningkatnya Pemanfaatan dan Kualitas Pengelolaan Sumber Daya Spektrum Frekuensi Radio serta Pengembangan Ekosistem Industri TIK</t>
  </si>
  <si>
    <t>Persentase (%) Pemanfaatan Pita Frekuensi Radio untuk Layanan Broadband</t>
  </si>
  <si>
    <t>100,00 %</t>
  </si>
  <si>
    <t>SS.03 Meningkatnya Cakupan Wilayah yang Terlayani Penyiaran Digital</t>
  </si>
  <si>
    <t>Persentase Populasi yang Terjangkau Penyiaran TV digital (Kumulatif)</t>
  </si>
  <si>
    <t>80,00 %</t>
  </si>
  <si>
    <t>66 %</t>
  </si>
  <si>
    <t>SS.04 Meningkatnya Kompetensi dan Kemampuan SDM Nasional Bidang TIK</t>
  </si>
  <si>
    <t>Nilai Indeks Literasi Digital Nasional Tahun 2024</t>
  </si>
  <si>
    <t>3.70 Nilai</t>
  </si>
  <si>
    <t>3,78 Nilai</t>
  </si>
  <si>
    <t>Persentase (%) Peserta Pelatihan Digital Skill yang Kompeten</t>
  </si>
  <si>
    <t>83,75 %</t>
  </si>
  <si>
    <t>87,17 %</t>
  </si>
  <si>
    <t>SS.05 Meningkatnya Kualitas Pengelolaan Informasi dan Komunikasi Publik</t>
  </si>
  <si>
    <t>Persentase (%) Kepuasan Masyarakat Terhadap Akses dan Kualitas Konten Informasi Publik terkait Kebijakan dan Program Prioritas Pemerintah</t>
  </si>
  <si>
    <t>81.00 %</t>
  </si>
  <si>
    <t>83.41 %</t>
  </si>
  <si>
    <t>102.98 %</t>
  </si>
  <si>
    <t>SS.06 Meningkatnya Kualitas Tata Kelola Birokrasi yang Efektif dan Efisien</t>
  </si>
  <si>
    <t>Indeks Opini BPK atas Laporan Keuangan Kementerian Kominfo Tahun Anggaran 2023</t>
  </si>
  <si>
    <t>4.00 Nilai</t>
  </si>
  <si>
    <t>Indeks Reformasi Birokrasi Kementerian Kominfo Tahun 2024</t>
  </si>
  <si>
    <t>81.00 Nilai</t>
  </si>
  <si>
    <t>86.83 Nilai</t>
  </si>
  <si>
    <t>107.20 %</t>
  </si>
  <si>
    <t>SS.07 Tercapainya Target PNBP Kementerian Kominfo</t>
  </si>
  <si>
    <t>Persentase (%) Realisasi Target PNBP Kementerian Kominfo Tahun 2024</t>
  </si>
  <si>
    <t>100.00 %</t>
  </si>
  <si>
    <t>119.94 %</t>
  </si>
  <si>
    <t>SIMPULAN LEVEL</t>
  </si>
  <si>
    <t>&lt; 30%</t>
  </si>
  <si>
    <t>≥ 30% dan &lt;50%</t>
  </si>
  <si>
    <t>≥ 50% dan &lt;70%</t>
  </si>
  <si>
    <t>≥ 70% dan &lt;90%</t>
  </si>
  <si>
    <t>≥ 90%</t>
  </si>
  <si>
    <r>
      <rPr>
        <rFont val="Arial"/>
        <b/>
        <color rgb="FF485056"/>
        <sz val="10.0"/>
      </rPr>
      <t xml:space="preserve">PENILAIAN MANDIRI MATURITAS PENYELENGGARAAN SPIP
</t>
    </r>
    <r>
      <rPr>
        <rFont val="Arial"/>
        <b/>
        <color rgb="FF485056"/>
        <sz val="10.0"/>
      </rPr>
      <t>Kementerian Komunikasi dan Digital RI Periode penilaian 01 Juli 2024 s.d 30 Juni 2025</t>
    </r>
  </si>
  <si>
    <r>
      <rPr>
        <rFont val="Arial"/>
        <b/>
        <color rgb="FF485056"/>
        <sz val="10.0"/>
      </rPr>
      <t xml:space="preserve">KERTAS KERJA PENILAIAN PENCAPAIAN TUJUAN SPIP
</t>
    </r>
    <r>
      <rPr>
        <rFont val="Arial"/>
        <b/>
        <color rgb="FF485056"/>
        <sz val="10.0"/>
      </rPr>
      <t>TUJUAN 1: EFEKTIVITAS DAN EFISIENSI PENCAPAIAN TUJUAN ORGANISASI KK 5.1B - PENILAIAN CAPAIAN SASARAN PROGRAM</t>
    </r>
  </si>
  <si>
    <r>
      <rPr>
        <rFont val="Arial"/>
        <b/>
        <color rgb="FF485056"/>
        <sz val="10.0"/>
      </rPr>
      <t>NO</t>
    </r>
  </si>
  <si>
    <r>
      <rPr>
        <rFont val="Arial"/>
        <b/>
        <color rgb="FF485056"/>
        <sz val="10.0"/>
      </rPr>
      <t>SASARAN STRATEGI S K/L</t>
    </r>
  </si>
  <si>
    <r>
      <rPr>
        <rFont val="Arial"/>
        <b/>
        <color rgb="FF485056"/>
        <sz val="10.0"/>
      </rPr>
      <t>SASARAN STRATEGI S RELEVAN</t>
    </r>
  </si>
  <si>
    <r>
      <rPr>
        <rFont val="Arial"/>
        <b/>
        <color rgb="FF485056"/>
        <sz val="10.0"/>
      </rPr>
      <t>SASARAN PROGRAM</t>
    </r>
  </si>
  <si>
    <r>
      <rPr>
        <rFont val="Arial"/>
        <b/>
        <color rgb="FF485056"/>
        <sz val="10.0"/>
      </rPr>
      <t>INDIKATOR KINERJA SASARAN PROGRAM</t>
    </r>
  </si>
  <si>
    <r>
      <rPr>
        <rFont val="Arial"/>
        <b/>
        <color rgb="FF485056"/>
        <sz val="10.0"/>
      </rPr>
      <t>KRITERIA SASARAN PROGRAM</t>
    </r>
  </si>
  <si>
    <r>
      <rPr>
        <rFont val="Arial"/>
        <b/>
        <color rgb="FF485056"/>
        <sz val="10.0"/>
      </rPr>
      <t>CAPAIAN</t>
    </r>
  </si>
  <si>
    <r>
      <rPr>
        <rFont val="Arial"/>
        <b/>
        <color rgb="FF485056"/>
        <sz val="10.0"/>
      </rPr>
      <t>SASTRA BER ORIENTASI HASIL</t>
    </r>
  </si>
  <si>
    <r>
      <rPr>
        <rFont val="Arial"/>
        <b/>
        <color rgb="FF485056"/>
        <sz val="10.0"/>
      </rPr>
      <t>RELEVAN MENCAP AI SASAR AN DI ATASNYA</t>
    </r>
  </si>
  <si>
    <r>
      <rPr>
        <rFont val="Arial"/>
        <b/>
        <color rgb="FF485056"/>
        <sz val="10.0"/>
      </rPr>
      <t>INDIKATO R KINERJA TEPAT</t>
    </r>
  </si>
  <si>
    <r>
      <rPr>
        <rFont val="Arial"/>
        <b/>
        <color rgb="FF485056"/>
        <sz val="10.0"/>
      </rPr>
      <t>DATA ANDA L</t>
    </r>
  </si>
  <si>
    <r>
      <rPr>
        <rFont val="Arial"/>
        <b/>
        <color rgb="FF485056"/>
        <sz val="10.0"/>
      </rPr>
      <t>TARGET</t>
    </r>
  </si>
  <si>
    <r>
      <rPr>
        <rFont val="Arial"/>
        <b/>
        <color rgb="FF485056"/>
        <sz val="10.0"/>
      </rPr>
      <t>REALISASI</t>
    </r>
  </si>
  <si>
    <r>
      <rPr>
        <rFont val="Arial"/>
        <b/>
        <color rgb="FF485056"/>
        <sz val="10.0"/>
      </rPr>
      <t>PERSENTAS E REALISASI</t>
    </r>
  </si>
  <si>
    <t>Sastra Berorientasi Hasil</t>
  </si>
  <si>
    <t xml:space="preserve">Relevan Mencapai Sasaran Diatasnya </t>
  </si>
  <si>
    <t>Indikator Kinerja Tepat</t>
  </si>
  <si>
    <t xml:space="preserve">Data Andal </t>
  </si>
  <si>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</si>
  <si>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</si>
  <si>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 1
</t>
    </r>
    <r>
      <rPr>
        <rFont val="Arial MT"/>
        <color rgb="FF485056"/>
        <sz val="10.0"/>
      </rPr>
      <t>Meningkatnya cakupan dan kualitas layanan broadband di wilayah komersial</t>
    </r>
  </si>
  <si>
    <r>
      <rPr>
        <rFont val="Arial MT"/>
        <color rgb="FF485056"/>
        <sz val="10.0"/>
      </rPr>
      <t>Persentase (%) desa/kelurahan di wilayah non-3T yang mendapatkan akses jaringan mobile broadband (4G) melalui optimasi peran penyelenggara telekomunikasi seluler</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</si>
  <si>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</si>
  <si>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</si>
  <si>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</si>
  <si>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</si>
  <si>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</si>
  <si>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</si>
  <si>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 1
</t>
    </r>
    <r>
      <rPr>
        <rFont val="Arial MT"/>
        <color rgb="FF485056"/>
        <sz val="10.0"/>
      </rPr>
      <t>Meningkatnya cakupan dan kualitas layanan broadband di wilayah komersial</t>
    </r>
  </si>
  <si>
    <r>
      <rPr>
        <rFont val="Arial MT"/>
        <color rgb="FF485056"/>
        <sz val="10.0"/>
      </rPr>
      <t>Persentase (%) kecamatan yang terjangkau infrastruktur jaringan serat optik broadband (kumulatif)</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</si>
  <si>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</si>
  <si>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</si>
  <si>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</si>
  <si>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</si>
  <si>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</si>
  <si>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</si>
  <si>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 1
</t>
    </r>
    <r>
      <rPr>
        <rFont val="Arial MT"/>
        <color rgb="FF485056"/>
        <sz val="10.0"/>
      </rPr>
      <t>Meningkatnya cakupan dan kualitas layanan broadband di wilayah komersial</t>
    </r>
  </si>
  <si>
    <r>
      <rPr>
        <rFont val="Arial MT"/>
        <color rgb="FF485056"/>
        <sz val="10.0"/>
      </rPr>
      <t>Persentase (%) rumah tangga terlayani jaringan internet akses fixed broadband terhadap total rumah tangga (kumulatif)</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</si>
  <si>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</si>
  <si>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</si>
  <si>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</si>
  <si>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</si>
  <si>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</si>
  <si>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</si>
  <si>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 1
</t>
    </r>
    <r>
      <rPr>
        <rFont val="Arial MT"/>
        <color rgb="FF485056"/>
        <sz val="10.0"/>
      </rPr>
      <t>Meningkatnya cakupan dan kualitas layanan broadband di wilayah komersial</t>
    </r>
  </si>
  <si>
    <r>
      <rPr>
        <rFont val="Arial MT"/>
        <color rgb="FF485056"/>
        <sz val="10.0"/>
      </rPr>
      <t>Rata-rata kecepatan internet mobile broadband di wilayah Indonesia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</si>
  <si>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</si>
  <si>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</si>
  <si>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</si>
  <si>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</si>
  <si>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31.73 Mbps</t>
    </r>
  </si>
  <si>
    <r>
      <rPr>
        <rFont val="Arial MT"/>
        <color rgb="FF485056"/>
        <sz val="10.0"/>
      </rPr>
      <t>34.04 Mbps</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</si>
  <si>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</si>
  <si>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</si>
  <si>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 1
</t>
    </r>
    <r>
      <rPr>
        <rFont val="Arial MT"/>
        <color rgb="FF485056"/>
        <sz val="10.0"/>
      </rPr>
      <t>Meningkatnya cakupan dan kualitas layanan broadband di wilayah komersial</t>
    </r>
  </si>
  <si>
    <r>
      <rPr>
        <rFont val="Arial MT"/>
        <color rgb="FF485056"/>
        <sz val="10.0"/>
      </rPr>
      <t>Rata-rata kecepatan internet fixed broadband di wilayah Indonesia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</si>
  <si>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</si>
  <si>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</si>
  <si>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</si>
  <si>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</si>
  <si>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25.00 Mbps</t>
    </r>
  </si>
  <si>
    <r>
      <rPr>
        <rFont val="Arial MT"/>
        <color rgb="FF485056"/>
        <sz val="10.0"/>
      </rPr>
      <t>46.76 Mbps</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</si>
  <si>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</si>
  <si>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</si>
  <si>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 1
</t>
    </r>
    <r>
      <rPr>
        <rFont val="Arial MT"/>
        <color rgb="FF485056"/>
        <sz val="10.0"/>
      </rPr>
      <t>Meningkatnya cakupan dan kualitas layanan broadband di wilayah komersial</t>
    </r>
  </si>
  <si>
    <r>
      <rPr>
        <rFont val="Arial MT"/>
        <color rgb="FF485056"/>
        <sz val="10.0"/>
      </rPr>
      <t>Persentase (%) tindak lanjut hasil pengawasan terhadap QoS, QoE, dan aduan masyarakat</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</si>
  <si>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</si>
  <si>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</si>
  <si>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</si>
  <si>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</si>
  <si>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</si>
  <si>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</si>
  <si>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 5
</t>
    </r>
    <r>
      <rPr>
        <rFont val="Arial MT"/>
        <color rgb="FF485056"/>
        <sz val="10.0"/>
      </rPr>
      <t>Terwujudnya p engembangan high-speed mobile broadband</t>
    </r>
  </si>
  <si>
    <r>
      <rPr>
        <rFont val="Arial MT"/>
        <color rgb="FF485056"/>
        <sz val="10.0"/>
      </rPr>
      <t>Jumlah penambahan lokasi yang terlayani jaringan 5G pada tahap awal implementasi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</si>
  <si>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</si>
  <si>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</si>
  <si>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</si>
  <si>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</si>
  <si>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2.00 lokasi</t>
    </r>
  </si>
  <si>
    <r>
      <rPr>
        <rFont val="Arial MT"/>
        <color rgb="FF485056"/>
        <sz val="10.0"/>
      </rPr>
      <t>2 lokasi</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</si>
  <si>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</si>
  <si>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</si>
  <si>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SP.1
</t>
    </r>
    <r>
      <rPr>
        <rFont val="Arial MT"/>
        <color rgb="FF485056"/>
        <sz val="10.0"/>
      </rPr>
      <t>Meningkatnya Cakupan dan Kualitas Layanan Broadband di Wilayah Non Komersial</t>
    </r>
  </si>
  <si>
    <r>
      <rPr>
        <rFont val="Arial MT"/>
        <color rgb="FF485056"/>
        <sz val="10.0"/>
      </rPr>
      <t>Jumlah Desa/Kelurahan Di Wilayah 3T yang Mendapatkan Akses Seluler 4G (kumulatif)</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</si>
  <si>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</si>
  <si>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</si>
  <si>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</si>
  <si>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</si>
  <si>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5,025.00 Desa
</t>
    </r>
    <r>
      <rPr>
        <rFont val="Arial MT"/>
        <color rgb="FF485056"/>
        <sz val="10.0"/>
      </rPr>
      <t>/Kelurahan</t>
    </r>
  </si>
  <si>
    <r>
      <rPr>
        <rFont val="Arial MT"/>
        <color rgb="FF485056"/>
        <sz val="10.0"/>
      </rPr>
      <t>6794 Desa/Kel urahan</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</si>
  <si>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</si>
  <si>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</si>
  <si>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SP.1
</t>
    </r>
    <r>
      <rPr>
        <rFont val="Arial MT"/>
        <color rgb="FF485056"/>
        <sz val="10.0"/>
      </rPr>
      <t>Meningkatnya Cakupan dan Kualitas Layanan Broadband di Wilayah Non Komersial</t>
    </r>
  </si>
  <si>
    <r>
      <rPr>
        <rFont val="Arial MT"/>
        <color rgb="FF485056"/>
        <sz val="10.0"/>
      </rPr>
      <t>Jumlah Lokasi Baru Penyediaan Akses Internet di Wilayah Tertinggal, Terdepan, Terluar, Kawasan Prioritas, dan Lokasi Layanan Publik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</si>
  <si>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</si>
  <si>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</si>
  <si>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</si>
  <si>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</si>
  <si>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30.00 Lokasi</t>
    </r>
  </si>
  <si>
    <r>
      <rPr>
        <rFont val="Arial MT"/>
        <color rgb="FF485056"/>
        <sz val="10.0"/>
      </rPr>
      <t>17125 Lokasi</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</si>
  <si>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</si>
  <si>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</si>
  <si>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SP.1
</t>
    </r>
    <r>
      <rPr>
        <rFont val="Arial MT"/>
        <color rgb="FF485056"/>
        <sz val="10.0"/>
      </rPr>
      <t>Meningkatnya Cakupan dan Kualitas Layanan Broadband di Wilayah Non Komersial</t>
    </r>
  </si>
  <si>
    <r>
      <rPr>
        <rFont val="Arial MT"/>
        <color rgb="FF485056"/>
        <sz val="10.0"/>
      </rPr>
      <t>Jumlah Lokasi Eksisting Akses Internet Broadband Termasuk 3T (Tertinggal, Terdepan, Terluar) di Kawasan Prioritas yang Beroperasi (kumulatif)</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</si>
  <si>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</si>
  <si>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</si>
  <si>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</si>
  <si>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</si>
  <si>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18,541.00
</t>
    </r>
    <r>
      <rPr>
        <rFont val="Arial MT"/>
        <color rgb="FF485056"/>
        <sz val="10.0"/>
      </rPr>
      <t>Lokasi</t>
    </r>
  </si>
  <si>
    <r>
      <rPr>
        <rFont val="Arial MT"/>
        <color rgb="FF485056"/>
        <sz val="10.0"/>
      </rPr>
      <t>17775 Lokasi</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</si>
  <si>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</si>
  <si>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</si>
  <si>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SP.1
</t>
    </r>
    <r>
      <rPr>
        <rFont val="Arial MT"/>
        <color rgb="FF485056"/>
        <sz val="10.0"/>
      </rPr>
      <t>Meningkatnya Cakupan dan Kualitas Layanan Broadband di Wilayah Non Komersial</t>
    </r>
  </si>
  <si>
    <r>
      <rPr>
        <rFont val="Arial MT"/>
        <color rgb="FF485056"/>
        <sz val="10.0"/>
      </rPr>
      <t xml:space="preserve">Persentase (%) Pemanfaatan Kapasitas Palapa Ring (Fiber Optic Aktif) dengan Service Level Agreement (SLA) minimal 95% :
</t>
    </r>
    <r>
      <rPr>
        <rFont val="Arial MT"/>
        <color rgb="FF485056"/>
        <sz val="10.0"/>
      </rPr>
      <t xml:space="preserve">a. Paket Barat
</t>
    </r>
    <r>
      <rPr>
        <rFont val="Arial MT"/>
        <color rgb="FF485056"/>
        <sz val="10.0"/>
      </rPr>
      <t xml:space="preserve">b. Paket Tengah
</t>
    </r>
    <r>
      <rPr>
        <rFont val="Arial MT"/>
        <color rgb="FF485056"/>
        <sz val="10.0"/>
      </rPr>
      <t>c. Paket Timur</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</si>
  <si>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</si>
  <si>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</si>
  <si>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</si>
  <si>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</si>
  <si>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</si>
  <si>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</si>
  <si>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SP.1
</t>
    </r>
    <r>
      <rPr>
        <rFont val="Arial MT"/>
        <color rgb="FF485056"/>
        <sz val="10.0"/>
      </rPr>
      <t>Meningkatnya Cakupan dan Kualitas Layanan Broadband di Wilayah Non Komersial</t>
    </r>
  </si>
  <si>
    <r>
      <rPr>
        <rFont val="Arial MT"/>
        <color rgb="FF485056"/>
        <sz val="10.0"/>
      </rPr>
      <t>Jumlah Kapasitas Satelit yang disewa (Leased Capacity)</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</si>
  <si>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</si>
  <si>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</si>
  <si>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</si>
  <si>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</si>
  <si>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19.00 Gbps</t>
    </r>
  </si>
  <si>
    <r>
      <rPr>
        <rFont val="Arial MT"/>
        <color rgb="FF485056"/>
        <sz val="10.0"/>
      </rPr>
      <t>29.71 Gbps</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</si>
  <si>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</si>
  <si>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</si>
  <si>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SP.1
</t>
    </r>
    <r>
      <rPr>
        <rFont val="Arial MT"/>
        <color rgb="FF485056"/>
        <sz val="10.0"/>
      </rPr>
      <t>Meningkatnya Cakupan dan Kualitas Layanan Broadband di Wilayah Non Komersial</t>
    </r>
  </si>
  <si>
    <r>
      <rPr>
        <rFont val="Arial MT"/>
        <color rgb="FF485056"/>
        <sz val="10.0"/>
      </rPr>
      <t xml:space="preserve">Jumlah Kapasitas Satelit Multifungsi (SATRIA I) di
</t>
    </r>
    <r>
      <rPr>
        <rFont val="Arial MT"/>
        <color rgb="FF485056"/>
        <sz val="10.0"/>
      </rPr>
      <t>Terestrial melalui Ground Segment/IP Hub (kumulatif)</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</si>
  <si>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</si>
  <si>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</si>
  <si>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</si>
  <si>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</si>
  <si>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10.00 Gbps</t>
    </r>
  </si>
  <si>
    <r>
      <rPr>
        <rFont val="Arial MT"/>
        <color rgb="FF485056"/>
        <sz val="10.0"/>
      </rPr>
      <t>150 Gbps</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</si>
  <si>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</si>
  <si>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</si>
  <si>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SP.1
</t>
    </r>
    <r>
      <rPr>
        <rFont val="Arial MT"/>
        <color rgb="FF485056"/>
        <sz val="10.0"/>
      </rPr>
      <t>Meningkatnya Cakupan dan Kualitas Layanan Broadband di Wilayah Non Komersial</t>
    </r>
  </si>
  <si>
    <r>
      <rPr>
        <rFont val="Arial MT"/>
        <color rgb="FF485056"/>
        <sz val="10.0"/>
      </rPr>
      <t>Jumlah Solusi Ekosistem Dalam Rangka Peningkatan Produktivitas Masyarakat melalui Pemanfaatan Infrastruktur dan Penguatan Ekosistem di WPUTI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</si>
  <si>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</si>
  <si>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</si>
  <si>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</si>
  <si>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</si>
  <si>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15.00 Solusi</t>
    </r>
  </si>
  <si>
    <r>
      <rPr>
        <rFont val="Arial MT"/>
        <color rgb="FF485056"/>
        <sz val="10.0"/>
      </rPr>
      <t>21 Solusi</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</si>
  <si>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</si>
  <si>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</si>
  <si>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SP.1
</t>
    </r>
    <r>
      <rPr>
        <rFont val="Arial MT"/>
        <color rgb="FF485056"/>
        <sz val="10.0"/>
      </rPr>
      <t>Meningkatnya Cakupan dan Kualitas Layanan Broadband di Wilayah Non Komersial</t>
    </r>
  </si>
  <si>
    <r>
      <rPr>
        <rFont val="Arial MT"/>
        <color rgb="FF485056"/>
        <sz val="10.0"/>
      </rPr>
      <t>Persentase (%) Implementasi Platform untuk Mendukung Program Pemerintah</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</si>
  <si>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</si>
  <si>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</si>
  <si>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</si>
  <si>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</si>
  <si>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SS.01 Meni ngkatnya Cakupan dan Kualitas Jaringan Pita Lebar yang Cepat dan Terjangkau</t>
    </r>
  </si>
  <si>
    <r>
      <rPr>
        <rFont val="Arial MT"/>
        <color rgb="FF485056"/>
        <sz val="10.0"/>
      </rPr>
      <t>Iya</t>
    </r>
  </si>
  <si>
    <r>
      <rPr>
        <rFont val="Arial MT"/>
        <color rgb="FF485056"/>
        <sz val="10.0"/>
      </rPr>
      <t xml:space="preserve">SP.1
</t>
    </r>
    <r>
      <rPr>
        <rFont val="Arial MT"/>
        <color rgb="FF485056"/>
        <sz val="10.0"/>
      </rPr>
      <t>Meningkatnya Cakupan dan Kualitas Layanan Broadband di Wilayah Non Komersial</t>
    </r>
  </si>
  <si>
    <r>
      <rPr>
        <rFont val="Arial MT"/>
        <color rgb="FF485056"/>
        <sz val="10.0"/>
      </rPr>
      <t>Persentase (%) Lokasi BTS dan Akses Internet yang Memasuki Tahap Kemandirian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</si>
  <si>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</si>
  <si>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</si>
  <si>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</si>
  <si>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</si>
  <si>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SS.02 Meni ngkatnya P emanfaatan dan Kualitas Pe ngelolaan Sumber Daya Spektrum Frekuensi Radio serta Pengemban gan Ekosistem Industri TIK</t>
    </r>
  </si>
  <si>
    <r>
      <rPr>
        <rFont val="Arial MT"/>
        <color rgb="FF485056"/>
        <sz val="10.0"/>
      </rPr>
      <t>Iya</t>
    </r>
  </si>
  <si>
    <r>
      <rPr>
        <rFont val="Arial MT"/>
        <color rgb="FF485056"/>
        <sz val="10.0"/>
      </rPr>
      <t xml:space="preserve">SP1
</t>
    </r>
    <r>
      <rPr>
        <rFont val="Arial MT"/>
        <color rgb="FF485056"/>
        <sz val="10.0"/>
      </rPr>
      <t>Terwujudnya Optimalisasi Pemanfataan Spektrum Frekuensi Radio</t>
    </r>
  </si>
  <si>
    <r>
      <rPr>
        <rFont val="Arial MT"/>
        <color rgb="FF485056"/>
        <sz val="10.0"/>
      </rPr>
      <t>Persentase (%) Pemanfaatan Pita Frekuensi Radio untuk Layanan Broadband</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</si>
  <si>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</si>
  <si>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</si>
  <si>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</si>
  <si>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</si>
  <si>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SS.02 Meni ngkatnya P emanfaatan dan Kualitas Pe ngelolaan Sumber Daya Spektrum Frekuensi Radio serta Pengemban gan Ekosistem Industri TIK</t>
    </r>
  </si>
  <si>
    <r>
      <rPr>
        <rFont val="Arial MT"/>
        <color rgb="FF485056"/>
        <sz val="10.0"/>
      </rPr>
      <t>Iya</t>
    </r>
  </si>
  <si>
    <r>
      <rPr>
        <rFont val="Arial MT"/>
        <color rgb="FF485056"/>
        <sz val="10.0"/>
      </rPr>
      <t xml:space="preserve">SP1
</t>
    </r>
    <r>
      <rPr>
        <rFont val="Arial MT"/>
        <color rgb="FF485056"/>
        <sz val="10.0"/>
      </rPr>
      <t>Terwujudnya Optimalisasi Pemanfataan Spektrum Frekuensi Radio</t>
    </r>
  </si>
  <si>
    <r>
      <rPr>
        <rFont val="Arial MT"/>
        <color rgb="FF485056"/>
        <sz val="10.0"/>
      </rPr>
      <t>Persentase (%) Optimalisasi dan Penyediaan Spektrum Frekuensi Radio Untuk Public Service dan Pemerintah</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</si>
  <si>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</si>
  <si>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</si>
  <si>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</si>
  <si>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</si>
  <si>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SS.02 Meni ngkatnya P emanfaatan dan Kualitas Pe ngelolaan Sumber Daya Spektrum Frekuensi Radio serta Pengemban gan Ekosistem Industri TIK</t>
    </r>
  </si>
  <si>
    <r>
      <rPr>
        <rFont val="Arial MT"/>
        <color rgb="FF485056"/>
        <sz val="10.0"/>
      </rPr>
      <t>Iya</t>
    </r>
  </si>
  <si>
    <r>
      <rPr>
        <rFont val="Arial MT"/>
        <color rgb="FF485056"/>
        <sz val="10.0"/>
      </rPr>
      <t>SP2 Pengemb angan Infrastruktur Manajemen Spektrum Frekuensi Radio untuk Peningkatan Kualitas Pelayanan Publik</t>
    </r>
  </si>
  <si>
    <r>
      <rPr>
        <rFont val="Arial MT"/>
        <color rgb="FF485056"/>
        <sz val="10.0"/>
      </rPr>
      <t>Persentase (%) Penanganan Gangguan Spektrum yang Mengganggu Komunikasi terkait Keselamatan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</si>
  <si>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</si>
  <si>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</si>
  <si>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</si>
  <si>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</si>
  <si>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SS.02 Meni ngkatnya P emanfaatan dan Kualitas Pe ngelolaan Sumber Daya Spektrum Frekuensi Radio serta Pengemban gan Ekosistem Industri TIK</t>
    </r>
  </si>
  <si>
    <r>
      <rPr>
        <rFont val="Arial MT"/>
        <color rgb="FF485056"/>
        <sz val="10.0"/>
      </rPr>
      <t>Iya</t>
    </r>
  </si>
  <si>
    <r>
      <rPr>
        <rFont val="Arial MT"/>
        <color rgb="FF485056"/>
        <sz val="10.0"/>
      </rPr>
      <t>SP2 Pengemb angan Infrastruktur Manajemen Spektrum Frekuensi Radio untuk Peningkatan Kualitas Pelayanan Publik</t>
    </r>
  </si>
  <si>
    <r>
      <rPr>
        <rFont val="Arial MT"/>
        <color rgb="FF485056"/>
        <sz val="10.0"/>
      </rPr>
      <t>Jumlah Penyediaan Perangkat untuk Pengembangan Infrastruktur Manajemen Spektrum Frekuensi Radio</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</si>
  <si>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</si>
  <si>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</si>
  <si>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</si>
  <si>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</si>
  <si>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28.00 Unit</t>
    </r>
  </si>
  <si>
    <r>
      <rPr>
        <rFont val="Arial MT"/>
        <color rgb="FF485056"/>
        <sz val="10.0"/>
      </rPr>
      <t>28 Unit</t>
    </r>
  </si>
  <si>
    <r>
      <rPr>
        <rFont val="Arial MT"/>
        <color rgb="FF485056"/>
        <sz val="10.0"/>
      </rPr>
      <t>SS.02 Meni ngkatnya P emanfaatan dan Kualitas Pe ngelolaan Sumber Daya Spektrum Frekuensi Radio serta Pengemban gan Ekosistem Industri TIK</t>
    </r>
  </si>
  <si>
    <r>
      <rPr>
        <rFont val="Arial MT"/>
        <color rgb="FF485056"/>
        <sz val="10.0"/>
      </rPr>
      <t>Iya</t>
    </r>
  </si>
  <si>
    <r>
      <rPr>
        <rFont val="Arial MT"/>
        <color rgb="FF485056"/>
        <sz val="10.0"/>
      </rPr>
      <t xml:space="preserve">SP3
</t>
    </r>
    <r>
      <rPr>
        <rFont val="Arial MT"/>
        <color rgb="FF485056"/>
        <sz val="10.0"/>
      </rPr>
      <t>Meningkatnya Pengembanga n Ekosistem Industri Perangkat TIK</t>
    </r>
  </si>
  <si>
    <r>
      <rPr>
        <rFont val="Arial MT"/>
        <color rgb="FF485056"/>
        <sz val="10.0"/>
      </rPr>
      <t>Persentase (%) Terselesaikannya Kebijakan terkait Standardisasi Alat dan Perangkat Telekomunikasi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</si>
  <si>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</si>
  <si>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</si>
  <si>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</si>
  <si>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</si>
  <si>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SS.02 Meni ngkatnya P emanfaatan dan Kualitas Pe ngelolaan Sumber Daya Spektrum Frekuensi Radio serta Pengemban gan Ekosistem Industri TIK</t>
    </r>
  </si>
  <si>
    <r>
      <rPr>
        <rFont val="Arial MT"/>
        <color rgb="FF485056"/>
        <sz val="10.0"/>
      </rPr>
      <t>Iya</t>
    </r>
  </si>
  <si>
    <r>
      <rPr>
        <rFont val="Arial MT"/>
        <color rgb="FF485056"/>
        <sz val="10.0"/>
      </rPr>
      <t xml:space="preserve">SP3
</t>
    </r>
    <r>
      <rPr>
        <rFont val="Arial MT"/>
        <color rgb="FF485056"/>
        <sz val="10.0"/>
      </rPr>
      <t>Meningkatnya Pengembanga n Ekosistem Industri Perangkat TIK</t>
    </r>
  </si>
  <si>
    <r>
      <rPr>
        <rFont val="Arial MT"/>
        <color rgb="FF485056"/>
        <sz val="10.0"/>
      </rPr>
      <t>Persentase (%) Pengembangan Laboratorium Pusat Pengujian Perangkat TIK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</si>
  <si>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</si>
  <si>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</si>
  <si>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</si>
  <si>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</si>
  <si>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SS.02 Meni ngkatnya P emanfaatan dan Kualitas Pe ngelolaan Sumber Daya Spektrum Frekuensi Radio serta Pengemban gan Ekosistem Industri TIK</t>
    </r>
  </si>
  <si>
    <r>
      <rPr>
        <rFont val="Arial MT"/>
        <color rgb="FF485056"/>
        <sz val="10.0"/>
      </rPr>
      <t>Iya</t>
    </r>
  </si>
  <si>
    <r>
      <rPr>
        <rFont val="Arial MT"/>
        <color rgb="FF485056"/>
        <sz val="10.0"/>
      </rPr>
      <t xml:space="preserve">SP4
</t>
    </r>
    <r>
      <rPr>
        <rFont val="Arial MT"/>
        <color rgb="FF485056"/>
        <sz val="10.0"/>
      </rPr>
      <t>Meningkatnya Kualitas Peny elenggaraan Layanan dan Pengelolaan PNBP</t>
    </r>
  </si>
  <si>
    <r>
      <rPr>
        <rFont val="Arial MT"/>
        <color rgb="FF485056"/>
        <sz val="10.0"/>
      </rPr>
      <t>Indeks Kepuasan Masyarakat terhadap Pelayanan Publik Bidang Frekuensi dan Perangkat Pos dan Informatika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</si>
  <si>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</si>
  <si>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</si>
  <si>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</si>
  <si>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</si>
  <si>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3.60 Nilai</t>
    </r>
  </si>
  <si>
    <r>
      <rPr>
        <rFont val="Arial MT"/>
        <color rgb="FF485056"/>
        <sz val="10.0"/>
      </rPr>
      <t>3.78 Nilai</t>
    </r>
  </si>
  <si>
    <r>
      <rPr>
        <rFont val="Arial MT"/>
        <color rgb="FF485056"/>
        <sz val="10.0"/>
      </rPr>
      <t>SS.02 Meni ngkatnya P emanfaatan dan Kualitas Pe ngelolaan Sumber Daya Spektrum Frekuensi Radio serta Pengemban gan Ekosistem Industri TIK</t>
    </r>
  </si>
  <si>
    <r>
      <rPr>
        <rFont val="Arial MT"/>
        <color rgb="FF485056"/>
        <sz val="10.0"/>
      </rPr>
      <t>Iya</t>
    </r>
  </si>
  <si>
    <r>
      <rPr>
        <rFont val="Arial MT"/>
        <color rgb="FF485056"/>
        <sz val="10.0"/>
      </rPr>
      <t xml:space="preserve">SP4
</t>
    </r>
    <r>
      <rPr>
        <rFont val="Arial MT"/>
        <color rgb="FF485056"/>
        <sz val="10.0"/>
      </rPr>
      <t>Meningkatnya Kualitas Peny elenggaraan Layanan dan Pengelolaan PNBP</t>
    </r>
  </si>
  <si>
    <r>
      <rPr>
        <rFont val="Arial MT"/>
        <color rgb="FF485056"/>
        <sz val="10.0"/>
      </rPr>
      <t>Indeks Integritas Pelayanan Publik Bidang Frekuensi dan Perangkat Pos dan Informatika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</si>
  <si>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</si>
  <si>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</si>
  <si>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</si>
  <si>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</si>
  <si>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8.50 Nilai</t>
    </r>
  </si>
  <si>
    <r>
      <rPr>
        <rFont val="Arial MT"/>
        <color rgb="FF485056"/>
        <sz val="10.0"/>
      </rPr>
      <t>8.85 Nilai</t>
    </r>
  </si>
  <si>
    <r>
      <rPr>
        <rFont val="Arial MT"/>
        <color rgb="FF485056"/>
        <sz val="10.0"/>
      </rPr>
      <t>SS.02 Meni ngkatnya P emanfaatan dan Kualitas Pe ngelolaan Sumber Daya Spektrum Frekuensi Radio serta Pengemban gan Ekosistem Industri TIK</t>
    </r>
  </si>
  <si>
    <r>
      <rPr>
        <rFont val="Arial MT"/>
        <color rgb="FF485056"/>
        <sz val="10.0"/>
      </rPr>
      <t>Iya</t>
    </r>
  </si>
  <si>
    <r>
      <rPr>
        <rFont val="Arial MT"/>
        <color rgb="FF485056"/>
        <sz val="10.0"/>
      </rPr>
      <t xml:space="preserve">SP 2
</t>
    </r>
    <r>
      <rPr>
        <rFont val="Arial MT"/>
        <color rgb="FF485056"/>
        <sz val="10.0"/>
      </rPr>
      <t>Meningkatnya cakupan wilayah yang terlayani penyiaran digital</t>
    </r>
  </si>
  <si>
    <r>
      <rPr>
        <rFont val="Arial MT"/>
        <color rgb="FF485056"/>
        <sz val="10.0"/>
      </rPr>
      <t>Persentase populasi yang terjangkau penyiaran TV digital (kumulatif)</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</si>
  <si>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</si>
  <si>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</si>
  <si>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</si>
  <si>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</si>
  <si>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SS.03 Meni ngkatnya Cakupan Wilayah yang Terlayani Penyiaran Digital</t>
    </r>
  </si>
  <si>
    <r>
      <rPr>
        <rFont val="Arial MT"/>
        <color rgb="FF485056"/>
        <sz val="10.0"/>
      </rPr>
      <t>Iya</t>
    </r>
  </si>
  <si>
    <r>
      <rPr>
        <rFont val="Arial MT"/>
        <color rgb="FF485056"/>
        <sz val="10.0"/>
      </rPr>
      <t xml:space="preserve">SP 2
</t>
    </r>
    <r>
      <rPr>
        <rFont val="Arial MT"/>
        <color rgb="FF485056"/>
        <sz val="10.0"/>
      </rPr>
      <t>Meningkatnya cakupan wilayah yang terlayani penyiaran digital</t>
    </r>
  </si>
  <si>
    <r>
      <rPr>
        <rFont val="Arial MT"/>
        <color rgb="FF485056"/>
        <sz val="10.0"/>
      </rPr>
      <t>Jumlah regulasi/kebijakan terkait penyiaran digital dan aturan pelaksanaannya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</si>
  <si>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</si>
  <si>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</si>
  <si>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</si>
  <si>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</si>
  <si>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8.00
</t>
    </r>
    <r>
      <rPr>
        <rFont val="Arial MT"/>
        <color rgb="FF485056"/>
        <sz val="10.0"/>
      </rPr>
      <t>rekomendasi kebijakan</t>
    </r>
  </si>
  <si>
    <r>
      <rPr>
        <rFont val="Arial MT"/>
        <color rgb="FF485056"/>
        <sz val="10.0"/>
      </rPr>
      <t>8 rekomendasi kebijakan</t>
    </r>
  </si>
  <si>
    <r>
      <rPr>
        <rFont val="Arial MT"/>
        <color rgb="FF485056"/>
        <sz val="10.0"/>
      </rPr>
      <t>SS.03 Meni ngkatnya Cakupan Wilayah yang Terlayani Penyiaran Digital</t>
    </r>
  </si>
  <si>
    <r>
      <rPr>
        <rFont val="Arial MT"/>
        <color rgb="FF485056"/>
        <sz val="10.0"/>
      </rPr>
      <t>Iya</t>
    </r>
  </si>
  <si>
    <r>
      <rPr>
        <rFont val="Arial MT"/>
        <color rgb="FF485056"/>
        <sz val="10.0"/>
      </rPr>
      <t xml:space="preserve">SP 3
</t>
    </r>
    <r>
      <rPr>
        <rFont val="Arial MT"/>
        <color rgb="FF485056"/>
        <sz val="10.0"/>
      </rPr>
      <t>Meningkatnya cakupan dan kualitas layanan pos</t>
    </r>
  </si>
  <si>
    <r>
      <rPr>
        <rFont val="Arial MT"/>
        <color rgb="FF485056"/>
        <sz val="10.0"/>
      </rPr>
      <t>Persentase (%) peningkatan jumlah penyelenggara pos (nasional) yang menerapkan teknologi manajemen logistik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</si>
  <si>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</si>
  <si>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</si>
  <si>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</si>
  <si>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</si>
  <si>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SS.03 Meni ngkatnya Cakupan Wilayah yang Terlayani Penyiaran Digital</t>
    </r>
  </si>
  <si>
    <r>
      <rPr>
        <rFont val="Arial MT"/>
        <color rgb="FF485056"/>
        <sz val="10.0"/>
      </rPr>
      <t>Iya</t>
    </r>
  </si>
  <si>
    <r>
      <rPr>
        <rFont val="Arial MT"/>
        <color rgb="FF485056"/>
        <sz val="10.0"/>
      </rPr>
      <t xml:space="preserve">SP 3
</t>
    </r>
    <r>
      <rPr>
        <rFont val="Arial MT"/>
        <color rgb="FF485056"/>
        <sz val="10.0"/>
      </rPr>
      <t>Meningkatnya cakupan dan kualitas layanan pos</t>
    </r>
  </si>
  <si>
    <r>
      <rPr>
        <rFont val="Arial MT"/>
        <color rgb="FF485056"/>
        <sz val="10.0"/>
      </rPr>
      <t>Jumlah rekomendasi kebijakan terkait penyelenggaraan pos di IKN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</si>
  <si>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</si>
  <si>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</si>
  <si>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</si>
  <si>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</si>
  <si>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1.00
</t>
    </r>
    <r>
      <rPr>
        <rFont val="Arial MT"/>
        <color rgb="FF485056"/>
        <sz val="10.0"/>
      </rPr>
      <t>rekomendasi kebijakan</t>
    </r>
  </si>
  <si>
    <r>
      <rPr>
        <rFont val="Arial MT"/>
        <color rgb="FF485056"/>
        <sz val="10.0"/>
      </rPr>
      <t>1 rekomendasi kebijakan</t>
    </r>
  </si>
  <si>
    <r>
      <rPr>
        <rFont val="Arial MT"/>
        <color rgb="FF485056"/>
        <sz val="10.0"/>
      </rPr>
      <t>SS.03 Meni ngkatnya Cakupan Wilayah yang Terlayani Penyiaran Digital</t>
    </r>
  </si>
  <si>
    <r>
      <rPr>
        <rFont val="Arial MT"/>
        <color rgb="FF485056"/>
        <sz val="10.0"/>
      </rPr>
      <t>Iya</t>
    </r>
  </si>
  <si>
    <r>
      <rPr>
        <rFont val="Arial MT"/>
        <color rgb="FF485056"/>
        <sz val="10.0"/>
      </rPr>
      <t xml:space="preserve">SP 4
</t>
    </r>
    <r>
      <rPr>
        <rFont val="Arial MT"/>
        <color rgb="FF485056"/>
        <sz val="10.0"/>
      </rPr>
      <t>Terwujudnya digitalisasi pemerintahan pusat dan daerah</t>
    </r>
  </si>
  <si>
    <r>
      <rPr>
        <rFont val="Arial MT"/>
        <color rgb="FF485056"/>
        <sz val="10.0"/>
      </rPr>
      <t>Persentase (%) jumlah kab/kota yang mengimple mentasikan sistem informasi kedaruratan dan kebencanaan (kumulatif)</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</si>
  <si>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</si>
  <si>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</si>
  <si>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</si>
  <si>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</si>
  <si>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SS.03 Meni ngkatnya Cakupan Wilayah yang Terlayani Penyiaran Digital</t>
    </r>
  </si>
  <si>
    <r>
      <rPr>
        <rFont val="Arial MT"/>
        <color rgb="FF485056"/>
        <sz val="10.0"/>
      </rPr>
      <t>Iya</t>
    </r>
  </si>
  <si>
    <r>
      <rPr>
        <rFont val="Arial MT"/>
        <color rgb="FF485056"/>
        <sz val="10.0"/>
      </rPr>
      <t xml:space="preserve">SP 4
</t>
    </r>
    <r>
      <rPr>
        <rFont val="Arial MT"/>
        <color rgb="FF485056"/>
        <sz val="10.0"/>
      </rPr>
      <t>Terwujudnya digitalisasi pemerintahan pusat dan daerah</t>
    </r>
  </si>
  <si>
    <r>
      <rPr>
        <rFont val="Arial MT"/>
        <color rgb="FF485056"/>
        <sz val="10.0"/>
      </rPr>
      <t>Jumlah regulasi/kebijakan terkait penerapan sistem komunikasi nasional untuk Pelindungan Masyarakat dan Penanggulangan Bencana (PPDR)</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</si>
  <si>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</si>
  <si>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</si>
  <si>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</si>
  <si>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</si>
  <si>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 RPM</t>
    </r>
  </si>
  <si>
    <r>
      <rPr>
        <rFont val="Arial MT"/>
        <color rgb="FF485056"/>
        <sz val="10.0"/>
      </rPr>
      <t>1 RPM</t>
    </r>
  </si>
  <si>
    <r>
      <rPr>
        <rFont val="Arial MT"/>
        <color rgb="FF485056"/>
        <sz val="10.0"/>
      </rPr>
      <t>SS.03 Meni ngkatnya Cakupan Wilayah yang Terlayani Penyiaran Digital</t>
    </r>
  </si>
  <si>
    <r>
      <rPr>
        <rFont val="Arial MT"/>
        <color rgb="FF485056"/>
        <sz val="10.0"/>
      </rPr>
      <t>Iya</t>
    </r>
  </si>
  <si>
    <r>
      <rPr>
        <rFont val="Arial MT"/>
        <color rgb="FF485056"/>
        <sz val="10.0"/>
      </rPr>
      <t xml:space="preserve">SP 6
</t>
    </r>
    <r>
      <rPr>
        <rFont val="Arial MT"/>
        <color rgb="FF485056"/>
        <sz val="10.0"/>
      </rPr>
      <t>Meningkatnya kualitas penye lenggaraan layanan dan pengelolaan PNBP</t>
    </r>
  </si>
  <si>
    <r>
      <rPr>
        <rFont val="Arial MT"/>
        <color rgb="FF485056"/>
        <sz val="10.0"/>
      </rPr>
      <t>Indeks Minimum Kepuasan Masyarakat terhadap pelayanan publik bidang pos, telekomunikasi, dan penyiaran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</si>
  <si>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</si>
  <si>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</si>
  <si>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</si>
  <si>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</si>
  <si>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3.50 indeks</t>
    </r>
  </si>
  <si>
    <r>
      <rPr>
        <rFont val="Arial MT"/>
        <color rgb="FF485056"/>
        <sz val="10.0"/>
      </rPr>
      <t>3.8 indeks</t>
    </r>
  </si>
  <si>
    <r>
      <rPr>
        <rFont val="Arial MT"/>
        <color rgb="FF485056"/>
        <sz val="10.0"/>
      </rPr>
      <t>SS.03 Meni ngkatnya Cakupan Wilayah yang Terlayani Penyiaran Digital</t>
    </r>
  </si>
  <si>
    <r>
      <rPr>
        <rFont val="Arial MT"/>
        <color rgb="FF485056"/>
        <sz val="10.0"/>
      </rPr>
      <t>Iya</t>
    </r>
  </si>
  <si>
    <r>
      <rPr>
        <rFont val="Arial MT"/>
        <color rgb="FF485056"/>
        <sz val="10.0"/>
      </rPr>
      <t xml:space="preserve">SP 6
</t>
    </r>
    <r>
      <rPr>
        <rFont val="Arial MT"/>
        <color rgb="FF485056"/>
        <sz val="10.0"/>
      </rPr>
      <t>Meningkatnya kualitas penye lenggaraan layanan dan pengelolaan PNBP</t>
    </r>
  </si>
  <si>
    <r>
      <rPr>
        <rFont val="Arial MT"/>
        <color rgb="FF485056"/>
        <sz val="10.0"/>
      </rPr>
      <t>Indeks minimum Integritas Pelayanan Publik bidang pos, telekomunikasi, dan penyiaran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</si>
  <si>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</si>
  <si>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</si>
  <si>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</si>
  <si>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</si>
  <si>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8.50 indeks</t>
    </r>
  </si>
  <si>
    <r>
      <rPr>
        <rFont val="Arial MT"/>
        <color rgb="FF485056"/>
        <sz val="10.0"/>
      </rPr>
      <t>9.39 indeks</t>
    </r>
  </si>
  <si>
    <r>
      <rPr>
        <rFont val="Arial MT"/>
        <color rgb="FF485056"/>
        <sz val="10.0"/>
      </rPr>
      <t>SS.04 Meni ngkatnya Kompetensi dan Kemam puan SDM Nasional Bidang TIK</t>
    </r>
  </si>
  <si>
    <r>
      <rPr>
        <rFont val="Arial MT"/>
        <color rgb="FF485056"/>
        <sz val="10.0"/>
      </rPr>
      <t>Iya</t>
    </r>
  </si>
  <si>
    <r>
      <rPr>
        <rFont val="Arial MT"/>
        <color rgb="FF485056"/>
        <sz val="10.0"/>
      </rPr>
      <t xml:space="preserve">SP 3
</t>
    </r>
    <r>
      <rPr>
        <rFont val="Arial MT"/>
        <color rgb="FF485056"/>
        <sz val="10.0"/>
      </rPr>
      <t>Meningkatnya Pengembanga n Ekosistem Ekonomi Digital</t>
    </r>
  </si>
  <si>
    <r>
      <rPr>
        <rFont val="Arial MT"/>
        <color rgb="FF485056"/>
        <sz val="10.0"/>
      </rPr>
      <t>Persentase (%) Kawasan Prioritas yang difasilitasi untuk adopsi teknologi digital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</si>
  <si>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</si>
  <si>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</si>
  <si>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</si>
  <si>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</si>
  <si>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SS.04 Meni ngkatnya Kompetensi dan Kemam puan SDM Nasional Bidang TIK</t>
    </r>
  </si>
  <si>
    <r>
      <rPr>
        <rFont val="Arial MT"/>
        <color rgb="FF485056"/>
        <sz val="10.0"/>
      </rPr>
      <t>Iya</t>
    </r>
  </si>
  <si>
    <r>
      <rPr>
        <rFont val="Arial MT"/>
        <color rgb="FF485056"/>
        <sz val="10.0"/>
      </rPr>
      <t xml:space="preserve">SP 3
</t>
    </r>
    <r>
      <rPr>
        <rFont val="Arial MT"/>
        <color rgb="FF485056"/>
        <sz val="10.0"/>
      </rPr>
      <t>Meningkatnya Pengembanga n Ekosistem Ekonomi Digital</t>
    </r>
  </si>
  <si>
    <r>
      <rPr>
        <rFont val="Arial MT"/>
        <color rgb="FF485056"/>
        <sz val="10.0"/>
      </rPr>
      <t>Persentase (%) UMKM yang Level Up Berdasarkan Adopsi Teknologi Digital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</si>
  <si>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</si>
  <si>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</si>
  <si>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</si>
  <si>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</si>
  <si>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SS.04 Meni ngkatnya Kompetensi dan Kemam puan SDM Nasional Bidang TIK</t>
    </r>
  </si>
  <si>
    <r>
      <rPr>
        <rFont val="Arial MT"/>
        <color rgb="FF485056"/>
        <sz val="10.0"/>
      </rPr>
      <t>Iya</t>
    </r>
  </si>
  <si>
    <r>
      <rPr>
        <rFont val="Arial MT"/>
        <color rgb="FF485056"/>
        <sz val="10.0"/>
      </rPr>
      <t xml:space="preserve">SP 3
</t>
    </r>
    <r>
      <rPr>
        <rFont val="Arial MT"/>
        <color rgb="FF485056"/>
        <sz val="10.0"/>
      </rPr>
      <t>Meningkatnya Pengembanga n Ekosistem Ekonomi Digital</t>
    </r>
  </si>
  <si>
    <r>
      <rPr>
        <rFont val="Arial MT"/>
        <color rgb="FF485056"/>
        <sz val="10.0"/>
      </rPr>
      <t>Persentase (%) UMKM Produsen (Sektor Pengolahan) yang Active Selling</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</si>
  <si>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</si>
  <si>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</si>
  <si>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</si>
  <si>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</si>
  <si>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SS.04 Meni ngkatnya Kompetensi dan Kemam puan SDM Nasional Bidang TIK</t>
    </r>
  </si>
  <si>
    <r>
      <rPr>
        <rFont val="Arial MT"/>
        <color rgb="FF485056"/>
        <sz val="10.0"/>
      </rPr>
      <t>Iya</t>
    </r>
  </si>
  <si>
    <r>
      <rPr>
        <rFont val="Arial MT"/>
        <color rgb="FF485056"/>
        <sz val="10.0"/>
      </rPr>
      <t xml:space="preserve">SP 3
</t>
    </r>
    <r>
      <rPr>
        <rFont val="Arial MT"/>
        <color rgb="FF485056"/>
        <sz val="10.0"/>
      </rPr>
      <t>Meningkatnya Pengembanga n Ekosistem Ekonomi Digital</t>
    </r>
  </si>
  <si>
    <r>
      <rPr>
        <rFont val="Arial MT"/>
        <color rgb="FF485056"/>
        <sz val="10.0"/>
      </rPr>
      <t>Persentase (%) Rata-rata Startup Digital yang Berkembang</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</si>
  <si>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</si>
  <si>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</si>
  <si>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</si>
  <si>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</si>
  <si>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SS.04 Meni ngkatnya Kompetensi dan Kemam puan SDM Nasional Bidang TIK</t>
    </r>
  </si>
  <si>
    <r>
      <rPr>
        <rFont val="Arial MT"/>
        <color rgb="FF485056"/>
        <sz val="10.0"/>
      </rPr>
      <t>Iya</t>
    </r>
  </si>
  <si>
    <r>
      <rPr>
        <rFont val="Arial MT"/>
        <color rgb="FF485056"/>
        <sz val="10.0"/>
      </rPr>
      <t xml:space="preserve">SP 3
</t>
    </r>
    <r>
      <rPr>
        <rFont val="Arial MT"/>
        <color rgb="FF485056"/>
        <sz val="10.0"/>
      </rPr>
      <t>Meningkatnya Pengembanga n Ekosistem Ekonomi Digital</t>
    </r>
  </si>
  <si>
    <r>
      <rPr>
        <rFont val="Arial MT"/>
        <color rgb="FF485056"/>
        <sz val="10.0"/>
      </rPr>
      <t xml:space="preserve">Persentase (%) Tingkat Adopsi Teknologi Digital di Sektor Strategis
</t>
    </r>
    <r>
      <rPr>
        <rFont val="Arial MT"/>
        <color rgb="FF485056"/>
        <sz val="10.0"/>
      </rPr>
      <t xml:space="preserve">a. Pertanian
</t>
    </r>
    <r>
      <rPr>
        <rFont val="Arial MT"/>
        <color rgb="FF485056"/>
        <sz val="10.0"/>
      </rPr>
      <t xml:space="preserve">b. Pariwisata
</t>
    </r>
    <r>
      <rPr>
        <rFont val="Arial MT"/>
        <color rgb="FF485056"/>
        <sz val="10.0"/>
      </rPr>
      <t xml:space="preserve">c. Logistik
</t>
    </r>
    <r>
      <rPr>
        <rFont val="Arial MT"/>
        <color rgb="FF485056"/>
        <sz val="10.0"/>
      </rPr>
      <t xml:space="preserve">d. Maritim
</t>
    </r>
    <r>
      <rPr>
        <rFont val="Arial MT"/>
        <color rgb="FF485056"/>
        <sz val="10.0"/>
      </rPr>
      <t xml:space="preserve">e. Pendidikan
</t>
    </r>
    <r>
      <rPr>
        <rFont val="Arial MT"/>
        <color rgb="FF485056"/>
        <sz val="10.0"/>
      </rPr>
      <t>f. Kesehatan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</si>
  <si>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</si>
  <si>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</si>
  <si>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</si>
  <si>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</si>
  <si>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SS.05 Meni ngkatnya Kualitas Pe ngelolaan Informasi dan Komunikasi Publik</t>
    </r>
  </si>
  <si>
    <r>
      <rPr>
        <rFont val="Arial MT"/>
        <color rgb="FF485056"/>
        <sz val="10.0"/>
      </rPr>
      <t>Iya</t>
    </r>
  </si>
  <si>
    <r>
      <rPr>
        <rFont val="Arial MT"/>
        <color rgb="FF485056"/>
        <sz val="10.0"/>
      </rPr>
      <t xml:space="preserve">SP.01
</t>
    </r>
    <r>
      <rPr>
        <rFont val="Arial MT"/>
        <color rgb="FF485056"/>
        <sz val="10.0"/>
      </rPr>
      <t>Meningkatnya Akses dan Kualitas Informasi Publik Terkait Kebijakan dan Program Prioritas Pemerintah</t>
    </r>
  </si>
  <si>
    <r>
      <rPr>
        <rFont val="Arial MT"/>
        <color rgb="FF485056"/>
        <sz val="10.0"/>
      </rPr>
      <t>Persentase (%) Tingkat Kepuasan Masyarakat Terhadap Akses Informasi Tentang Kebijakan dan Program Prioritas Pemerintah</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</si>
  <si>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</si>
  <si>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</si>
  <si>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</si>
  <si>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</si>
  <si>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SS.05 Meni ngkatnya Kualitas Pe ngelolaan Informasi dan Komunikasi Publik</t>
    </r>
  </si>
  <si>
    <r>
      <rPr>
        <rFont val="Arial MT"/>
        <color rgb="FF485056"/>
        <sz val="10.0"/>
      </rPr>
      <t>Iya</t>
    </r>
  </si>
  <si>
    <r>
      <rPr>
        <rFont val="Arial MT"/>
        <color rgb="FF485056"/>
        <sz val="10.0"/>
      </rPr>
      <t xml:space="preserve">SP.01
</t>
    </r>
    <r>
      <rPr>
        <rFont val="Arial MT"/>
        <color rgb="FF485056"/>
        <sz val="10.0"/>
      </rPr>
      <t>Meningkatnya Akses dan Kualitas Informasi Publik Terkait Kebijakan dan Program Prioritas Pemerintah</t>
    </r>
  </si>
  <si>
    <r>
      <rPr>
        <rFont val="Arial MT"/>
        <color rgb="FF485056"/>
        <sz val="10.0"/>
      </rPr>
      <t>Persentase (%) Tingkat Kepuasan Masyarakat Terhadap Kualitas Konten Informasi Tentang Kebijakan dan Program Prioritas Pemerintah</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</si>
  <si>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</si>
  <si>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</si>
  <si>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</si>
  <si>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</si>
  <si>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SS.05 Meni ngkatnya Kualitas Pe ngelolaan Informasi dan Komunikasi Publik</t>
    </r>
  </si>
  <si>
    <r>
      <rPr>
        <rFont val="Arial MT"/>
        <color rgb="FF485056"/>
        <sz val="10.0"/>
      </rPr>
      <t>Iya</t>
    </r>
  </si>
  <si>
    <r>
      <rPr>
        <rFont val="Arial MT"/>
        <color rgb="FF485056"/>
        <sz val="10.0"/>
      </rPr>
      <t xml:space="preserve">SP.01
</t>
    </r>
    <r>
      <rPr>
        <rFont val="Arial MT"/>
        <color rgb="FF485056"/>
        <sz val="10.0"/>
      </rPr>
      <t>Meningkatnya Akses dan Kualitas Informasi Publik Terkait Kebijakan dan Program Prioritas Pemerintah</t>
    </r>
  </si>
  <si>
    <r>
      <rPr>
        <rFont val="Arial MT"/>
        <color rgb="FF485056"/>
        <sz val="10.0"/>
      </rPr>
      <t>Persentase (%) Tingkat Kepuasan Masyarakat di Wilayah 3T Terhadap Informasi Publik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</si>
  <si>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</si>
  <si>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</si>
  <si>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</si>
  <si>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</si>
  <si>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SS.05 Meni ngkatnya Kualitas Pe ngelolaan Informasi dan Komunikasi Publik</t>
    </r>
  </si>
  <si>
    <r>
      <rPr>
        <rFont val="Arial MT"/>
        <color rgb="FF485056"/>
        <sz val="10.0"/>
      </rPr>
      <t>Iya</t>
    </r>
  </si>
  <si>
    <r>
      <rPr>
        <rFont val="Arial MT"/>
        <color rgb="FF485056"/>
        <sz val="10.0"/>
      </rPr>
      <t xml:space="preserve">SP.01
</t>
    </r>
    <r>
      <rPr>
        <rFont val="Arial MT"/>
        <color rgb="FF485056"/>
        <sz val="10.0"/>
      </rPr>
      <t>Meningkatnya Akses dan Kualitas Informasi Publik Terkait Kebijakan dan Program Prioritas Pemerintah</t>
    </r>
  </si>
  <si>
    <r>
      <rPr>
        <rFont val="Arial MT"/>
        <color rgb="FF485056"/>
        <sz val="10.0"/>
      </rPr>
      <t>Persentase (%) Berita Hoax yang Berhasil Dikonter</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</si>
  <si>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</si>
  <si>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</si>
  <si>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</si>
  <si>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</si>
  <si>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SS.05 Meni ngkatnya Kualitas Pe ngelolaan Informasi dan Komunikasi Publik</t>
    </r>
  </si>
  <si>
    <r>
      <rPr>
        <rFont val="Arial MT"/>
        <color rgb="FF485056"/>
        <sz val="10.0"/>
      </rPr>
      <t>Iya</t>
    </r>
  </si>
  <si>
    <r>
      <rPr>
        <rFont val="Arial MT"/>
        <color rgb="FF485056"/>
        <sz val="10.0"/>
      </rPr>
      <t xml:space="preserve">SP.01
</t>
    </r>
    <r>
      <rPr>
        <rFont val="Arial MT"/>
        <color rgb="FF485056"/>
        <sz val="10.0"/>
      </rPr>
      <t>Meningkatnya Akses dan Kualitas Informasi Publik Terkait Kebijakan dan Program Prioritas Pemerintah</t>
    </r>
  </si>
  <si>
    <r>
      <rPr>
        <rFont val="Arial MT"/>
        <color rgb="FF485056"/>
        <sz val="10.0"/>
      </rPr>
      <t>Persentase (%) K/L/D yang Sudah Melaksanakan Urusan Pengelolaan Informasi dan Komunikasi Publik (PIKP) Sesuai dengan Peraturan yang Berlaku</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</si>
  <si>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</si>
  <si>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</si>
  <si>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</si>
  <si>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</si>
  <si>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SS.05 Meni ngkatnya Kualitas Pe ngelolaan Informasi dan Komunikasi Publik</t>
    </r>
  </si>
  <si>
    <r>
      <rPr>
        <rFont val="Arial MT"/>
        <color rgb="FF485056"/>
        <sz val="10.0"/>
      </rPr>
      <t>Iya</t>
    </r>
  </si>
  <si>
    <r>
      <rPr>
        <rFont val="Arial MT"/>
        <color rgb="FF485056"/>
        <sz val="10.0"/>
      </rPr>
      <t xml:space="preserve">SP.01
</t>
    </r>
    <r>
      <rPr>
        <rFont val="Arial MT"/>
        <color rgb="FF485056"/>
        <sz val="10.0"/>
      </rPr>
      <t>Meningkatnya Akses dan Kualitas Informasi Publik Terkait Kebijakan dan Program Prioritas Pemerintah</t>
    </r>
  </si>
  <si>
    <r>
      <rPr>
        <rFont val="Arial MT"/>
        <color rgb="FF485056"/>
        <sz val="10.0"/>
      </rPr>
      <t>Persentase (%) Kepuasan Masyarakat Terhadap Informasi Publik Terkait Kebijakan dan Program Prioritas Pemerintah melalui PSO Bidang Pers</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</si>
  <si>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</si>
  <si>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</si>
  <si>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</si>
  <si>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</si>
  <si>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SS.05 Meni ngkatnya Kualitas Pe ngelolaan Informasi dan Komunikasi Publik</t>
    </r>
  </si>
  <si>
    <r>
      <rPr>
        <rFont val="Arial MT"/>
        <color rgb="FF485056"/>
        <sz val="10.0"/>
      </rPr>
      <t>Iya</t>
    </r>
  </si>
  <si>
    <r>
      <rPr>
        <rFont val="Arial MT"/>
        <color rgb="FF485056"/>
        <sz val="10.0"/>
      </rPr>
      <t xml:space="preserve">SP.02
</t>
    </r>
    <r>
      <rPr>
        <rFont val="Arial MT"/>
        <color rgb="FF485056"/>
        <sz val="10.0"/>
      </rPr>
      <t>Meningkatnya Kualitas Tata Kelola Informasi dan Komunikasi Publik</t>
    </r>
  </si>
  <si>
    <r>
      <rPr>
        <rFont val="Arial MT"/>
        <color rgb="FF485056"/>
        <sz val="10.0"/>
      </rPr>
      <t>Jumlah Regulasi/ Kebijakan Tata Kelola Informasi dan Komunikasi Publik di K/L/D yang Ditetapkan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</si>
  <si>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</si>
  <si>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</si>
  <si>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</si>
  <si>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</si>
  <si>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11.00 Naskah</t>
    </r>
  </si>
  <si>
    <r>
      <rPr>
        <rFont val="Arial MT"/>
        <color rgb="FF485056"/>
        <sz val="10.0"/>
      </rPr>
      <t>11 Naskah</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</si>
  <si>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</si>
  <si>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</si>
  <si>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SP.03
</t>
    </r>
    <r>
      <rPr>
        <rFont val="Arial MT"/>
        <color rgb="FF485056"/>
        <sz val="10.0"/>
      </rPr>
      <t>Meningkatnya Kualitas Tata Kelola Birokrasi yang Efektif dan Efisien</t>
    </r>
  </si>
  <si>
    <r>
      <rPr>
        <rFont val="Arial MT"/>
        <color rgb="FF485056"/>
        <sz val="10.0"/>
      </rPr>
      <t xml:space="preserve">Nilai Kualitas Pelaporan Keuangan Unit Akuntansi Pembantu Pengguna Anggaran Eselon I (UAPPA E1)
</t>
    </r>
    <r>
      <rPr>
        <rFont val="Arial MT"/>
        <color rgb="FF485056"/>
        <sz val="10.0"/>
      </rPr>
      <t>Ditjen IKP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</si>
  <si>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</si>
  <si>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</si>
  <si>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</si>
  <si>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</si>
  <si>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100.00 Nilai</t>
    </r>
  </si>
  <si>
    <r>
      <rPr>
        <rFont val="Arial MT"/>
        <color rgb="FF485056"/>
        <sz val="10.0"/>
      </rPr>
      <t>95 Nilai</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</si>
  <si>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</si>
  <si>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</si>
  <si>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SP.2
</t>
    </r>
    <r>
      <rPr>
        <rFont val="Arial MT"/>
        <color rgb="FF485056"/>
        <sz val="10.0"/>
      </rPr>
      <t>Meningkatnya Kualitas Tata Kelola Birokrasi yang Efektif dan Efisien</t>
    </r>
  </si>
  <si>
    <r>
      <rPr>
        <rFont val="Arial MT"/>
        <color rgb="FF485056"/>
        <sz val="10.0"/>
      </rPr>
      <t>Nilai Kualitas Pelaporan Keuangan Unit Akuntansi Pembantu Pengguna Anggaran Eselon I BAKTI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</si>
  <si>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</si>
  <si>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</si>
  <si>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</si>
  <si>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</si>
  <si>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80.00 Nilai</t>
    </r>
  </si>
  <si>
    <r>
      <rPr>
        <rFont val="Arial MT"/>
        <color rgb="FF485056"/>
        <sz val="10.0"/>
      </rPr>
      <t>70 Nilai</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</si>
  <si>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</si>
  <si>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</si>
  <si>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SP.2
</t>
    </r>
    <r>
      <rPr>
        <rFont val="Arial MT"/>
        <color rgb="FF485056"/>
        <sz val="10.0"/>
      </rPr>
      <t>Meningkatnya Kualitas Tata Kelola Birokrasi yang Efektif dan Efisien</t>
    </r>
  </si>
  <si>
    <r>
      <rPr>
        <rFont val="Arial MT"/>
        <color rgb="FF485056"/>
        <sz val="10.0"/>
      </rPr>
      <t>Nilai Kinerja Anggaran BAKTI tahun 2023</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</si>
  <si>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</si>
  <si>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</si>
  <si>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</si>
  <si>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</si>
  <si>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88.00 Indeks</t>
    </r>
  </si>
  <si>
    <r>
      <rPr>
        <rFont val="Arial MT"/>
        <color rgb="FF485056"/>
        <sz val="10.0"/>
      </rPr>
      <t>78.58 Indeks</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</si>
  <si>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</si>
  <si>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</si>
  <si>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SP5
</t>
    </r>
    <r>
      <rPr>
        <rFont val="Arial MT"/>
        <color rgb="FF485056"/>
        <sz val="10.0"/>
      </rPr>
      <t>Meningkatnya Kualitas Tata Kelola Birokrasi yang Efektif dan Efisien</t>
    </r>
  </si>
  <si>
    <r>
      <rPr>
        <rFont val="Arial MT"/>
        <color rgb="FF485056"/>
        <sz val="10.0"/>
      </rPr>
      <t xml:space="preserve">Nilai Kualitas Pelaporan Keuangan Unit Akuntansi Pembantu Pengguna Anggaran Eselon I (UAPPA-E1)
</t>
    </r>
    <r>
      <rPr>
        <rFont val="Arial MT"/>
        <color rgb="FF485056"/>
        <sz val="10.0"/>
      </rPr>
      <t>atas Laporan Keuangan Ditjen SDPPI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</si>
  <si>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</si>
  <si>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</si>
  <si>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</si>
  <si>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</si>
  <si>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90.00 Nilai</t>
    </r>
  </si>
  <si>
    <r>
      <rPr>
        <rFont val="Arial MT"/>
        <color rgb="FF485056"/>
        <sz val="10.0"/>
      </rPr>
      <t>95 Nilai</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</si>
  <si>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</si>
  <si>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</si>
  <si>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SP5
</t>
    </r>
    <r>
      <rPr>
        <rFont val="Arial MT"/>
        <color rgb="FF485056"/>
        <sz val="10.0"/>
      </rPr>
      <t>Meningkatnya Kualitas Tata Kelola Birokrasi yang Efektif dan Efisien</t>
    </r>
  </si>
  <si>
    <r>
      <rPr>
        <rFont val="Arial MT"/>
        <color rgb="FF485056"/>
        <sz val="10.0"/>
      </rPr>
      <t>Indeks Reformasi Birokrasi Ditjen SDPPI Tahun 2024 berdasarkan Realisasi Rencana Aksi RB Tematik Ditjen SDPPI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</si>
  <si>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</si>
  <si>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</si>
  <si>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</si>
  <si>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</si>
  <si>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100.00 Nilai</t>
    </r>
  </si>
  <si>
    <r>
      <rPr>
        <rFont val="Arial MT"/>
        <color rgb="FF485056"/>
        <sz val="10.0"/>
      </rPr>
      <t>100 Nilai</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</si>
  <si>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</si>
  <si>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</si>
  <si>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SP5
</t>
    </r>
    <r>
      <rPr>
        <rFont val="Arial MT"/>
        <color rgb="FF485056"/>
        <sz val="10.0"/>
      </rPr>
      <t>Meningkatnya Kualitas Tata Kelola Birokrasi yang Efektif dan Efisien</t>
    </r>
  </si>
  <si>
    <r>
      <rPr>
        <rFont val="Arial MT"/>
        <color rgb="FF485056"/>
        <sz val="10.0"/>
      </rPr>
      <t>Nilai Kinerja Anggaran Ditjen SDPPI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</si>
  <si>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</si>
  <si>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</si>
  <si>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</si>
  <si>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</si>
  <si>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92.00 Nilai</t>
    </r>
  </si>
  <si>
    <r>
      <rPr>
        <rFont val="Arial MT"/>
        <color rgb="FF485056"/>
        <sz val="10.0"/>
      </rPr>
      <t>91.1 Nilai</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</si>
  <si>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</si>
  <si>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</si>
  <si>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SP5
</t>
    </r>
    <r>
      <rPr>
        <rFont val="Arial MT"/>
        <color rgb="FF485056"/>
        <sz val="10.0"/>
      </rPr>
      <t>Meningkatnya Kualitas Tata Kelola Birokrasi yang Efektif dan Efisien</t>
    </r>
  </si>
  <si>
    <r>
      <rPr>
        <rFont val="Arial MT"/>
        <color rgb="FF485056"/>
        <sz val="10.0"/>
      </rPr>
      <t>Persentase (%) Belanja Pengadaan Barang dan Jasa Ditjen SDPPI yang dilakukan secara Elektronik (E-Purchasing)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</si>
  <si>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</si>
  <si>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</si>
  <si>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</si>
  <si>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</si>
  <si>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30.00 % (dari total Rencana Pengadaan
</t>
    </r>
    <r>
      <rPr>
        <rFont val="Arial MT"/>
        <color rgb="FF485056"/>
        <sz val="10.0"/>
      </rPr>
      <t>melalui Penyedia)</t>
    </r>
  </si>
  <si>
    <r>
      <rPr>
        <rFont val="Arial MT"/>
        <color rgb="FF485056"/>
        <sz val="10.0"/>
      </rPr>
      <t xml:space="preserve">50.78 % (dari total Rencana Pengadaan
</t>
    </r>
    <r>
      <rPr>
        <rFont val="Arial MT"/>
        <color rgb="FF485056"/>
        <sz val="10.0"/>
      </rPr>
      <t>melalui Penyedia)</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</si>
  <si>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</si>
  <si>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</si>
  <si>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SP.03
</t>
    </r>
    <r>
      <rPr>
        <rFont val="Arial MT"/>
        <color rgb="FF485056"/>
        <sz val="10.0"/>
      </rPr>
      <t>Meningkatnya Kualitas Tata Kelola Birokrasi yang Efektif dan Efisien</t>
    </r>
  </si>
  <si>
    <r>
      <rPr>
        <rFont val="Arial MT"/>
        <color rgb="FF485056"/>
        <sz val="10.0"/>
      </rPr>
      <t>Nilai Indeks Reformasi Birokrasi Ditjen IKP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</si>
  <si>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</si>
  <si>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</si>
  <si>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</si>
  <si>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</si>
  <si>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85.75 Nilai</t>
    </r>
  </si>
  <si>
    <r>
      <rPr>
        <rFont val="Arial MT"/>
        <color rgb="FF485056"/>
        <sz val="10.0"/>
      </rPr>
      <t>100 Nilai</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</si>
  <si>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</si>
  <si>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</si>
  <si>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SP.03
</t>
    </r>
    <r>
      <rPr>
        <rFont val="Arial MT"/>
        <color rgb="FF485056"/>
        <sz val="10.0"/>
      </rPr>
      <t>Meningkatnya Kualitas Tata Kelola Birokrasi yang Efektif dan Efisien</t>
    </r>
  </si>
  <si>
    <r>
      <rPr>
        <rFont val="Arial MT"/>
        <color rgb="FF485056"/>
        <sz val="10.0"/>
      </rPr>
      <t>Nilai Kinerja Anggaran Ditjen IKP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</si>
  <si>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</si>
  <si>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</si>
  <si>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</si>
  <si>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</si>
  <si>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92.15 Nilai</t>
    </r>
  </si>
  <si>
    <r>
      <rPr>
        <rFont val="Arial MT"/>
        <color rgb="FF485056"/>
        <sz val="10.0"/>
      </rPr>
      <t>95.48 Nilai</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</si>
  <si>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</si>
  <si>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</si>
  <si>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SP.03
</t>
    </r>
    <r>
      <rPr>
        <rFont val="Arial MT"/>
        <color rgb="FF485056"/>
        <sz val="10.0"/>
      </rPr>
      <t>Meningkatnya Kualitas Tata Kelola Birokrasi yang Efektif dan Efisien</t>
    </r>
  </si>
  <si>
    <r>
      <rPr>
        <rFont val="Arial MT"/>
        <color rgb="FF485056"/>
        <sz val="10.0"/>
      </rPr>
      <t>Persentase (%) Penggunaan Produk Dalam Negeri (PDN) dan Produk UMKM dalam Belanja Pengadaan Barang dan Jasa Ditjen IKP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</si>
  <si>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</si>
  <si>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</si>
  <si>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</si>
  <si>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</si>
  <si>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</si>
  <si>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</si>
  <si>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SP.03
</t>
    </r>
    <r>
      <rPr>
        <rFont val="Arial MT"/>
        <color rgb="FF485056"/>
        <sz val="10.0"/>
      </rPr>
      <t>Meningkatnya Kualitas Tata Kelola Birokrasi yang Efektif dan Efisien</t>
    </r>
  </si>
  <si>
    <r>
      <rPr>
        <rFont val="Arial MT"/>
        <color rgb="FF485056"/>
        <sz val="10.0"/>
      </rPr>
      <t xml:space="preserve">Persentase (%) Belanja Pengadaan Barang dan Jasa Ditjen IKP yang dilakukan secara Elektronik
</t>
    </r>
    <r>
      <rPr>
        <rFont val="Arial MT"/>
        <color rgb="FF485056"/>
        <sz val="10.0"/>
      </rPr>
      <t>(E-Purchasing)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</si>
  <si>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</si>
  <si>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</si>
  <si>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</si>
  <si>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</si>
  <si>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</si>
  <si>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</si>
  <si>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SP5
</t>
    </r>
    <r>
      <rPr>
        <rFont val="Arial MT"/>
        <color rgb="FF485056"/>
        <sz val="10.0"/>
      </rPr>
      <t>Meningkatnya Kualitas Tata Kelola Birokrasi yang Efektif dan Efisien</t>
    </r>
  </si>
  <si>
    <r>
      <rPr>
        <rFont val="Arial MT"/>
        <color rgb="FF485056"/>
        <sz val="10.0"/>
      </rPr>
      <t>Persentase (%) Penggunaan Produk dalam Negeri dalam Belanja Pengadaan Barang dan Jasa Ditjen SDPPI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</si>
  <si>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</si>
  <si>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</si>
  <si>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</si>
  <si>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</si>
  <si>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70.00 %
</t>
    </r>
    <r>
      <rPr>
        <rFont val="Arial MT"/>
        <color rgb="FF485056"/>
        <sz val="10.0"/>
      </rPr>
      <t>(Komitmen PDN dari Penyedia dan Swakelola)</t>
    </r>
  </si>
  <si>
    <r>
      <rPr>
        <rFont val="Arial MT"/>
        <color rgb="FF485056"/>
        <sz val="10.0"/>
      </rPr>
      <t xml:space="preserve">76.96 %
</t>
    </r>
    <r>
      <rPr>
        <rFont val="Arial MT"/>
        <color rgb="FF485056"/>
        <sz val="10.0"/>
      </rPr>
      <t>(Komitmen PDN dari Penyedia dan Swakelola)</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</si>
  <si>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</si>
  <si>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</si>
  <si>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 7
</t>
    </r>
    <r>
      <rPr>
        <rFont val="Arial MT"/>
        <color rgb="FF485056"/>
        <sz val="10.0"/>
      </rPr>
      <t>Meningkatnya kualitas tata kelola birokrasi yang efektif dan efisien</t>
    </r>
  </si>
  <si>
    <r>
      <rPr>
        <rFont val="Arial MT"/>
        <color rgb="FF485056"/>
        <sz val="10.0"/>
      </rPr>
      <t>Indeks Reformasi Birokrasi Ditjen PPI tahun 2024 berdasarkan realisasi rencana aksi RB tematik Ditjen PPI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</si>
  <si>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</si>
  <si>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</si>
  <si>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</si>
  <si>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</si>
  <si>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88.86 indeks</t>
    </r>
  </si>
  <si>
    <r>
      <rPr>
        <rFont val="Arial MT"/>
        <color rgb="FF485056"/>
        <sz val="10.0"/>
      </rPr>
      <t>100 indeks</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</si>
  <si>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</si>
  <si>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</si>
  <si>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 7
</t>
    </r>
    <r>
      <rPr>
        <rFont val="Arial MT"/>
        <color rgb="FF485056"/>
        <sz val="10.0"/>
      </rPr>
      <t>Meningkatnya kualitas tata kelola birokrasi yang efektif dan efisien</t>
    </r>
  </si>
  <si>
    <r>
      <rPr>
        <rFont val="Arial MT"/>
        <color rgb="FF485056"/>
        <sz val="10.0"/>
      </rPr>
      <t>Nilai Kinerja Anggaran Ditjen 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</si>
  <si>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</si>
  <si>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</si>
  <si>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</si>
  <si>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</si>
  <si>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88.00 nilai</t>
    </r>
  </si>
  <si>
    <r>
      <rPr>
        <rFont val="Arial MT"/>
        <color rgb="FF485056"/>
        <sz val="10.0"/>
      </rPr>
      <t>83.23 nilai</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</si>
  <si>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</si>
  <si>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</si>
  <si>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 7
</t>
    </r>
    <r>
      <rPr>
        <rFont val="Arial MT"/>
        <color rgb="FF485056"/>
        <sz val="10.0"/>
      </rPr>
      <t>Meningkatnya kualitas tata kelola birokrasi yang efektif dan efisien</t>
    </r>
  </si>
  <si>
    <r>
      <rPr>
        <rFont val="Arial MT"/>
        <color rgb="FF485056"/>
        <sz val="10.0"/>
      </rPr>
      <t xml:space="preserve">Nilai kualitas pelaporan keuangan Unit Akuntansi Pembantu Pengguna Anggaran Eselon I (UAPPA-E1)
</t>
    </r>
    <r>
      <rPr>
        <rFont val="Arial MT"/>
        <color rgb="FF485056"/>
        <sz val="10.0"/>
      </rPr>
      <t>Ditjen 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</si>
  <si>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</si>
  <si>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</si>
  <si>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</si>
  <si>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</si>
  <si>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90.00 nilai</t>
    </r>
  </si>
  <si>
    <r>
      <rPr>
        <rFont val="Arial MT"/>
        <color rgb="FF485056"/>
        <sz val="10.0"/>
      </rPr>
      <t>95 nilai</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</si>
  <si>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</si>
  <si>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</si>
  <si>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 7
</t>
    </r>
    <r>
      <rPr>
        <rFont val="Arial MT"/>
        <color rgb="FF485056"/>
        <sz val="10.0"/>
      </rPr>
      <t>Meningkatnya kualitas tata kelola birokrasi yang efektif dan efisien</t>
    </r>
  </si>
  <si>
    <r>
      <rPr>
        <rFont val="Arial MT"/>
        <color rgb="FF485056"/>
        <sz val="10.0"/>
      </rPr>
      <t>Persentase (%) penggunaan Produk Dalam Negeri (PDN) dan produk UMKM dalam belanja pengadaan barang dan jasa Ditjen PPI tahun 2024</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</si>
  <si>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</si>
  <si>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</si>
  <si>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</si>
  <si>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</si>
  <si>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</si>
  <si>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</si>
  <si>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 7
</t>
    </r>
    <r>
      <rPr>
        <rFont val="Arial MT"/>
        <color rgb="FF485056"/>
        <sz val="10.0"/>
      </rPr>
      <t>Meningkatnya kualitas tata kelola birokrasi yang efektif dan efisien</t>
    </r>
  </si>
  <si>
    <r>
      <rPr>
        <rFont val="Arial MT"/>
        <color rgb="FF485056"/>
        <sz val="10.0"/>
      </rPr>
      <t xml:space="preserve">Persentase (%) belanja pengadaan barang dan jasa Ditjen PPI yang dilakukan secara elektronik
</t>
    </r>
    <r>
      <rPr>
        <rFont val="Arial MT"/>
        <color rgb="FF485056"/>
        <sz val="10.0"/>
      </rPr>
      <t>(e-purchasing)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</si>
  <si>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</si>
  <si>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</si>
  <si>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</si>
  <si>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</si>
  <si>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</si>
  <si>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</si>
  <si>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SP.2
</t>
    </r>
    <r>
      <rPr>
        <rFont val="Arial MT"/>
        <color rgb="FF485056"/>
        <sz val="10.0"/>
      </rPr>
      <t>Meningkatnya Kualitas Tata Kelola Birokrasi yang Efektif dan Efisien</t>
    </r>
  </si>
  <si>
    <r>
      <rPr>
        <rFont val="Arial MT"/>
        <color rgb="FF485056"/>
        <sz val="10.0"/>
      </rPr>
      <t>Indeks Reformasi Birokrasi BAKTI Tahun 2024 berdasarkan Realisasi Rencana Aksi RB Tematik BAKTI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</si>
  <si>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</si>
  <si>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</si>
  <si>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</si>
  <si>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</si>
  <si>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</si>
  <si>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</si>
  <si>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SP.2
</t>
    </r>
    <r>
      <rPr>
        <rFont val="Arial MT"/>
        <color rgb="FF485056"/>
        <sz val="10.0"/>
      </rPr>
      <t>Meningkatnya Kualitas Tata Kelola Birokrasi yang Efektif dan Efisien</t>
    </r>
  </si>
  <si>
    <r>
      <rPr>
        <rFont val="Arial MT"/>
        <color rgb="FF485056"/>
        <sz val="10.0"/>
      </rPr>
      <t>Persentase (%) Penggunaan Produk Dalam Negeri (PDN) dan Program UMKM dalam Belanja Pengadaan Barang dan Jasa BAKTI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</si>
  <si>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</si>
  <si>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</si>
  <si>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</si>
  <si>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</si>
  <si>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SS.06 Meni ngkatnya Kualitas Tata Kelola Birokrasi yang Efektif dan Efisien</t>
    </r>
  </si>
  <si>
    <r>
      <rPr>
        <rFont val="Arial MT"/>
        <color rgb="FF485056"/>
        <sz val="10.0"/>
      </rPr>
      <t>Iya</t>
    </r>
  </si>
  <si>
    <r>
      <rPr>
        <rFont val="Arial MT"/>
        <color rgb="FF485056"/>
        <sz val="10.0"/>
      </rPr>
      <t xml:space="preserve">SP.2
</t>
    </r>
    <r>
      <rPr>
        <rFont val="Arial MT"/>
        <color rgb="FF485056"/>
        <sz val="10.0"/>
      </rPr>
      <t>Meningkatnya Kualitas Tata Kelola Birokrasi yang Efektif dan Efisien</t>
    </r>
  </si>
  <si>
    <r>
      <rPr>
        <rFont val="Arial MT"/>
        <color rgb="FF485056"/>
        <sz val="10.0"/>
      </rPr>
      <t>Kajian Roadmap infrastruktur Digital Indonesia dan Transformasi BLU BAKTI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</si>
  <si>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</si>
  <si>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</si>
  <si>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</si>
  <si>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</si>
  <si>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2.00 Dokumen</t>
    </r>
  </si>
  <si>
    <r>
      <rPr>
        <rFont val="Arial MT"/>
        <color rgb="FF485056"/>
        <sz val="10.0"/>
      </rPr>
      <t>2 Dokumen</t>
    </r>
  </si>
  <si>
    <r>
      <rPr>
        <rFont val="Arial MT"/>
        <color rgb="FF485056"/>
        <sz val="10.0"/>
      </rPr>
      <t xml:space="preserve">SS.07
</t>
    </r>
    <r>
      <rPr>
        <rFont val="Arial MT"/>
        <color rgb="FF485056"/>
        <sz val="10.0"/>
      </rPr>
      <t xml:space="preserve">Tercapainya Target PNBP Kem
</t>
    </r>
    <r>
      <rPr>
        <rFont val="Arial MT"/>
        <color rgb="FF485056"/>
        <sz val="10.0"/>
      </rPr>
      <t>enterian Kominfo</t>
    </r>
  </si>
  <si>
    <r>
      <rPr>
        <rFont val="Arial MT"/>
        <color rgb="FF485056"/>
        <sz val="10.0"/>
      </rPr>
      <t>Iya</t>
    </r>
  </si>
  <si>
    <r>
      <rPr>
        <rFont val="Arial MT"/>
        <color rgb="FF485056"/>
        <sz val="10.0"/>
      </rPr>
      <t xml:space="preserve">SP4
</t>
    </r>
    <r>
      <rPr>
        <rFont val="Arial MT"/>
        <color rgb="FF485056"/>
        <sz val="10.0"/>
      </rPr>
      <t>Meningkatnya Kualitas Peny elenggaraan Layanan dan Pengelolaan PNBP</t>
    </r>
  </si>
  <si>
    <r>
      <rPr>
        <rFont val="Arial MT"/>
        <color rgb="FF485056"/>
        <sz val="10.0"/>
      </rPr>
      <t xml:space="preserve">Persentase (%) Capaian Target PNBP Bidang Frekuensi dan Perangkat Pos dan Informatika Tahun 2024 (Rp.
</t>
    </r>
    <r>
      <rPr>
        <rFont val="Arial MT"/>
        <color rgb="FF485056"/>
        <sz val="10.0"/>
      </rPr>
      <t xml:space="preserve">20.747.921.532.0
</t>
    </r>
    <r>
      <rPr>
        <rFont val="Arial MT"/>
        <color rgb="FF485056"/>
        <sz val="10.0"/>
      </rPr>
      <t>00)</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</si>
  <si>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</si>
  <si>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</si>
  <si>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</si>
  <si>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</si>
  <si>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SS.07
</t>
    </r>
    <r>
      <rPr>
        <rFont val="Arial MT"/>
        <color rgb="FF485056"/>
        <sz val="10.0"/>
      </rPr>
      <t xml:space="preserve">Tercapainya Target PNBP Kem
</t>
    </r>
    <r>
      <rPr>
        <rFont val="Arial MT"/>
        <color rgb="FF485056"/>
        <sz val="10.0"/>
      </rPr>
      <t>enterian Kominfo</t>
    </r>
  </si>
  <si>
    <r>
      <rPr>
        <rFont val="Arial MT"/>
        <color rgb="FF485056"/>
        <sz val="10.0"/>
      </rPr>
      <t>Iya</t>
    </r>
  </si>
  <si>
    <r>
      <rPr>
        <rFont val="Arial MT"/>
        <color rgb="FF485056"/>
        <sz val="10.0"/>
      </rPr>
      <t xml:space="preserve">SP 6
</t>
    </r>
    <r>
      <rPr>
        <rFont val="Arial MT"/>
        <color rgb="FF485056"/>
        <sz val="10.0"/>
      </rPr>
      <t>Meningkatnya kualitas penye lenggaraan layanan dan pengelolaan PNBP</t>
    </r>
  </si>
  <si>
    <r>
      <rPr>
        <rFont val="Arial MT"/>
        <color rgb="FF485056"/>
        <sz val="10.0"/>
      </rPr>
      <t>Persentase (%) realisasi PNBP bidang pos, telekomunikasi, dan penyiaran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</si>
  <si>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</si>
  <si>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</si>
  <si>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</si>
  <si>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</si>
  <si>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SS.07
</t>
    </r>
    <r>
      <rPr>
        <rFont val="Arial MT"/>
        <color rgb="FF485056"/>
        <sz val="10.0"/>
      </rPr>
      <t xml:space="preserve">Tercapainya Target PNBP Kem
</t>
    </r>
    <r>
      <rPr>
        <rFont val="Arial MT"/>
        <color rgb="FF485056"/>
        <sz val="10.0"/>
      </rPr>
      <t>enterian Kominfo</t>
    </r>
  </si>
  <si>
    <r>
      <rPr>
        <rFont val="Arial MT"/>
        <color rgb="FF485056"/>
        <sz val="10.0"/>
      </rPr>
      <t>Iya</t>
    </r>
  </si>
  <si>
    <r>
      <rPr>
        <rFont val="Arial MT"/>
        <color rgb="FF485056"/>
        <sz val="10.0"/>
      </rPr>
      <t xml:space="preserve">SP.3
</t>
    </r>
    <r>
      <rPr>
        <rFont val="Arial MT"/>
        <color rgb="FF485056"/>
        <sz val="10.0"/>
      </rPr>
      <t>Tercapainya Target PNBP Kementerian Kominfo</t>
    </r>
  </si>
  <si>
    <r>
      <rPr>
        <rFont val="Arial MT"/>
        <color rgb="FF485056"/>
        <sz val="10.0"/>
      </rPr>
      <t>Persentase (%) Realisasi Target PNBP Badan Aksesibilitas Telekomunikasi dan Informasi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</si>
  <si>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</si>
  <si>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</si>
  <si>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</si>
  <si>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</si>
  <si>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RATA-RATA CAPAIAN KINERJA</t>
    </r>
  </si>
  <si>
    <r>
      <rPr>
        <rFont val="Arial MT"/>
        <color rgb="FF485056"/>
        <sz val="10.0"/>
      </rPr>
      <t>RATA-RATA CAPAIAN KINERJA</t>
    </r>
  </si>
  <si>
    <r>
      <rPr>
        <rFont val="Arial MT"/>
        <color rgb="FF485056"/>
        <sz val="10.0"/>
      </rPr>
      <t>SIMPULAN GRADE</t>
    </r>
  </si>
  <si>
    <r>
      <rPr>
        <rFont val="Arial MT"/>
        <color rgb="FF485056"/>
        <sz val="10.0"/>
      </rPr>
      <t>SIMPULAN GRADE</t>
    </r>
  </si>
  <si>
    <r>
      <rPr>
        <rFont val="Arial"/>
        <b/>
        <color rgb="FF485056"/>
        <sz val="10.0"/>
      </rPr>
      <t xml:space="preserve">PENILAIAN MANDIRI MATURITAS PENYELENGGARAAN SPIP
</t>
    </r>
    <r>
      <rPr>
        <rFont val="Arial"/>
        <b/>
        <color rgb="FF485056"/>
        <sz val="10.0"/>
      </rPr>
      <t>Kementerian Komunikasi dan Digital RI Periode penilaian 01 Juli 2024 s.d 30 Juni 2025</t>
    </r>
  </si>
  <si>
    <r>
      <rPr>
        <rFont val="Arial"/>
        <b/>
        <color rgb="FF485056"/>
        <sz val="10.0"/>
      </rPr>
      <t xml:space="preserve">KERTAS KERJA PENILAIAN PENCAPAIAN TUJUAN SPIP
</t>
    </r>
    <r>
      <rPr>
        <rFont val="Arial"/>
        <b/>
        <color rgb="FF485056"/>
        <sz val="10.0"/>
      </rPr>
      <t>TUJUAN 1: EFEKTIVITAS DAN EFISIENSI PENCAPAIAN TUJUAN ORGANISASI KK 5.2 - PENILAIAN CAPAIAN OUTPUT</t>
    </r>
  </si>
  <si>
    <r>
      <rPr>
        <rFont val="Arial"/>
        <b/>
        <color rgb="FF485056"/>
        <sz val="10.0"/>
      </rPr>
      <t>NO</t>
    </r>
  </si>
  <si>
    <r>
      <rPr>
        <rFont val="Arial"/>
        <b/>
        <color rgb="FF485056"/>
        <sz val="10.0"/>
      </rPr>
      <t>SASARAN KEGIATAN</t>
    </r>
  </si>
  <si>
    <r>
      <rPr>
        <rFont val="Arial"/>
        <b/>
        <color rgb="FF485056"/>
        <sz val="10.0"/>
      </rPr>
      <t>INDIKATOR KINERJA KEGIATAN (OUTPUT)</t>
    </r>
  </si>
  <si>
    <r>
      <rPr>
        <rFont val="Arial"/>
        <b/>
        <color rgb="FF485056"/>
        <sz val="10.0"/>
      </rPr>
      <t>KRITERIA SASARAN KEGIATAN</t>
    </r>
  </si>
  <si>
    <r>
      <rPr>
        <rFont val="Arial"/>
        <b/>
        <color rgb="FF485056"/>
        <sz val="10.0"/>
      </rPr>
      <t>CAPAIAN</t>
    </r>
  </si>
  <si>
    <t>Penjaminan Kualitas</t>
  </si>
  <si>
    <r>
      <rPr>
        <rFont val="Arial"/>
        <b/>
        <color rgb="FF485056"/>
        <sz val="10.0"/>
      </rPr>
      <t>SASTRA BERORIENTASI HASIL</t>
    </r>
  </si>
  <si>
    <r>
      <rPr>
        <rFont val="Arial"/>
        <b/>
        <color rgb="FF485056"/>
        <sz val="10.0"/>
      </rPr>
      <t>RELEVAN MENCAPAI SASARAN DI ATASNYA</t>
    </r>
  </si>
  <si>
    <r>
      <rPr>
        <rFont val="Arial"/>
        <b/>
        <color rgb="FF485056"/>
        <sz val="10.0"/>
      </rPr>
      <t>INDIKATOR KINERJA TEPAT</t>
    </r>
  </si>
  <si>
    <r>
      <rPr>
        <rFont val="Arial"/>
        <b/>
        <color rgb="FF485056"/>
        <sz val="10.0"/>
      </rPr>
      <t>DATA ANDAL</t>
    </r>
  </si>
  <si>
    <r>
      <rPr>
        <rFont val="Arial"/>
        <b/>
        <color rgb="FF485056"/>
        <sz val="10.0"/>
      </rPr>
      <t>TARGET</t>
    </r>
  </si>
  <si>
    <r>
      <rPr>
        <rFont val="Arial"/>
        <b/>
        <color rgb="FF485056"/>
        <sz val="10.0"/>
      </rPr>
      <t>REALISASI</t>
    </r>
  </si>
  <si>
    <r>
      <rPr>
        <rFont val="Arial"/>
        <b/>
        <color rgb="FF485056"/>
        <sz val="10.0"/>
      </rPr>
      <t>PERSENTASE REALISASI</t>
    </r>
  </si>
  <si>
    <r>
      <rPr>
        <rFont val="Arial MT"/>
        <color rgb="FF485056"/>
        <sz val="10.0"/>
      </rPr>
      <t>IKSP 1.1 Terlaksananya Penyediaan &amp; Pengelolaan Layanan Telekomunikasi dan Informasi untuk Masyarakat dan Pemerintah</t>
    </r>
  </si>
  <si>
    <r>
      <rPr>
        <rFont val="Arial MT"/>
        <color rgb="FF485056"/>
        <sz val="10.0"/>
      </rPr>
      <t>Jumlah Solusi Ekosistem Dalam Rangka Peningkatan Produktivitas Masyarakat Melalui Pemanfaatan Infrastruktur dan Penguatan Ekosistem di WPUTI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</si>
  <si>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</si>
  <si>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</si>
  <si>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</si>
  <si>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</si>
  <si>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15.00 Solusi</t>
    </r>
  </si>
  <si>
    <r>
      <rPr>
        <rFont val="Arial MT"/>
        <color rgb="FF485056"/>
        <sz val="10.0"/>
      </rPr>
      <t>21.00 Solusi</t>
    </r>
  </si>
  <si>
    <t>Capaian persentase Realisasi melebih  120%</t>
  </si>
  <si>
    <r>
      <rPr>
        <rFont val="Arial MT"/>
        <color rgb="FF485056"/>
        <sz val="10.0"/>
      </rPr>
      <t>IKSP 1.1 Terlaksananya Penyediaan &amp; Pengelolaan Layanan Telekomunikasi dan Informasi untuk Masyarakat dan Pemerintah</t>
    </r>
  </si>
  <si>
    <r>
      <rPr>
        <rFont val="Arial MT"/>
        <color rgb="FF485056"/>
        <sz val="10.0"/>
      </rPr>
      <t>Persentase (%) Implementasi Platform untuk Mendukung Program Pemerintah</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</si>
  <si>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</si>
  <si>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</si>
  <si>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</si>
  <si>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</si>
  <si>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IKSP 1.1 Terlaksananya Penyediaan dan Pengelolaan Layanan Telekomunikasi dan Informasi Badan Usaha</t>
    </r>
  </si>
  <si>
    <r>
      <rPr>
        <rFont val="Arial MT"/>
        <color rgb="FF485056"/>
        <sz val="10.0"/>
      </rPr>
      <t>Jumlah Kerja Sama BLU dan Badan Usaha dalam Rangka Kemandirian BLU</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</si>
  <si>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</si>
  <si>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</si>
  <si>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</si>
  <si>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</si>
  <si>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4.00 Kerja Sama</t>
    </r>
  </si>
  <si>
    <r>
      <rPr>
        <rFont val="Arial MT"/>
        <color rgb="FF485056"/>
        <sz val="10.0"/>
      </rPr>
      <t>10.00 Kerja Sama</t>
    </r>
  </si>
  <si>
    <r>
      <rPr>
        <rFont val="Arial MT"/>
        <color rgb="FF485056"/>
        <sz val="10.0"/>
      </rPr>
      <t>IKSP 1.1 Terlaksananya Penyediaan dan Pengelolaan Layanan Telekomunikasi dan Informasi Badan Usaha</t>
    </r>
  </si>
  <si>
    <r>
      <rPr>
        <rFont val="Arial MT"/>
        <color rgb="FF485056"/>
        <sz val="10.0"/>
      </rPr>
      <t>Persentase (%) Pemanfaatan Kapasitas Aktif Palapa Ring Paket Barat, Paket Tengah, dan Paket Timur</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</si>
  <si>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</si>
  <si>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</si>
  <si>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</si>
  <si>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</si>
  <si>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.01 Meningkatnya Kualitas Penyebaran Informasi Publik Melalui Media yang Dikelola Pemerintah</t>
    </r>
  </si>
  <si>
    <r>
      <rPr>
        <rFont val="Arial MT"/>
        <color rgb="FF485056"/>
        <sz val="10.0"/>
      </rPr>
      <t>Persentase (%) Daerah 3T yang Dapat Mengakses Program Pemerintah Melalui Owned Media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</si>
  <si>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</si>
  <si>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</si>
  <si>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</si>
  <si>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</si>
  <si>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.01 Meningkatnya Kualitas Penyebaran Informasi Publik Melalui Media yang Dikelola Pemerintah</t>
    </r>
  </si>
  <si>
    <r>
      <rPr>
        <rFont val="Arial MT"/>
        <color rgb="FF485056"/>
        <sz val="10.0"/>
      </rPr>
      <t>Persentase (%) Kepuasan Masyarakat di Wilayah 3T Terhadap Informasi Publik Terkait Kebijakan dan Program Prioritas Pemerintah</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</si>
  <si>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</si>
  <si>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</si>
  <si>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</si>
  <si>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</si>
  <si>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.01 Meningkatnya Kualitas Penyebaran Informasi Publik Melalui Media yang Dikelola Pemerintah</t>
    </r>
  </si>
  <si>
    <r>
      <rPr>
        <rFont val="Arial MT"/>
        <color rgb="FF485056"/>
        <sz val="10.0"/>
      </rPr>
      <t>Persentase (%) Masyarakat yang Memahami Informasi Kebijakan dan Program Pemerintah Melalui Owned Media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</si>
  <si>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</si>
  <si>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</si>
  <si>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</si>
  <si>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</si>
  <si>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.01 Meningkatnya Kualitas Penyebaran Informasi Publik Melalui Media yang Dikelola Pemerintah</t>
    </r>
  </si>
  <si>
    <r>
      <rPr>
        <rFont val="Arial MT"/>
        <color rgb="FF485056"/>
        <sz val="10.0"/>
      </rPr>
      <t>Persentase (%) Masyarakat yang Mengakses Informasi Program Prioritas Pemerintah Melalui Media Pemerintah (Owned Media)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</si>
  <si>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</si>
  <si>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</si>
  <si>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</si>
  <si>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</si>
  <si>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1 Meningkatnya Kualitas Layanan Publik Bidang Sumber Daya Perangkat Pos dan Informatika</t>
    </r>
  </si>
  <si>
    <r>
      <rPr>
        <rFont val="Arial MT"/>
        <color rgb="FF485056"/>
        <sz val="10.0"/>
      </rPr>
      <t>Indeks Integritas Pelayanan Publik atas Pelayanan Spektrum Frekuensi Radio (SFR) dan Sertifikasi Operator Radio (skala 0 s/d 10)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</si>
  <si>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</si>
  <si>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</si>
  <si>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</si>
  <si>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</si>
  <si>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8.50 Nilai</t>
    </r>
  </si>
  <si>
    <r>
      <rPr>
        <rFont val="Arial MT"/>
        <color rgb="FF485056"/>
        <sz val="10.0"/>
      </rPr>
      <t>9.65 Nilai</t>
    </r>
  </si>
  <si>
    <r>
      <rPr>
        <rFont val="Arial MT"/>
        <color rgb="FF485056"/>
        <sz val="10.0"/>
      </rPr>
      <t>SK 1 Meningkatnya Kualitas Layanan Publik Bidang Sumber Daya Perangkat Pos dan Informatika</t>
    </r>
  </si>
  <si>
    <r>
      <rPr>
        <rFont val="Arial MT"/>
        <color rgb="FF485056"/>
        <sz val="10.0"/>
      </rPr>
      <t>Indeks Kepuasan Masyarakat atas Pelayanan Spektrum Frekuensi Radio (SFR) dan Sertifikasi Operator Radio (skala 0 s/d 4) Tahun 2024</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</si>
  <si>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</si>
  <si>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</si>
  <si>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</si>
  <si>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</si>
  <si>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3.60 Nilai</t>
    </r>
  </si>
  <si>
    <r>
      <rPr>
        <rFont val="Arial MT"/>
        <color rgb="FF485056"/>
        <sz val="10.0"/>
      </rPr>
      <t>3.75 Nilai</t>
    </r>
  </si>
  <si>
    <r>
      <rPr>
        <rFont val="Arial MT"/>
        <color rgb="FF485056"/>
        <sz val="10.0"/>
      </rPr>
      <t>SK 1 Meningkatnya Kualitas Layanan Publik Bidang Sumber Daya Perangkat Pos dan Informatika</t>
    </r>
  </si>
  <si>
    <r>
      <rPr>
        <rFont val="Arial MT"/>
        <color rgb="FF485056"/>
        <sz val="10.0"/>
      </rPr>
      <t>Jumlah Perizinan SFR bagi Nelayan (Maritim On The Spot)</t>
    </r>
  </si>
  <si>
    <r>
      <rPr>
        <rFont val="Arial MT"/>
        <color rgb="FF485056"/>
        <sz val="10.0"/>
      </rPr>
      <t>Iya</t>
    </r>
  </si>
  <si>
    <r>
      <rPr>
        <rFont val="Arial MT"/>
        <color rgb="FF485056"/>
        <sz val="10.0"/>
      </rPr>
      <t>Tidak</t>
    </r>
  </si>
  <si>
    <r>
      <rPr>
        <rFont val="Arial MT"/>
        <color rgb="FF485056"/>
        <sz val="10.0"/>
      </rPr>
      <t>Tidak</t>
    </r>
  </si>
  <si>
    <r>
      <rPr>
        <rFont val="Arial MT"/>
        <color rgb="FF485056"/>
        <sz val="10.0"/>
      </rPr>
      <t>Iya</t>
    </r>
  </si>
  <si>
    <r>
      <rPr>
        <rFont val="Arial MT"/>
        <color rgb="FF485056"/>
        <sz val="10.0"/>
      </rPr>
      <t>1,300.00 ISR Maritim dan atau IKRAN</t>
    </r>
  </si>
  <si>
    <r>
      <rPr>
        <rFont val="Arial MT"/>
        <color rgb="FF485056"/>
        <sz val="10.0"/>
      </rPr>
      <t>3,119.00 ISR Maritim dan atau IKRAN</t>
    </r>
  </si>
  <si>
    <r>
      <rPr>
        <rFont val="Arial MT"/>
        <color rgb="FF485056"/>
        <sz val="10.0"/>
      </rPr>
      <t>SK 1 Meningkatnya Kualitas Layanan Publik Bidang Sumber Daya Perangkat Pos dan Informatika</t>
    </r>
  </si>
  <si>
    <r>
      <rPr>
        <rFont val="Arial MT"/>
        <color rgb="FF485056"/>
        <sz val="10.0"/>
      </rPr>
      <t>Jumlah Peserta Sertifikasi Operator Radio berbasis CAT</t>
    </r>
  </si>
  <si>
    <r>
      <rPr>
        <rFont val="Arial MT"/>
        <color rgb="FF485056"/>
        <sz val="10.0"/>
      </rPr>
      <t>Iya</t>
    </r>
  </si>
  <si>
    <r>
      <rPr>
        <rFont val="Arial MT"/>
        <color rgb="FF485056"/>
        <sz val="10.0"/>
      </rPr>
      <t>Tidak</t>
    </r>
  </si>
  <si>
    <r>
      <rPr>
        <rFont val="Arial MT"/>
        <color rgb="FF485056"/>
        <sz val="10.0"/>
      </rPr>
      <t>Tidak</t>
    </r>
  </si>
  <si>
    <r>
      <rPr>
        <rFont val="Arial MT"/>
        <color rgb="FF485056"/>
        <sz val="10.0"/>
      </rPr>
      <t>Iya</t>
    </r>
  </si>
  <si>
    <r>
      <rPr>
        <rFont val="Arial MT"/>
        <color rgb="FF485056"/>
        <sz val="10.0"/>
      </rPr>
      <t>8,000.00 Peserta Sertifikasi Radio Amatir dan REOR</t>
    </r>
  </si>
  <si>
    <r>
      <rPr>
        <rFont val="Arial MT"/>
        <color rgb="FF485056"/>
        <sz val="10.0"/>
      </rPr>
      <t>10,448.00 Peserta Sertifikasi Radio Amatir dan REOR</t>
    </r>
  </si>
  <si>
    <r>
      <rPr>
        <rFont val="Arial MT"/>
        <color rgb="FF485056"/>
        <sz val="10.0"/>
      </rPr>
      <t>SK 1 Meningkatnya Kualitas Layanan Publik Bidang Sumber Daya Perangkat Pos dan Informatika</t>
    </r>
  </si>
  <si>
    <r>
      <rPr>
        <rFont val="Arial MT"/>
        <color rgb="FF485056"/>
        <sz val="10.0"/>
      </rPr>
      <t>Jumlah Sertifikasi Operator Radio bagi Nelayan (SRC/LRC)</t>
    </r>
  </si>
  <si>
    <r>
      <rPr>
        <rFont val="Arial MT"/>
        <color rgb="FF485056"/>
        <sz val="10.0"/>
      </rPr>
      <t>Iya</t>
    </r>
  </si>
  <si>
    <r>
      <rPr>
        <rFont val="Arial MT"/>
        <color rgb="FF485056"/>
        <sz val="10.0"/>
      </rPr>
      <t>Tidak</t>
    </r>
  </si>
  <si>
    <r>
      <rPr>
        <rFont val="Arial MT"/>
        <color rgb="FF485056"/>
        <sz val="10.0"/>
      </rPr>
      <t>Tidak</t>
    </r>
  </si>
  <si>
    <r>
      <rPr>
        <rFont val="Arial MT"/>
        <color rgb="FF485056"/>
        <sz val="10.0"/>
      </rPr>
      <t>Iya</t>
    </r>
  </si>
  <si>
    <r>
      <rPr>
        <rFont val="Arial MT"/>
        <color rgb="FF485056"/>
        <sz val="10.0"/>
      </rPr>
      <t>1,400.00 SRC/LRC</t>
    </r>
  </si>
  <si>
    <r>
      <rPr>
        <rFont val="Arial MT"/>
        <color rgb="FF485056"/>
        <sz val="10.0"/>
      </rPr>
      <t>2,860.00 SRC/LRC</t>
    </r>
  </si>
  <si>
    <r>
      <rPr>
        <rFont val="Arial MT"/>
        <color rgb="FF485056"/>
        <sz val="10.0"/>
      </rPr>
      <t>SK 1 Meningkatnya Kualitas Layanan Publik Bidang Sumber Daya Perangkat Pos dan Informatika</t>
    </r>
  </si>
  <si>
    <r>
      <rPr>
        <rFont val="Arial MT"/>
        <color rgb="FF485056"/>
        <sz val="10.0"/>
      </rPr>
      <t>Nilai Pemenuhan LKE Zona Integritas menuju WBBM (Wilayah Birokrasi Bersih Melayani)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</si>
  <si>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</si>
  <si>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</si>
  <si>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</si>
  <si>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</si>
  <si>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90.00 Nilai</t>
    </r>
  </si>
  <si>
    <r>
      <rPr>
        <rFont val="Arial MT"/>
        <color rgb="FF485056"/>
        <sz val="10.0"/>
      </rPr>
      <t>97.77 Nilai</t>
    </r>
  </si>
  <si>
    <r>
      <rPr>
        <rFont val="Arial MT"/>
        <color rgb="FF485056"/>
        <sz val="10.0"/>
      </rPr>
      <t>SK 1 Meningkatnya Kualitas Layanan Publik Bidang Sumber Daya Perangkat Pos dan Informatika</t>
    </r>
  </si>
  <si>
    <r>
      <rPr>
        <rFont val="Arial MT"/>
        <color rgb="FF485056"/>
        <sz val="10.0"/>
      </rPr>
      <t>Persentase (%) Capaian ISR One Day Service</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</si>
  <si>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</si>
  <si>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</si>
  <si>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</si>
  <si>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</si>
  <si>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94.00 Persentase</t>
    </r>
  </si>
  <si>
    <r>
      <rPr>
        <rFont val="Arial MT"/>
        <color rgb="FF485056"/>
        <sz val="10.0"/>
      </rPr>
      <t>100.00 Persentase</t>
    </r>
  </si>
  <si>
    <r>
      <rPr>
        <rFont val="Arial MT"/>
        <color rgb="FF485056"/>
        <sz val="10.0"/>
      </rPr>
      <t>SK 1 Meningkatnya Kualitas Layanan Publik Bidang Sumber Daya Perangkat Pos dan Informatika</t>
    </r>
  </si>
  <si>
    <r>
      <rPr>
        <rFont val="Arial MT"/>
        <color rgb="FF485056"/>
        <sz val="10.0"/>
      </rPr>
      <t>Persentase (%) Capaian Target PNBP BHP Frekuensi Radio</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</si>
  <si>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</si>
  <si>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</si>
  <si>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</si>
  <si>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</si>
  <si>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100.00 Persentase</t>
    </r>
  </si>
  <si>
    <r>
      <rPr>
        <rFont val="Arial MT"/>
        <color rgb="FF485056"/>
        <sz val="10.0"/>
      </rPr>
      <t>100.02 Persentase</t>
    </r>
  </si>
  <si>
    <r>
      <rPr>
        <rFont val="Arial MT"/>
        <color rgb="FF485056"/>
        <sz val="10.0"/>
      </rPr>
      <t>SK 1 Meningkatnya Kualitas Layanan Publik Bidang Sumber Daya Perangkat Pos dan Informatika</t>
    </r>
  </si>
  <si>
    <r>
      <rPr>
        <rFont val="Arial MT"/>
        <color rgb="FF485056"/>
        <sz val="10.0"/>
      </rPr>
      <t>Persentase (%) Validitas Data Spektrum Frekuensi Radio</t>
    </r>
  </si>
  <si>
    <r>
      <rPr>
        <rFont val="Arial MT"/>
        <color rgb="FF485056"/>
        <sz val="10.0"/>
      </rPr>
      <t>Iya</t>
    </r>
  </si>
  <si>
    <r>
      <rPr>
        <rFont val="Arial MT"/>
        <color rgb="FF485056"/>
        <sz val="10.0"/>
      </rPr>
      <t>Tidak</t>
    </r>
  </si>
  <si>
    <r>
      <rPr>
        <rFont val="Arial MT"/>
        <color rgb="FF485056"/>
        <sz val="10.0"/>
      </rPr>
      <t>Tidak</t>
    </r>
  </si>
  <si>
    <r>
      <rPr>
        <rFont val="Arial MT"/>
        <color rgb="FF485056"/>
        <sz val="10.0"/>
      </rPr>
      <t>Iya</t>
    </r>
  </si>
  <si>
    <r>
      <rPr>
        <rFont val="Arial MT"/>
        <color rgb="FF485056"/>
        <sz val="10.0"/>
      </rPr>
      <t>95.00 Persentase</t>
    </r>
  </si>
  <si>
    <r>
      <rPr>
        <rFont val="Arial MT"/>
        <color rgb="FF485056"/>
        <sz val="10.0"/>
      </rPr>
      <t>100.00 Persentase</t>
    </r>
  </si>
  <si>
    <r>
      <rPr>
        <rFont val="Arial MT"/>
        <color rgb="FF485056"/>
        <sz val="10.0"/>
      </rPr>
      <t>SK 1 Meningkatnya kualitas layanan perizinan bidang penyiaran</t>
    </r>
  </si>
  <si>
    <r>
      <rPr>
        <rFont val="Arial MT"/>
        <color rgb="FF485056"/>
        <sz val="10.0"/>
      </rPr>
      <t>Indeks Minimum Integritas Pelayanan Publik penyelenggaraan penyiaran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</si>
  <si>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</si>
  <si>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</si>
  <si>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</si>
  <si>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</si>
  <si>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8.50 Nilai</t>
    </r>
  </si>
  <si>
    <r>
      <rPr>
        <rFont val="Arial MT"/>
        <color rgb="FF485056"/>
        <sz val="10.0"/>
      </rPr>
      <t>8.65 Nilai</t>
    </r>
  </si>
  <si>
    <r>
      <rPr>
        <rFont val="Arial MT"/>
        <color rgb="FF485056"/>
        <sz val="10.0"/>
      </rPr>
      <t>SK 1 Meningkatnya kualitas layanan perizinan bidang penyiaran</t>
    </r>
  </si>
  <si>
    <r>
      <rPr>
        <rFont val="Arial MT"/>
        <color rgb="FF485056"/>
        <sz val="10.0"/>
      </rPr>
      <t>Indeks Minimum Kepuasan Masyarakat terhadap pelayanan publik penyelenggaraan penyiaran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</si>
  <si>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</si>
  <si>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</si>
  <si>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</si>
  <si>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</si>
  <si>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3.50 Nilai</t>
    </r>
  </si>
  <si>
    <r>
      <rPr>
        <rFont val="Arial MT"/>
        <color rgb="FF485056"/>
        <sz val="10.0"/>
      </rPr>
      <t>3.67 Nilai</t>
    </r>
  </si>
  <si>
    <r>
      <rPr>
        <rFont val="Arial MT"/>
        <color rgb="FF485056"/>
        <sz val="10.0"/>
      </rPr>
      <t>SK 1 Meningkatnya kualitas layanan perizinan bidang penyiaran</t>
    </r>
  </si>
  <si>
    <r>
      <rPr>
        <rFont val="Arial MT"/>
        <color rgb="FF485056"/>
        <sz val="10.0"/>
      </rPr>
      <t>Indeks Minimum Kepuasan Masyarakat terhadap pelayanan publik penyelenggaraan penyiaran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</si>
  <si>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</si>
  <si>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</si>
  <si>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</si>
  <si>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</si>
  <si>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3.50 Nilai</t>
    </r>
  </si>
  <si>
    <r>
      <rPr>
        <rFont val="Arial MT"/>
        <color rgb="FF485056"/>
        <sz val="10.0"/>
      </rPr>
      <t>3.67 Nilai</t>
    </r>
  </si>
  <si>
    <r>
      <rPr>
        <rFont val="Arial MT"/>
        <color rgb="FF485056"/>
        <sz val="10.0"/>
      </rPr>
      <t>SK 1 Meningkatnya kualitas layanan perizinan bidang penyiaran</t>
    </r>
  </si>
  <si>
    <r>
      <rPr>
        <rFont val="Arial MT"/>
        <color rgb="FF485056"/>
        <sz val="10.0"/>
      </rPr>
      <t>Jumlah target capaian PNBP Penyiaran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</si>
  <si>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</si>
  <si>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</si>
  <si>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</si>
  <si>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</si>
  <si>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50,044,726,000.00
</t>
    </r>
    <r>
      <rPr>
        <rFont val="Arial MT"/>
        <color rgb="FF485056"/>
        <sz val="10.0"/>
      </rPr>
      <t>rupiah</t>
    </r>
  </si>
  <si>
    <r>
      <rPr>
        <rFont val="Arial MT"/>
        <color rgb="FF485056"/>
        <sz val="10.0"/>
      </rPr>
      <t xml:space="preserve">61,677,825,977.00
</t>
    </r>
    <r>
      <rPr>
        <rFont val="Arial MT"/>
        <color rgb="FF485056"/>
        <sz val="10.0"/>
      </rPr>
      <t>rupiah</t>
    </r>
  </si>
  <si>
    <r>
      <rPr>
        <rFont val="Arial MT"/>
        <color rgb="FF485056"/>
        <sz val="10.0"/>
      </rPr>
      <t>SK 1 Meningkatnya kualitas layanan perizinan bidang pos</t>
    </r>
  </si>
  <si>
    <r>
      <rPr>
        <rFont val="Arial MT"/>
        <color rgb="FF485056"/>
        <sz val="10.0"/>
      </rPr>
      <t>Indeks Minimum Integritas Pelayanan Publik penyelenggaraan pos</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</si>
  <si>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</si>
  <si>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</si>
  <si>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</si>
  <si>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</si>
  <si>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8.20 Nilai</t>
    </r>
  </si>
  <si>
    <r>
      <rPr>
        <rFont val="Arial MT"/>
        <color rgb="FF485056"/>
        <sz val="10.0"/>
      </rPr>
      <t>9.66 Nilai</t>
    </r>
  </si>
  <si>
    <r>
      <rPr>
        <rFont val="Arial MT"/>
        <color rgb="FF485056"/>
        <sz val="10.0"/>
      </rPr>
      <t>SK 1 Meningkatnya kualitas layanan perizinan bidang pos</t>
    </r>
  </si>
  <si>
    <r>
      <rPr>
        <rFont val="Arial MT"/>
        <color rgb="FF485056"/>
        <sz val="10.0"/>
      </rPr>
      <t>Indeks Minimum Kepuasan Masyarakat terhadap pelayanan publik penyelenggaraan pos</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</si>
  <si>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</si>
  <si>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</si>
  <si>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</si>
  <si>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</si>
  <si>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3.50 Nilai</t>
    </r>
  </si>
  <si>
    <r>
      <rPr>
        <rFont val="Arial MT"/>
        <color rgb="FF485056"/>
        <sz val="10.0"/>
      </rPr>
      <t>3.89 Nilai</t>
    </r>
  </si>
  <si>
    <r>
      <rPr>
        <rFont val="Arial MT"/>
        <color rgb="FF485056"/>
        <sz val="10.0"/>
      </rPr>
      <t>SK 1 Meningkatnya kualitas layanan perizinan bidang telekomunikasi</t>
    </r>
  </si>
  <si>
    <r>
      <rPr>
        <rFont val="Arial MT"/>
        <color rgb="FF485056"/>
        <sz val="10.0"/>
      </rPr>
      <t>Indeks Minimum Kepuasan Masyarakat terhadap pelayanan publik penyelenggaraan telekomunikasi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</si>
  <si>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</si>
  <si>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</si>
  <si>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</si>
  <si>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</si>
  <si>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3.50 indeks</t>
    </r>
  </si>
  <si>
    <r>
      <rPr>
        <rFont val="Arial MT"/>
        <color rgb="FF485056"/>
        <sz val="10.0"/>
      </rPr>
      <t>3.84 indeks</t>
    </r>
  </si>
  <si>
    <r>
      <rPr>
        <rFont val="Arial MT"/>
        <color rgb="FF485056"/>
        <sz val="10.0"/>
      </rPr>
      <t>SK 1 Meningkatnya kualitas layanan perizinan bidang telekomunikasi</t>
    </r>
  </si>
  <si>
    <r>
      <rPr>
        <rFont val="Arial MT"/>
        <color rgb="FF485056"/>
        <sz val="10.0"/>
      </rPr>
      <t>Indeks Minimum integritas pelayanan publik penyelenggaraan telekomunikasi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</si>
  <si>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</si>
  <si>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</si>
  <si>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</si>
  <si>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</si>
  <si>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8.50 indeks</t>
    </r>
  </si>
  <si>
    <r>
      <rPr>
        <rFont val="Arial MT"/>
        <color rgb="FF485056"/>
        <sz val="10.0"/>
      </rPr>
      <t>9.86 indeks</t>
    </r>
  </si>
  <si>
    <r>
      <rPr>
        <rFont val="Arial MT"/>
        <color rgb="FF485056"/>
        <sz val="10.0"/>
      </rPr>
      <t>SK 1 Meningkatnya kualitas tata kelola Ditjen PPI yang transparan, akuntabel, bersih dan efisien</t>
    </r>
  </si>
  <si>
    <r>
      <rPr>
        <rFont val="Arial MT"/>
        <color rgb="FF485056"/>
        <sz val="10.0"/>
      </rPr>
      <t>Indeks Reformasi Birokrasi Ditjen PPI Tahun 2024 berdasarkan Realisasi Rencana Aksi RB Tematik Ditjen PPI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</si>
  <si>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</si>
  <si>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</si>
  <si>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</si>
  <si>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</si>
  <si>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88.86 indeks</t>
    </r>
  </si>
  <si>
    <r>
      <rPr>
        <rFont val="Arial MT"/>
        <color rgb="FF485056"/>
        <sz val="10.0"/>
      </rPr>
      <t>100.00 indeks</t>
    </r>
  </si>
  <si>
    <r>
      <rPr>
        <rFont val="Arial MT"/>
        <color rgb="FF485056"/>
        <sz val="10.0"/>
      </rPr>
      <t>SK 1 Meningkatnya kualitas tata kelola Ditjen PPI yang transparan, akuntabel, bersih dan efisien</t>
    </r>
  </si>
  <si>
    <r>
      <rPr>
        <rFont val="Arial MT"/>
        <color rgb="FF485056"/>
        <sz val="10.0"/>
      </rPr>
      <t>Indeks kepuasan pegawai terhadap layanan Dukungan Manajemen Ditjen 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</si>
  <si>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</si>
  <si>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</si>
  <si>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</si>
  <si>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</si>
  <si>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3.25 indeks</t>
    </r>
  </si>
  <si>
    <r>
      <rPr>
        <rFont val="Arial MT"/>
        <color rgb="FF485056"/>
        <sz val="10.0"/>
      </rPr>
      <t>3.76 indeks</t>
    </r>
  </si>
  <si>
    <r>
      <rPr>
        <rFont val="Arial MT"/>
        <color rgb="FF485056"/>
        <sz val="10.0"/>
      </rPr>
      <t>SK 1 Meningkatnya kualitas tata kelola Ditjen PPI yang transparan, akuntabel, bersih dan efisien</t>
    </r>
  </si>
  <si>
    <r>
      <rPr>
        <rFont val="Arial MT"/>
        <color rgb="FF485056"/>
        <sz val="10.0"/>
      </rPr>
      <t>Nilai Akuntabilitas Kinerja (AKIP) Ditjen 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</si>
  <si>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</si>
  <si>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</si>
  <si>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</si>
  <si>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</si>
  <si>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75.00 nilai</t>
    </r>
  </si>
  <si>
    <r>
      <rPr>
        <rFont val="Arial MT"/>
        <color rgb="FF485056"/>
        <sz val="10.0"/>
      </rPr>
      <t>75.20 nilai</t>
    </r>
  </si>
  <si>
    <r>
      <rPr>
        <rFont val="Arial MT"/>
        <color rgb="FF485056"/>
        <sz val="10.0"/>
      </rPr>
      <t>SK 1 Meningkatnya kualitas tata kelola Ditjen PPI yang transparan, akuntabel, bersih dan efisien</t>
    </r>
  </si>
  <si>
    <r>
      <rPr>
        <rFont val="Arial MT"/>
        <color rgb="FF485056"/>
        <sz val="10.0"/>
      </rPr>
      <t>Nilai Kinerja Anggaran Ditjen 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</si>
  <si>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</si>
  <si>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</si>
  <si>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</si>
  <si>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</si>
  <si>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88.00 nilai</t>
    </r>
  </si>
  <si>
    <r>
      <rPr>
        <rFont val="Arial MT"/>
        <color rgb="FF485056"/>
        <sz val="10.0"/>
      </rPr>
      <t>83.23 nilai</t>
    </r>
  </si>
  <si>
    <r>
      <rPr>
        <rFont val="Arial MT"/>
        <color rgb="FF485056"/>
        <sz val="10.0"/>
      </rPr>
      <t>SK 1 Meningkatnya kualitas tata kelola Ditjen PPI yang transparan, akuntabel, bersih dan efisien</t>
    </r>
  </si>
  <si>
    <r>
      <rPr>
        <rFont val="Arial MT"/>
        <color rgb="FF485056"/>
        <sz val="10.0"/>
      </rPr>
      <t>Nilai SPIP Ditjen 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</si>
  <si>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</si>
  <si>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</si>
  <si>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</si>
  <si>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</si>
  <si>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3.00 nilai</t>
    </r>
  </si>
  <si>
    <r>
      <rPr>
        <rFont val="Arial MT"/>
        <color rgb="FF485056"/>
        <sz val="10.0"/>
      </rPr>
      <t>3.35 nilai</t>
    </r>
  </si>
  <si>
    <r>
      <rPr>
        <rFont val="Arial MT"/>
        <color rgb="FF485056"/>
        <sz val="10.0"/>
      </rPr>
      <t>SK 1 Meningkatnya kualitas tata kelola Ditjen PPI yang transparan, akuntabel, bersih dan efisien</t>
    </r>
  </si>
  <si>
    <r>
      <rPr>
        <rFont val="Arial MT"/>
        <color rgb="FF485056"/>
        <sz val="10.0"/>
      </rPr>
      <t>Nilai kualitas pelaporan keuangan Unit Akuntansi Kuasa Pengguna Anggaran (UAKPA)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</si>
  <si>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</si>
  <si>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</si>
  <si>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</si>
  <si>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</si>
  <si>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97.50 nilai</t>
    </r>
  </si>
  <si>
    <r>
      <rPr>
        <rFont val="Arial MT"/>
        <color rgb="FF485056"/>
        <sz val="10.0"/>
      </rPr>
      <t>97.00 nilai</t>
    </r>
  </si>
  <si>
    <r>
      <rPr>
        <rFont val="Arial MT"/>
        <color rgb="FF485056"/>
        <sz val="10.0"/>
      </rPr>
      <t>SK 1 Meningkatnya kualitas tata kelola Ditjen PPI yang transparan, akuntabel, bersih dan efisien</t>
    </r>
  </si>
  <si>
    <r>
      <rPr>
        <rFont val="Arial MT"/>
        <color rgb="FF485056"/>
        <sz val="10.0"/>
      </rPr>
      <t>Nilai kualitas pelaporan keuangan Unit Akuntansi Pembantu Pengguna Anggaran Eselon I (UAPPA-E1)</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</si>
  <si>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</si>
  <si>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</si>
  <si>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</si>
  <si>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</si>
  <si>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90.00 nilai</t>
    </r>
  </si>
  <si>
    <r>
      <rPr>
        <rFont val="Arial MT"/>
        <color rgb="FF485056"/>
        <sz val="10.0"/>
      </rPr>
      <t>95.00 nilai</t>
    </r>
  </si>
  <si>
    <r>
      <rPr>
        <rFont val="Arial MT"/>
        <color rgb="FF485056"/>
        <sz val="10.0"/>
      </rPr>
      <t>SK 1 Meningkatnya kualitas tata kelola Ditjen PPI yang transparan, akuntabel, bersih dan efisien</t>
    </r>
  </si>
  <si>
    <r>
      <rPr>
        <rFont val="Arial MT"/>
        <color rgb="FF485056"/>
        <sz val="10.0"/>
      </rPr>
      <t>Persentase (%) batas tertinggi temuan hasil pemeriksaan BPK di Ditjen 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</si>
  <si>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</si>
  <si>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</si>
  <si>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</si>
  <si>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</si>
  <si>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1 Meningkatnya kualitas tata kelola Ditjen PPI yang transparan, akuntabel, bersih dan efisien</t>
    </r>
  </si>
  <si>
    <r>
      <rPr>
        <rFont val="Arial MT"/>
        <color rgb="FF485056"/>
        <sz val="10.0"/>
      </rPr>
      <t>Persentase (%) belanja pengadaan barang dan jasa Ditjen PPI yang dilakukan secara elektronik (e-purchasing)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</si>
  <si>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</si>
  <si>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</si>
  <si>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</si>
  <si>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</si>
  <si>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1 Meningkatnya kualitas tata kelola Ditjen PPI yang transparan, akuntabel, bersih dan efisien</t>
    </r>
  </si>
  <si>
    <r>
      <rPr>
        <rFont val="Arial MT"/>
        <color rgb="FF485056"/>
        <sz val="10.0"/>
      </rPr>
      <t>Persentase (%) fasilitasi perancangan peraturan perundang-undangan, bantuan hukum, dan kerja sama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</si>
  <si>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</si>
  <si>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</si>
  <si>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</si>
  <si>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</si>
  <si>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1 Meningkatnya kualitas tata kelola Ditjen PPI yang transparan, akuntabel, bersih dan efisien</t>
    </r>
  </si>
  <si>
    <r>
      <rPr>
        <rFont val="Arial MT"/>
        <color rgb="FF485056"/>
        <sz val="10.0"/>
      </rPr>
      <t>Persentase (%) penggunaan Produk Dalam Negeri (PDN) dan produk UMKM dalam belanja pengadaan barang dan jasa Ditjen 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</si>
  <si>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</si>
  <si>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</si>
  <si>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</si>
  <si>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</si>
  <si>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1 Meningkatnya kualitas tata kelola Ditjen PPI yang transparan, akuntabel, bersih dan efisien</t>
    </r>
  </si>
  <si>
    <r>
      <rPr>
        <rFont val="Arial MT"/>
        <color rgb="FF485056"/>
        <sz val="10.0"/>
      </rPr>
      <t>Persentase penyelesaian Tindak Lanjut Hasil Pemeriksaan BPK pada tahun berjalan di Ditjen 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</si>
  <si>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</si>
  <si>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</si>
  <si>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</si>
  <si>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</si>
  <si>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1 Meningkatnya kualitas tata kelola Ditjen PPI yang transparan, akuntabel, bersih dan efisien</t>
    </r>
  </si>
  <si>
    <r>
      <rPr>
        <rFont val="Arial MT"/>
        <color rgb="FF485056"/>
        <sz val="10.0"/>
      </rPr>
      <t>Persentase penyelesaian Tindak Lanjut Hasil Pemeriksaan BPK pada tahun sebelumnya di Ditjen 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</si>
  <si>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</si>
  <si>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</si>
  <si>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</si>
  <si>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</si>
  <si>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1 Terciptanya Standardisasi Alat dan Perangkat Komunikasi</t>
    </r>
  </si>
  <si>
    <r>
      <rPr>
        <rFont val="Arial MT"/>
        <color rgb="FF485056"/>
        <sz val="10.0"/>
      </rPr>
      <t>Jumlah Rancangan Kebijakan Alat dan Perangkat Telekomunikasi dan Teknologi Informasi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</si>
  <si>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</si>
  <si>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</si>
  <si>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</si>
  <si>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</si>
  <si>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9.00 Rekomendasi Kebijakan</t>
    </r>
  </si>
  <si>
    <r>
      <rPr>
        <rFont val="Arial MT"/>
        <color rgb="FF485056"/>
        <sz val="10.0"/>
      </rPr>
      <t>9.00 Rekomendasi Kebijakan</t>
    </r>
  </si>
  <si>
    <r>
      <rPr>
        <rFont val="Arial MT"/>
        <color rgb="FF485056"/>
        <sz val="10.0"/>
      </rPr>
      <t>SK 1 Terciptanya Standardisasi Alat dan Perangkat Komunikasi</t>
    </r>
  </si>
  <si>
    <r>
      <rPr>
        <rFont val="Arial MT"/>
        <color rgb="FF485056"/>
        <sz val="10.0"/>
      </rPr>
      <t>Jumlah kota pengukuran medan elektromagnetik (Electromagnetic Field) Frekuensi Radio</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</si>
  <si>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</si>
  <si>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</si>
  <si>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</si>
  <si>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</si>
  <si>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5.00 Kota</t>
    </r>
  </si>
  <si>
    <r>
      <rPr>
        <rFont val="Arial MT"/>
        <color rgb="FF485056"/>
        <sz val="10.0"/>
      </rPr>
      <t>8.00 Kota</t>
    </r>
  </si>
  <si>
    <r>
      <rPr>
        <rFont val="Arial MT"/>
        <color rgb="FF485056"/>
        <sz val="10.0"/>
      </rPr>
      <t>SK 1 Terciptanya Standardisasi Alat dan Perangkat Komunikasi</t>
    </r>
  </si>
  <si>
    <r>
      <rPr>
        <rFont val="Arial MT"/>
        <color rgb="FF485056"/>
        <sz val="10.0"/>
      </rPr>
      <t>Jumlah negara yang melakukan kesepakatan tentang saling pengakuan laboratorium pengujian perangkat telekomunikasi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</si>
  <si>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</si>
  <si>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</si>
  <si>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</si>
  <si>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</si>
  <si>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 Negara</t>
    </r>
  </si>
  <si>
    <r>
      <rPr>
        <rFont val="Arial MT"/>
        <color rgb="FF485056"/>
        <sz val="10.0"/>
      </rPr>
      <t>1.00 Negara</t>
    </r>
  </si>
  <si>
    <r>
      <rPr>
        <rFont val="Arial MT"/>
        <color rgb="FF485056"/>
        <sz val="10.0"/>
      </rPr>
      <t>SK 1 Terciptanya Standardisasi Alat dan Perangkat Komunikasi</t>
    </r>
  </si>
  <si>
    <r>
      <rPr>
        <rFont val="Arial MT"/>
        <color rgb="FF485056"/>
        <sz val="10.0"/>
      </rPr>
      <t>Persentase (%) Registrasi data IMEI untuk keperluan pemerintah ke dalam Sistem CEIR yang diproses tepat waktu</t>
    </r>
  </si>
  <si>
    <r>
      <rPr>
        <rFont val="Arial MT"/>
        <color rgb="FF485056"/>
        <sz val="10.0"/>
      </rPr>
      <t>Iya</t>
    </r>
  </si>
  <si>
    <r>
      <rPr>
        <rFont val="Arial MT"/>
        <color rgb="FF485056"/>
        <sz val="10.0"/>
      </rPr>
      <t>Tidak</t>
    </r>
  </si>
  <si>
    <r>
      <rPr>
        <rFont val="Arial MT"/>
        <color rgb="FF485056"/>
        <sz val="10.0"/>
      </rPr>
      <t>Tidak</t>
    </r>
  </si>
  <si>
    <r>
      <rPr>
        <rFont val="Arial MT"/>
        <color rgb="FF485056"/>
        <sz val="10.0"/>
      </rPr>
      <t>Iya</t>
    </r>
  </si>
  <si>
    <r>
      <rPr>
        <rFont val="Arial MT"/>
        <color rgb="FF485056"/>
        <sz val="10.0"/>
      </rPr>
      <t>SK 1 Terwujudnya Balai Besar Pengujian Perangkat Telekomunikasi menjadi Laboratorium Pusat Pengujian Perangkat TIK</t>
    </r>
  </si>
  <si>
    <r>
      <rPr>
        <rFont val="Arial MT"/>
        <color rgb="FF485056"/>
        <sz val="10.0"/>
      </rPr>
      <t>Persentase (%) Pemenuhan Prasarana Laboratorium Pengujian Alat/Perangkat Pengujian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</si>
  <si>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</si>
  <si>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</si>
  <si>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</si>
  <si>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</si>
  <si>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1 Terwujudnya Balai Besar Pengujian Perangkat Telekomunikasi menjadi Laboratorium Pusat Pengujian Perangkat TIK</t>
    </r>
  </si>
  <si>
    <r>
      <rPr>
        <rFont val="Arial MT"/>
        <color rgb="FF485056"/>
        <sz val="10.0"/>
      </rPr>
      <t>Persentase (%) Pengembangan Sistem Informasi Pengujian Perangkat TIK BBPPT Tapos</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</si>
  <si>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</si>
  <si>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</si>
  <si>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</si>
  <si>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</si>
  <si>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1 Terwujudnya Balai Besar Pengujian Perangkat Telekomunikasi menjadi Laboratorium Pusat Pengujian Perangkat TIK</t>
    </r>
  </si>
  <si>
    <r>
      <rPr>
        <rFont val="Arial MT"/>
        <color rgb="FF485056"/>
        <sz val="10.0"/>
      </rPr>
      <t>Persentase Pemenuhan Standar Mutu International Organization for Standardization (ISO)</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</si>
  <si>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</si>
  <si>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</si>
  <si>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</si>
  <si>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</si>
  <si>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1 Terwujudnya Penanganan Gangguan Frekuensi Radio untuk Keselamatan</t>
    </r>
  </si>
  <si>
    <r>
      <rPr>
        <rFont val="Arial MT"/>
        <color rgb="FF485056"/>
        <sz val="10.0"/>
      </rPr>
      <t>Jumlah Dokumen Teknis Pembahasan/Koordinasi Penggunaan Spektrum Frekuensi Radio Antar Negara dan Internasional</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</si>
  <si>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</si>
  <si>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</si>
  <si>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</si>
  <si>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</si>
  <si>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5.00 Dokumen</t>
    </r>
  </si>
  <si>
    <r>
      <rPr>
        <rFont val="Arial MT"/>
        <color rgb="FF485056"/>
        <sz val="10.0"/>
      </rPr>
      <t>5.00 Dokumen</t>
    </r>
  </si>
  <si>
    <r>
      <rPr>
        <rFont val="Arial MT"/>
        <color rgb="FF485056"/>
        <sz val="10.0"/>
      </rPr>
      <t>SK 1 Terwujudnya Penanganan Gangguan Frekuensi Radio untuk Keselamatan</t>
    </r>
  </si>
  <si>
    <r>
      <rPr>
        <rFont val="Arial MT"/>
        <color rgb="FF485056"/>
        <sz val="10.0"/>
      </rPr>
      <t>Jumlah Laporan Pengelolaan Ketata Usahaan Direktorat Pengendalian SDPPI</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</si>
  <si>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</si>
  <si>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</si>
  <si>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</si>
  <si>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</si>
  <si>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24.00 Laporan</t>
    </r>
  </si>
  <si>
    <r>
      <rPr>
        <rFont val="Arial MT"/>
        <color rgb="FF485056"/>
        <sz val="10.0"/>
      </rPr>
      <t>24.00 Laporan</t>
    </r>
  </si>
  <si>
    <r>
      <rPr>
        <rFont val="Arial MT"/>
        <color rgb="FF485056"/>
        <sz val="10.0"/>
      </rPr>
      <t>SK 1 Terwujudnya Penanganan Gangguan Frekuensi Radio untuk Keselamatan</t>
    </r>
  </si>
  <si>
    <r>
      <rPr>
        <rFont val="Arial MT"/>
        <color rgb="FF485056"/>
        <sz val="10.0"/>
      </rPr>
      <t>Persentase (%) Hasil Monitoring Sertifikasi Alat dan Perangkat Telekomunikasi yang Ditindaklanjuti</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</si>
  <si>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</si>
  <si>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</si>
  <si>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</si>
  <si>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</si>
  <si>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SK 1 Terwujudnya Penanganan Gangguan Frekuensi Radio untuk Keselamatan</t>
    </r>
  </si>
  <si>
    <r>
      <rPr>
        <rFont val="Arial MT"/>
        <color rgb="FF485056"/>
        <sz val="10.0"/>
      </rPr>
      <t>Persentase (%) Monitoring Penggunaan Spektrum Frekuensi Radio</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</si>
  <si>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</si>
  <si>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</si>
  <si>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</si>
  <si>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</si>
  <si>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SK 1 Terwujudnya Penanganan Gangguan Frekuensi Radio untuk Keselamatan</t>
    </r>
  </si>
  <si>
    <r>
      <rPr>
        <rFont val="Arial MT"/>
        <color rgb="FF485056"/>
        <sz val="10.0"/>
      </rPr>
      <t>Persentase (%) Penanganan Gangguan Spektrum yang Mengganggu Komunikasi terkait Keselamatan</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</si>
  <si>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</si>
  <si>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</si>
  <si>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</si>
  <si>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</si>
  <si>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SK 1 Terwujudnya Penanganan Gangguan Frekuensi Radio untuk Keselamatan</t>
    </r>
  </si>
  <si>
    <r>
      <rPr>
        <rFont val="Arial MT"/>
        <color rgb="FF485056"/>
        <sz val="10.0"/>
      </rPr>
      <t>Persentase (%) Penanganan Pelanggaran Standar Perangkat Telekomunikasi</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</si>
  <si>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</si>
  <si>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</si>
  <si>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</si>
  <si>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</si>
  <si>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SK 1 Terwujudnya Penanganan Gangguan Frekuensi Radio untuk Keselamatan</t>
    </r>
  </si>
  <si>
    <r>
      <rPr>
        <rFont val="Arial MT"/>
        <color rgb="FF485056"/>
        <sz val="10.0"/>
      </rPr>
      <t>Persentase (%) Penggunaan Spektrum Frekuensi Radio pada Acara Event Khusus Termonitor</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</si>
  <si>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</si>
  <si>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</si>
  <si>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</si>
  <si>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</si>
  <si>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SK 2 Meningkatnya Kualitas Layanan Publik Bidang Sumber Daya Perangkat Pos dan Informatika</t>
    </r>
  </si>
  <si>
    <r>
      <rPr>
        <rFont val="Arial MT"/>
        <color rgb="FF485056"/>
        <sz val="10.0"/>
      </rPr>
      <t xml:space="preserve">Indeks Integritas Pelayanan Publik atas Pelayanan Sertifikasi Alat Telekomunikasi dan/atau Perangkat Telekomunikasi Tahun 2024 (skala 0 s.
</t>
    </r>
    <r>
      <rPr>
        <rFont val="Arial MT"/>
        <color rgb="FF485056"/>
        <sz val="10.0"/>
      </rPr>
      <t>10)</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</si>
  <si>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</si>
  <si>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</si>
  <si>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</si>
  <si>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</si>
  <si>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8.50 Nilai</t>
    </r>
  </si>
  <si>
    <r>
      <rPr>
        <rFont val="Arial MT"/>
        <color rgb="FF485056"/>
        <sz val="10.0"/>
      </rPr>
      <t>9.20 Nilai</t>
    </r>
  </si>
  <si>
    <r>
      <rPr>
        <rFont val="Arial MT"/>
        <color rgb="FF485056"/>
        <sz val="10.0"/>
      </rPr>
      <t>SK 2 Meningkatnya Kualitas Layanan Publik Bidang Sumber Daya Perangkat Pos dan Informatika</t>
    </r>
  </si>
  <si>
    <r>
      <rPr>
        <rFont val="Arial MT"/>
        <color rgb="FF485056"/>
        <sz val="10.0"/>
      </rPr>
      <t xml:space="preserve">Indeks Kepuasan Masyarakat atas Pelayanan Sertifikasi Alat Telekomunikasi dan/atau Perangkat Telekomunikasi Tahun 2024 (skala 0 s.
</t>
    </r>
    <r>
      <rPr>
        <rFont val="Arial MT"/>
        <color rgb="FF485056"/>
        <sz val="10.0"/>
      </rPr>
      <t>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</si>
  <si>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</si>
  <si>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</si>
  <si>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</si>
  <si>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</si>
  <si>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3.60 Nilai</t>
    </r>
  </si>
  <si>
    <r>
      <rPr>
        <rFont val="Arial MT"/>
        <color rgb="FF485056"/>
        <sz val="10.0"/>
      </rPr>
      <t>3.60 Nilai</t>
    </r>
  </si>
  <si>
    <r>
      <rPr>
        <rFont val="Arial MT"/>
        <color rgb="FF485056"/>
        <sz val="10.0"/>
      </rPr>
      <t>SK 2 Meningkatnya Kualitas Layanan Publik Bidang Sumber Daya Perangkat Pos dan Informatika</t>
    </r>
  </si>
  <si>
    <r>
      <rPr>
        <rFont val="Arial MT"/>
        <color rgb="FF485056"/>
        <sz val="10.0"/>
      </rPr>
      <t>Persentase (%) Pencapaian Target PNBP Biaya Sertifikasi Perangkat Telekomunikasi yang Ditetapkan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</si>
  <si>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</si>
  <si>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</si>
  <si>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</si>
  <si>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</si>
  <si>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2 Meningkatnya Kualitas Layanan Publik Bidang Sumber Daya Perangkat Pos dan Informatika</t>
    </r>
  </si>
  <si>
    <r>
      <rPr>
        <rFont val="Arial MT"/>
        <color rgb="FF485056"/>
        <sz val="10.0"/>
      </rPr>
      <t>Persentase (%) Permohonan Sertifikasi Alat Telekomunikasi dan/atau Perangkat Telekomunikasi yang Diproses Tepat Waktu</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</si>
  <si>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</si>
  <si>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</si>
  <si>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</si>
  <si>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</si>
  <si>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2 Meningkatnya cakupan konektivitas jaringan bergerak seluler di wilayah komersil</t>
    </r>
  </si>
  <si>
    <r>
      <rPr>
        <rFont val="Arial MT"/>
        <color rgb="FF485056"/>
        <sz val="10.0"/>
      </rPr>
      <t>Persentase (%) pemetaan desa/kelurahan di wilayah non-3T di Indonesia yang akan difasilitasi peningkatan kualitas layanan seluler 4G</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</si>
  <si>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</si>
  <si>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</si>
  <si>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</si>
  <si>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</si>
  <si>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2 Meningkatnya kualitas layanan pos, telekomunikasi, dan penyiaran yang diterima masyarakat</t>
    </r>
  </si>
  <si>
    <r>
      <rPr>
        <rFont val="Arial MT"/>
        <color rgb="FF485056"/>
        <sz val="10.0"/>
      </rPr>
      <t>Persentase (%) ketersediaan data kualitas layanan seluler di 514 kabupaten/kota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</si>
  <si>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</si>
  <si>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</si>
  <si>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</si>
  <si>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</si>
  <si>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2 Meningkatnya kualitas layanan pos, telekomunikasi, dan penyiaran yang diterima masyarakat</t>
    </r>
  </si>
  <si>
    <r>
      <rPr>
        <rFont val="Arial MT"/>
        <color rgb="FF485056"/>
        <sz val="10.0"/>
      </rPr>
      <t>Persentase (%) tindak lanjut hasil pengawasan terhadap QoS, QoE, dan aduan masyarakat</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</si>
  <si>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</si>
  <si>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</si>
  <si>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</si>
  <si>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</si>
  <si>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2 Meningkatnya pemerataan layanan dan pengembangan industri pos</t>
    </r>
  </si>
  <si>
    <r>
      <rPr>
        <rFont val="Arial MT"/>
        <color rgb="FF485056"/>
        <sz val="10.0"/>
      </rPr>
      <t>Jumlah desain prangko nasional yang disahkan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</si>
  <si>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</si>
  <si>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</si>
  <si>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</si>
  <si>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</si>
  <si>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12.00 Desain Seri</t>
    </r>
  </si>
  <si>
    <r>
      <rPr>
        <rFont val="Arial MT"/>
        <color rgb="FF485056"/>
        <sz val="10.0"/>
      </rPr>
      <t>14.00 Desain Seri</t>
    </r>
  </si>
  <si>
    <r>
      <rPr>
        <rFont val="Arial MT"/>
        <color rgb="FF485056"/>
        <sz val="10.0"/>
      </rPr>
      <t>SK 2 Meningkatnya pemerataan layanan dan pengembangan industri pos</t>
    </r>
  </si>
  <si>
    <r>
      <rPr>
        <rFont val="Arial MT"/>
        <color rgb="FF485056"/>
        <sz val="10.0"/>
      </rPr>
      <t>Persentase (%) kecamatan yang tercakup layanan pos</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</si>
  <si>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</si>
  <si>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</si>
  <si>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</si>
  <si>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</si>
  <si>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2 Meningkatnya pemerataan layanan dan pengembangan industri pos</t>
    </r>
  </si>
  <si>
    <r>
      <rPr>
        <rFont val="Arial MT"/>
        <color rgb="FF485056"/>
        <sz val="10.0"/>
      </rPr>
      <t>Persentase (%) peningkatan jumlah penyelenggara pos (nasional) yang menerapkan teknologi manajemen logistik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</si>
  <si>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</si>
  <si>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</si>
  <si>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</si>
  <si>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</si>
  <si>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2 Terlaksananya migrasi TV digital dan implementasi radio digital</t>
    </r>
  </si>
  <si>
    <r>
      <rPr>
        <rFont val="Arial MT"/>
        <color rgb="FF485056"/>
        <sz val="10.0"/>
      </rPr>
      <t>Jumlah rekomendasi kebijakan terkait televisi digital dan radio digital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</si>
  <si>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</si>
  <si>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</si>
  <si>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</si>
  <si>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</si>
  <si>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8.00 rekomendasi kebijakan</t>
    </r>
  </si>
  <si>
    <r>
      <rPr>
        <rFont val="Arial MT"/>
        <color rgb="FF485056"/>
        <sz val="10.0"/>
      </rPr>
      <t>8.00 rekomendasi kebijakan</t>
    </r>
  </si>
  <si>
    <r>
      <rPr>
        <rFont val="Arial MT"/>
        <color rgb="FF485056"/>
        <sz val="10.0"/>
      </rPr>
      <t>SK 2 Terwujudnya Infrastruktur Monitoring dan Manajemen Spektrum Frekuensi Radio</t>
    </r>
  </si>
  <si>
    <r>
      <rPr>
        <rFont val="Arial MT"/>
        <color rgb="FF485056"/>
        <sz val="10.0"/>
      </rPr>
      <t>Jumlah Penyediaan Perangkat untuk Pengembangan Infrastruktur Manajemen Spektrum Frekuensi Radio</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</si>
  <si>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</si>
  <si>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</si>
  <si>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</si>
  <si>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</si>
  <si>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28.00 Unit</t>
    </r>
  </si>
  <si>
    <r>
      <rPr>
        <rFont val="Arial MT"/>
        <color rgb="FF485056"/>
        <sz val="10.0"/>
      </rPr>
      <t>28.00 Unit</t>
    </r>
  </si>
  <si>
    <r>
      <rPr>
        <rFont val="Arial MT"/>
        <color rgb="FF485056"/>
        <sz val="10.0"/>
      </rPr>
      <t>SK 2 Terwujudnya Infrastruktur Monitoring dan Manajemen Spektrum Frekuensi Radio</t>
    </r>
  </si>
  <si>
    <r>
      <rPr>
        <rFont val="Arial MT"/>
        <color rgb="FF485056"/>
        <sz val="10.0"/>
      </rPr>
      <t>Persentase (%) Terjaganya operasional dan fungsi monitoring dari stasiun monitor frekuensi radio dalam mendukung kegiatan monitoring dan penertiban spektrum frekuensi radio</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</si>
  <si>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</si>
  <si>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</si>
  <si>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</si>
  <si>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</si>
  <si>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SK 2 Terwujudnya Infrastruktur Monitoring dan Manajemen Spektrum Frekuensi Radio</t>
    </r>
  </si>
  <si>
    <r>
      <rPr>
        <rFont val="Arial MT"/>
        <color rgb="FF485056"/>
        <sz val="10.0"/>
      </rPr>
      <t>Persentase (%) Terjaminnya Operasional Aplikasi E-Licensing SIMS untuk Mendukung Smart Service</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</si>
  <si>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</si>
  <si>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</si>
  <si>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</si>
  <si>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</si>
  <si>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SK 2 Terwujudnya Infrastruktur Monitoring dan Manajemen Spektrum Frekuensi Radio</t>
    </r>
  </si>
  <si>
    <r>
      <rPr>
        <rFont val="Arial MT"/>
        <color rgb="FF485056"/>
        <sz val="10.0"/>
      </rPr>
      <t>Persentase Pengembangan Infrastruktur Digital Licensing dalam Mendukung Smart Service Layanan Publik Ditjen Sumber Daya dan Perangkat Pos dan Informatika</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</si>
  <si>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</si>
  <si>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</si>
  <si>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</si>
  <si>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</si>
  <si>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SK 3 Meningkatnya Kualitas Layanan Publik Bidang Sumber Daya Perangkat Pos dan Informatika BBPPT</t>
    </r>
  </si>
  <si>
    <r>
      <rPr>
        <rFont val="Arial MT"/>
        <color rgb="FF485056"/>
        <sz val="10.0"/>
      </rPr>
      <t>Indeks Integritas Pelayanan Publiks Atas Pelayanan Pengujian Perangkat TIK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</si>
  <si>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</si>
  <si>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</si>
  <si>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</si>
  <si>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</si>
  <si>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8.50 Nilai</t>
    </r>
  </si>
  <si>
    <r>
      <rPr>
        <rFont val="Arial MT"/>
        <color rgb="FF485056"/>
        <sz val="10.0"/>
      </rPr>
      <t>9.14 Nilai</t>
    </r>
  </si>
  <si>
    <r>
      <rPr>
        <rFont val="Arial MT"/>
        <color rgb="FF485056"/>
        <sz val="10.0"/>
      </rPr>
      <t>SK 3 Meningkatnya Kualitas Layanan Publik Bidang Sumber Daya Perangkat Pos dan Informatika BBPPT</t>
    </r>
  </si>
  <si>
    <r>
      <rPr>
        <rFont val="Arial MT"/>
        <color rgb="FF485056"/>
        <sz val="10.0"/>
      </rPr>
      <t>Indeks Kepuasan Masyarakat Atas Pelayanan Pengujian Perangkat TIK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</si>
  <si>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</si>
  <si>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</si>
  <si>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</si>
  <si>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</si>
  <si>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3.60 Nilai</t>
    </r>
  </si>
  <si>
    <r>
      <rPr>
        <rFont val="Arial MT"/>
        <color rgb="FF485056"/>
        <sz val="10.0"/>
      </rPr>
      <t>3.81 Nilai</t>
    </r>
  </si>
  <si>
    <r>
      <rPr>
        <rFont val="Arial MT"/>
        <color rgb="FF485056"/>
        <sz val="10.0"/>
      </rPr>
      <t>SK 3 Meningkatnya Kualitas Layanan Publik Bidang Sumber Daya Perangkat Pos dan Informatika BBPPT</t>
    </r>
  </si>
  <si>
    <r>
      <rPr>
        <rFont val="Arial MT"/>
        <color rgb="FF485056"/>
        <sz val="10.0"/>
      </rPr>
      <t>Persentase (%) Pencapaian Target PNBP Biaya Pengujian dari target yang ditetapkan Tahun 2024 (Rp. 10.575.000)</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</si>
  <si>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</si>
  <si>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</si>
  <si>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</si>
  <si>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</si>
  <si>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3 Terwujudnya industri pos yang sehat dan berkelanjutan</t>
    </r>
  </si>
  <si>
    <r>
      <rPr>
        <rFont val="Arial MT"/>
        <color rgb="FF485056"/>
        <sz val="10.0"/>
      </rPr>
      <t>Persentase (%) kenaikan pendapatan penyelenggara pos</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</si>
  <si>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</si>
  <si>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</si>
  <si>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</si>
  <si>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</si>
  <si>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3 Terwujudnya industri telekomunikasi yang sehat dan berkelanjutan</t>
    </r>
  </si>
  <si>
    <r>
      <rPr>
        <rFont val="Arial MT"/>
        <color rgb="FF485056"/>
        <sz val="10.0"/>
      </rPr>
      <t>Persentase (%) penggunaan IPv6 pada trafik internet Indonesia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</si>
  <si>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</si>
  <si>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</si>
  <si>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</si>
  <si>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</si>
  <si>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4 Terwujudnya pengembangan high speed mobile broadband</t>
    </r>
  </si>
  <si>
    <r>
      <rPr>
        <rFont val="Arial MT"/>
        <color rgb="FF485056"/>
        <sz val="10.0"/>
      </rPr>
      <t>Jumlah penambahan lokasi yang terlayani jaringan 5G pada tahap awal implementasi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</si>
  <si>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</si>
  <si>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</si>
  <si>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</si>
  <si>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</si>
  <si>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2.00 lokasi</t>
    </r>
  </si>
  <si>
    <r>
      <rPr>
        <rFont val="Arial MT"/>
        <color rgb="FF485056"/>
        <sz val="10.0"/>
      </rPr>
      <t>2.00 lokasi</t>
    </r>
  </si>
  <si>
    <r>
      <rPr>
        <rFont val="Arial MT"/>
        <color rgb="FF485056"/>
        <sz val="10.0"/>
      </rPr>
      <t>SK Meningkatnya kepatuhan penyelenggaraan pos, telekomunikasi, dan penyiaran</t>
    </r>
  </si>
  <si>
    <r>
      <rPr>
        <rFont val="Arial MT"/>
        <color rgb="FF485056"/>
        <sz val="10.0"/>
      </rPr>
      <t>Jumlah target capaian PNBP BHP telekomunikasi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</si>
  <si>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</si>
  <si>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</si>
  <si>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</si>
  <si>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</si>
  <si>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1,170,969,396,000.00
</t>
    </r>
    <r>
      <rPr>
        <rFont val="Arial MT"/>
        <color rgb="FF485056"/>
        <sz val="10.0"/>
      </rPr>
      <t>rupiah</t>
    </r>
  </si>
  <si>
    <r>
      <rPr>
        <rFont val="Arial MT"/>
        <color rgb="FF485056"/>
        <sz val="10.0"/>
      </rPr>
      <t xml:space="preserve">1,359,513,999,202.00
</t>
    </r>
    <r>
      <rPr>
        <rFont val="Arial MT"/>
        <color rgb="FF485056"/>
        <sz val="10.0"/>
      </rPr>
      <t>rupiah</t>
    </r>
  </si>
  <si>
    <r>
      <rPr>
        <rFont val="Arial MT"/>
        <color rgb="FF485056"/>
        <sz val="10.0"/>
      </rPr>
      <t>SK Meningkatnya kepatuhan penyelenggaraan pos, telekomunikasi, dan penyiaran</t>
    </r>
  </si>
  <si>
    <r>
      <rPr>
        <rFont val="Arial MT"/>
        <color rgb="FF485056"/>
        <sz val="10.0"/>
      </rPr>
      <t>Jumlah target capaian PNBP KPLPU (Kontribusi Penyelenggaraan Layanan Pos Universal)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</si>
  <si>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</si>
  <si>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</si>
  <si>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</si>
  <si>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</si>
  <si>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7,582,622,000.00
</t>
    </r>
    <r>
      <rPr>
        <rFont val="Arial MT"/>
        <color rgb="FF485056"/>
        <sz val="10.0"/>
      </rPr>
      <t>rupiah</t>
    </r>
  </si>
  <si>
    <r>
      <rPr>
        <rFont val="Arial MT"/>
        <color rgb="FF485056"/>
        <sz val="10.0"/>
      </rPr>
      <t xml:space="preserve">8,050,744,452.00
</t>
    </r>
    <r>
      <rPr>
        <rFont val="Arial MT"/>
        <color rgb="FF485056"/>
        <sz val="10.0"/>
      </rPr>
      <t>rupiah</t>
    </r>
  </si>
  <si>
    <r>
      <rPr>
        <rFont val="Arial MT"/>
        <color rgb="FF485056"/>
        <sz val="10.0"/>
      </rPr>
      <t>SK Meningkatnya kepatuhan penyelenggaraan pos, telekomunikasi, dan penyiaran</t>
    </r>
  </si>
  <si>
    <r>
      <rPr>
        <rFont val="Arial MT"/>
        <color rgb="FF485056"/>
        <sz val="10.0"/>
      </rPr>
      <t>Persentase (%) kepatuhan penyelenggaraan penyiaran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</si>
  <si>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</si>
  <si>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</si>
  <si>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</si>
  <si>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</si>
  <si>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Meningkatnya kepatuhan penyelenggaraan pos, telekomunikasi, dan penyiaran</t>
    </r>
  </si>
  <si>
    <r>
      <rPr>
        <rFont val="Arial MT"/>
        <color rgb="FF485056"/>
        <sz val="10.0"/>
      </rPr>
      <t>Persentase (%) kepatuhan penyelenggaraan pos</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</si>
  <si>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</si>
  <si>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</si>
  <si>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</si>
  <si>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</si>
  <si>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 Meningkatnya kepatuhan penyelenggaraan pos, telekomunikasi, dan penyiaran</t>
    </r>
  </si>
  <si>
    <r>
      <rPr>
        <rFont val="Arial MT"/>
        <color rgb="FF485056"/>
        <sz val="10.0"/>
      </rPr>
      <t>Persentase (%) kepatuhan penyelenggaraan telekomunikasi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</si>
  <si>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</si>
  <si>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</si>
  <si>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</si>
  <si>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</si>
  <si>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Terselenggaranya Layanan pemanfaatan informasi media cetak dan koleksi benda bersejarah bagi masyarakat</t>
    </r>
  </si>
  <si>
    <r>
      <rPr>
        <rFont val="Arial MT"/>
        <color rgb="FF485056"/>
        <sz val="10.0"/>
      </rPr>
      <t>Jumlah Pengunjung Monumen Pers Nasional Offline</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</si>
  <si>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</si>
  <si>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</si>
  <si>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</si>
  <si>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</si>
  <si>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50,000.00 Orang</t>
    </r>
  </si>
  <si>
    <r>
      <rPr>
        <rFont val="Arial MT"/>
        <color rgb="FF485056"/>
        <sz val="10.0"/>
      </rPr>
      <t>53,266.00 Orang</t>
    </r>
  </si>
  <si>
    <r>
      <rPr>
        <rFont val="Arial MT"/>
        <color rgb="FF485056"/>
        <sz val="10.0"/>
      </rPr>
      <t>SK.01 Terselenggaranya Layanan pemanfaatan informasi media cetak dan koleksi benda bersejarah bagi masyarakat</t>
    </r>
  </si>
  <si>
    <r>
      <rPr>
        <rFont val="Arial MT"/>
        <color rgb="FF485056"/>
        <sz val="10.0"/>
      </rPr>
      <t>Hasil Survei Kepuasan Masyarakat Terhadap Layanan Pelestarian Bidang Pers di Monumen Pers Nasional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</si>
  <si>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</si>
  <si>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</si>
  <si>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</si>
  <si>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</si>
  <si>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89.00 Nilai</t>
    </r>
  </si>
  <si>
    <r>
      <rPr>
        <rFont val="Arial MT"/>
        <color rgb="FF485056"/>
        <sz val="10.0"/>
      </rPr>
      <t>92.08 Nilai</t>
    </r>
  </si>
  <si>
    <r>
      <rPr>
        <rFont val="Arial MT"/>
        <color rgb="FF485056"/>
        <sz val="10.0"/>
      </rPr>
      <t>SK.01 Terselenggaranya Layanan pemanfaatan informasi media cetak dan koleksi benda bersejarah bagi masyarakat</t>
    </r>
  </si>
  <si>
    <r>
      <rPr>
        <rFont val="Arial MT"/>
        <color rgb="FF485056"/>
        <sz val="10.0"/>
      </rPr>
      <t>Jumlah Pameran,dialog budaya, dan roadshow ke sekolah dalam rangka promosi dan publikasi tentang Monumen Pers</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</si>
  <si>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</si>
  <si>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</si>
  <si>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</si>
  <si>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</si>
  <si>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32.00 Kegiatan</t>
    </r>
  </si>
  <si>
    <r>
      <rPr>
        <rFont val="Arial MT"/>
        <color rgb="FF485056"/>
        <sz val="10.0"/>
      </rPr>
      <t>32.00 Kegiatan</t>
    </r>
  </si>
  <si>
    <r>
      <rPr>
        <rFont val="Arial MT"/>
        <color rgb="FF485056"/>
        <sz val="10.0"/>
      </rPr>
      <t>SK.01 Terselenggaranya Layanan pemanfaatan informasi media cetak dan koleksi benda bersejarah bagi masyarakat</t>
    </r>
  </si>
  <si>
    <r>
      <rPr>
        <rFont val="Arial MT"/>
        <color rgb="FF485056"/>
        <sz val="10.0"/>
      </rPr>
      <t>Jumlah Penatalaksanaan Koleksi Monumen Pers Nasional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</si>
  <si>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</si>
  <si>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</si>
  <si>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</si>
  <si>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</si>
  <si>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17.00 Kegiatan</t>
    </r>
  </si>
  <si>
    <r>
      <rPr>
        <rFont val="Arial MT"/>
        <color rgb="FF485056"/>
        <sz val="10.0"/>
      </rPr>
      <t>17.00 Kegiatan</t>
    </r>
  </si>
  <si>
    <r>
      <rPr>
        <rFont val="Arial MT"/>
        <color rgb="FF485056"/>
        <sz val="10.0"/>
      </rPr>
      <t>SK.01 Terselenggaranya Layanan pemanfaatan informasi media cetak dan koleksi benda bersejarah bagi masyarakat</t>
    </r>
  </si>
  <si>
    <r>
      <rPr>
        <rFont val="Arial MT"/>
        <color rgb="FF485056"/>
        <sz val="10.0"/>
      </rPr>
      <t>Jumlah Pengunjung Website Monumen Pers Nasional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</si>
  <si>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</si>
  <si>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</si>
  <si>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</si>
  <si>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</si>
  <si>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50,000.00 Visitor</t>
    </r>
  </si>
  <si>
    <r>
      <rPr>
        <rFont val="Arial MT"/>
        <color rgb="FF485056"/>
        <sz val="10.0"/>
      </rPr>
      <t>124,465.00 Visitor</t>
    </r>
  </si>
  <si>
    <r>
      <rPr>
        <rFont val="Arial MT"/>
        <color rgb="FF485056"/>
        <sz val="10.0"/>
      </rPr>
      <t>SK.01 Meningkatnya Jangkauan Penyebaran Informasi dan Program Prioritas Pemerintah</t>
    </r>
  </si>
  <si>
    <r>
      <rPr>
        <rFont val="Arial MT"/>
        <color rgb="FF485056"/>
        <sz val="10.0"/>
      </rPr>
      <t>Jumlah Sebaran Informasi Publik Program dan Kebijakan Pemerintah Melalui Media Cetak Bidang Percepatan Pembangunan Kesejahteraan Papua dan Papua Barat dan Pemilu</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</si>
  <si>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</si>
  <si>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</si>
  <si>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</si>
  <si>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</si>
  <si>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5,000,000.00 Orang</t>
    </r>
  </si>
  <si>
    <r>
      <rPr>
        <rFont val="Arial MT"/>
        <color rgb="FF485056"/>
        <sz val="10.0"/>
      </rPr>
      <t>7,649,883.00 Orang</t>
    </r>
  </si>
  <si>
    <r>
      <rPr>
        <rFont val="Arial MT"/>
        <color rgb="FF485056"/>
        <sz val="10.0"/>
      </rPr>
      <t>SK.01 Meningkatnya Jangkauan Penyebaran Informasi dan Program Prioritas Pemerintah</t>
    </r>
  </si>
  <si>
    <r>
      <rPr>
        <rFont val="Arial MT"/>
        <color rgb="FF485056"/>
        <sz val="10.0"/>
      </rPr>
      <t>Jumlah Sebaran Informasi Publik Program dan Kebijakan Pemerintah Melalui Media Elektronik Bidang Polhukam, Percepatan Pembangunan Kesejahteraan Papua dan Papua Barat dan Pemilu</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</si>
  <si>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</si>
  <si>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</si>
  <si>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</si>
  <si>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</si>
  <si>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20,000,000.00 Orang</t>
    </r>
  </si>
  <si>
    <r>
      <rPr>
        <rFont val="Arial MT"/>
        <color rgb="FF485056"/>
        <sz val="10.0"/>
      </rPr>
      <t>57,977,698.00 Orang</t>
    </r>
  </si>
  <si>
    <r>
      <rPr>
        <rFont val="Arial MT"/>
        <color rgb="FF485056"/>
        <sz val="10.0"/>
      </rPr>
      <t>SK.01 Meningkatnya Jangkauan Penyebaran Informasi dan Program Prioritas Pemerintah</t>
    </r>
  </si>
  <si>
    <r>
      <rPr>
        <rFont val="Arial MT"/>
        <color rgb="FF485056"/>
        <sz val="10.0"/>
      </rPr>
      <t>Jumlah Sebaran Informasi Publik Program dan Kebijakan Pemerintah Melalui Media Luar Ruang Bidang Polhukam, Percepatan Pembangunan Kesejahteraan Papua dan Papua Barat dan Pemilu</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</si>
  <si>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</si>
  <si>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</si>
  <si>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</si>
  <si>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</si>
  <si>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4,200,000.00 Orang</t>
    </r>
  </si>
  <si>
    <r>
      <rPr>
        <rFont val="Arial MT"/>
        <color rgb="FF485056"/>
        <sz val="10.0"/>
      </rPr>
      <t>39,619,953.00 Orang</t>
    </r>
  </si>
  <si>
    <r>
      <rPr>
        <rFont val="Arial MT"/>
        <color rgb="FF485056"/>
        <sz val="10.0"/>
      </rPr>
      <t>SK.01 Meningkatnya Jangkauan Penyebaran Informasi dan Program Prioritas Pemerintah</t>
    </r>
  </si>
  <si>
    <r>
      <rPr>
        <rFont val="Arial MT"/>
        <color rgb="FF485056"/>
        <sz val="10.0"/>
      </rPr>
      <t>Jumlah Sebaran Informasi Publik Program dan Kebijakan Pemerintah Melalui Media Online Bidang Polhukam, Percepatan Pembangunan Kesejahteraan Papua dan Papua Barat dan Pemilu</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</si>
  <si>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</si>
  <si>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</si>
  <si>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</si>
  <si>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</si>
  <si>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4,000,000.00
</t>
    </r>
    <r>
      <rPr>
        <rFont val="Arial MT"/>
        <color rgb="FF485056"/>
        <sz val="10.0"/>
      </rPr>
      <t>Pageviews</t>
    </r>
  </si>
  <si>
    <r>
      <rPr>
        <rFont val="Arial MT"/>
        <color rgb="FF485056"/>
        <sz val="10.0"/>
      </rPr>
      <t xml:space="preserve">8,972,339.00
</t>
    </r>
    <r>
      <rPr>
        <rFont val="Arial MT"/>
        <color rgb="FF485056"/>
        <sz val="10.0"/>
      </rPr>
      <t>Pageviews</t>
    </r>
  </si>
  <si>
    <r>
      <rPr>
        <rFont val="Arial MT"/>
        <color rgb="FF485056"/>
        <sz val="10.0"/>
      </rPr>
      <t>SK.01 Meningkatnya Jangkauan Penyebaran Informasi dan Program Prioritas Pemerintah</t>
    </r>
  </si>
  <si>
    <r>
      <rPr>
        <rFont val="Arial MT"/>
        <color rgb="FF485056"/>
        <sz val="10.0"/>
      </rPr>
      <t>Jumlah Sebaran Informasi Publik Program dan Kebijakan Pemerintah Melalui Media Sosial Bidang Polhukam, Percepatan Pembangunan Kesejahteraan Papua dan Papua Barat dan Pemilu</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</si>
  <si>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</si>
  <si>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</si>
  <si>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</si>
  <si>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</si>
  <si>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1,500,000.00
</t>
    </r>
    <r>
      <rPr>
        <rFont val="Arial MT"/>
        <color rgb="FF485056"/>
        <sz val="10.0"/>
      </rPr>
      <t>Engagement</t>
    </r>
  </si>
  <si>
    <r>
      <rPr>
        <rFont val="Arial MT"/>
        <color rgb="FF485056"/>
        <sz val="10.0"/>
      </rPr>
      <t xml:space="preserve">3,450,781.00
</t>
    </r>
    <r>
      <rPr>
        <rFont val="Arial MT"/>
        <color rgb="FF485056"/>
        <sz val="10.0"/>
      </rPr>
      <t>Engagement</t>
    </r>
  </si>
  <si>
    <r>
      <rPr>
        <rFont val="Arial MT"/>
        <color rgb="FF485056"/>
        <sz val="10.0"/>
      </rPr>
      <t>SK.01 Meningkatnya Jangkauan Penyebaran Informasi dan Program Prioritas Pemerintah</t>
    </r>
  </si>
  <si>
    <r>
      <rPr>
        <rFont val="Arial MT"/>
        <color rgb="FF485056"/>
        <sz val="10.0"/>
      </rPr>
      <t>Jumlah Sebaran Informasi Publik Program dan Kebijakan Pemerintah Melalui Media Tatap Muka Bidang Polhukam, Percepatan Pembangunan Kesejahteraan Papua dan Papua Barat dan Pemilu</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</si>
  <si>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</si>
  <si>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</si>
  <si>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</si>
  <si>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</si>
  <si>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11,500.00 Orang</t>
    </r>
  </si>
  <si>
    <r>
      <rPr>
        <rFont val="Arial MT"/>
        <color rgb="FF485056"/>
        <sz val="10.0"/>
      </rPr>
      <t>38,878.00 Orang</t>
    </r>
  </si>
  <si>
    <r>
      <rPr>
        <rFont val="Arial MT"/>
        <color rgb="FF485056"/>
        <sz val="10.0"/>
      </rPr>
      <t>SK.01 Meningkatnya Jangkauan Penyebaran Informasi dan Program Prioritas Pemerintah</t>
    </r>
  </si>
  <si>
    <r>
      <rPr>
        <rFont val="Arial MT"/>
        <color rgb="FF485056"/>
        <sz val="10.0"/>
      </rPr>
      <t>Persentase (%) Berita Hoax yang berhasil dikonter bidang Polhukam</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</si>
  <si>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</si>
  <si>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</si>
  <si>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</si>
  <si>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</si>
  <si>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Jangkauan Penyebaran Informasi dan Program Prioritas Pemerintah</t>
    </r>
  </si>
  <si>
    <r>
      <rPr>
        <rFont val="Arial MT"/>
        <color rgb="FF485056"/>
        <sz val="10.0"/>
      </rPr>
      <t>Persentase (%) kepuasan masyarakat terhadap akses dan kualitas informasi program prioritas pemerintah bidang Pemilu</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</si>
  <si>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</si>
  <si>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</si>
  <si>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</si>
  <si>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</si>
  <si>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Jangkauan Penyebaran Informasi dan Program Prioritas Pemerintah</t>
    </r>
  </si>
  <si>
    <r>
      <rPr>
        <rFont val="Arial MT"/>
        <color rgb="FF485056"/>
        <sz val="10.0"/>
      </rPr>
      <t>Persentase (%) kepuasan masyarakat terhadap akses dan kualitas informasi program prioritas pemerintah bidang Percepatan Pembangunan Kesejahteraan Papua dan Papua Barat</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</si>
  <si>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</si>
  <si>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</si>
  <si>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</si>
  <si>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</si>
  <si>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Jangkauan Penyebaran Informasi dan Program Prioritas Pemerintah</t>
    </r>
  </si>
  <si>
    <r>
      <rPr>
        <rFont val="Arial MT"/>
        <color rgb="FF485056"/>
        <sz val="10.0"/>
      </rPr>
      <t>Persentase (%) kepuasan masyarakat terhadap akses dan kualitas informasi program prioritas pemerintah bidang Polhukam</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</si>
  <si>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</si>
  <si>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</si>
  <si>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</si>
  <si>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</si>
  <si>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Kualitas Tata Kelola BLU BAKTI yang Transparan, Akuntabel, Bersih dan Efisien</t>
    </r>
  </si>
  <si>
    <r>
      <rPr>
        <rFont val="Arial MT"/>
        <color rgb="FF485056"/>
        <sz val="10.0"/>
      </rPr>
      <t>Indeks Reformasi Birokrasi BAKTI Tahun 2024 Berdasarkan Realisasi Rencana Aksi RB Tematik BAKTI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</si>
  <si>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</si>
  <si>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</si>
  <si>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</si>
  <si>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</si>
  <si>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60.88 Nilai</t>
    </r>
  </si>
  <si>
    <r>
      <rPr>
        <rFont val="Arial MT"/>
        <color rgb="FF485056"/>
        <sz val="10.0"/>
      </rPr>
      <t>100.00 Nilai</t>
    </r>
  </si>
  <si>
    <r>
      <rPr>
        <rFont val="Arial MT"/>
        <color rgb="FF485056"/>
        <sz val="10.0"/>
      </rPr>
      <t>SK.01 Meningkatnya Kualitas Tata Kelola BLU BAKTI yang Transparan, Akuntabel, Bersih dan Efisien</t>
    </r>
  </si>
  <si>
    <r>
      <rPr>
        <rFont val="Arial MT"/>
        <color rgb="FF485056"/>
        <sz val="10.0"/>
      </rPr>
      <t>Jumlah Kajian Roadmap Infrastruktur Digital Indonesia dan Transformasi BLU BAKTI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</si>
  <si>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</si>
  <si>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</si>
  <si>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</si>
  <si>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</si>
  <si>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2.00 Dokumen</t>
    </r>
  </si>
  <si>
    <r>
      <rPr>
        <rFont val="Arial MT"/>
        <color rgb="FF485056"/>
        <sz val="10.0"/>
      </rPr>
      <t>2.00 Dokumen</t>
    </r>
  </si>
  <si>
    <r>
      <rPr>
        <rFont val="Arial MT"/>
        <color rgb="FF485056"/>
        <sz val="10.0"/>
      </rPr>
      <t>SK.01 Meningkatnya Kualitas Tata Kelola BLU BAKTI yang Transparan, Akuntabel, Bersih dan Efisien</t>
    </r>
  </si>
  <si>
    <r>
      <rPr>
        <rFont val="Arial MT"/>
        <color rgb="FF485056"/>
        <sz val="10.0"/>
      </rPr>
      <t>Nilai Akuntabilitas Kinerja (AKIP) BAKTI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</si>
  <si>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</si>
  <si>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</si>
  <si>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</si>
  <si>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</si>
  <si>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68.50 Nilai</t>
    </r>
  </si>
  <si>
    <r>
      <rPr>
        <rFont val="Arial MT"/>
        <color rgb="FF485056"/>
        <sz val="10.0"/>
      </rPr>
      <t>68.50 Nilai</t>
    </r>
  </si>
  <si>
    <r>
      <rPr>
        <rFont val="Arial MT"/>
        <color rgb="FF485056"/>
        <sz val="10.0"/>
      </rPr>
      <t>SK.01 Meningkatnya Kualitas Tata Kelola BLU BAKTI yang Transparan, Akuntabel, Bersih dan Efisien</t>
    </r>
  </si>
  <si>
    <r>
      <rPr>
        <rFont val="Arial MT"/>
        <color rgb="FF485056"/>
        <sz val="10.0"/>
      </rPr>
      <t>Persentase (%) Penggunaan Produk Dalam Negeri (PDN) dan Produk UMKM dalam Belanja Pengadaan Barang dan Jasa BAKTI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</si>
  <si>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</si>
  <si>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</si>
  <si>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</si>
  <si>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</si>
  <si>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Kualitas Tata Kelola Ditjen IKP yang Bersih dan Efisien</t>
    </r>
  </si>
  <si>
    <r>
      <rPr>
        <rFont val="Arial MT"/>
        <color rgb="FF485056"/>
        <sz val="10.0"/>
      </rPr>
      <t>Indeks Reformasi Birokrasi Ditjen IKP Tahun 2024 berdasarkan Realisasi Rencana Aksi RB Tematik Ditjen IKP</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</si>
  <si>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</si>
  <si>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</si>
  <si>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</si>
  <si>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</si>
  <si>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85.75 Nilai</t>
    </r>
  </si>
  <si>
    <r>
      <rPr>
        <rFont val="Arial MT"/>
        <color rgb="FF485056"/>
        <sz val="10.0"/>
      </rPr>
      <t>100.00 Nilai</t>
    </r>
  </si>
  <si>
    <r>
      <rPr>
        <rFont val="Arial MT"/>
        <color rgb="FF485056"/>
        <sz val="10.0"/>
      </rPr>
      <t>SK.01 Meningkatnya Kualitas Tata Kelola Ditjen IKP yang Bersih dan Efisien</t>
    </r>
  </si>
  <si>
    <r>
      <rPr>
        <rFont val="Arial MT"/>
        <color rgb="FF485056"/>
        <sz val="10.0"/>
      </rPr>
      <t>Indeks kepuasan pegawai terhadap layanan Dukungan Manajemen Ditjen IKP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</si>
  <si>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</si>
  <si>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</si>
  <si>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</si>
  <si>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</si>
  <si>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Kualitas Tata Kelola Ditjen IKP yang Bersih dan Efisien</t>
    </r>
  </si>
  <si>
    <r>
      <rPr>
        <rFont val="Arial MT"/>
        <color rgb="FF485056"/>
        <sz val="10.0"/>
      </rPr>
      <t>Nilai Akuntabilitas Kinerja (AKIP) Ditjen IKP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</si>
  <si>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</si>
  <si>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</si>
  <si>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</si>
  <si>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</si>
  <si>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75.50 Nilai</t>
    </r>
  </si>
  <si>
    <r>
      <rPr>
        <rFont val="Arial MT"/>
        <color rgb="FF485056"/>
        <sz val="10.0"/>
      </rPr>
      <t>67.20 Nilai</t>
    </r>
  </si>
  <si>
    <r>
      <rPr>
        <rFont val="Arial MT"/>
        <color rgb="FF485056"/>
        <sz val="10.0"/>
      </rPr>
      <t>SK.01 Meningkatnya Kualitas Tata Kelola Ditjen IKP yang Bersih dan Efisien</t>
    </r>
  </si>
  <si>
    <r>
      <rPr>
        <rFont val="Arial MT"/>
        <color rgb="FF485056"/>
        <sz val="10.0"/>
      </rPr>
      <t>Nilai Kinerja Anggaran Ditjen IKP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</si>
  <si>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</si>
  <si>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</si>
  <si>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</si>
  <si>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</si>
  <si>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92.15 Nilai</t>
    </r>
  </si>
  <si>
    <r>
      <rPr>
        <rFont val="Arial MT"/>
        <color rgb="FF485056"/>
        <sz val="10.0"/>
      </rPr>
      <t>95.48 Nilai</t>
    </r>
  </si>
  <si>
    <r>
      <rPr>
        <rFont val="Arial MT"/>
        <color rgb="FF485056"/>
        <sz val="10.0"/>
      </rPr>
      <t>SK.01 Meningkatnya Kualitas Tata Kelola Ditjen IKP yang Bersih dan Efisien</t>
    </r>
  </si>
  <si>
    <r>
      <rPr>
        <rFont val="Arial MT"/>
        <color rgb="FF485056"/>
        <sz val="10.0"/>
      </rPr>
      <t>Nilai Kualitas Pelaporan Keuangan Unit Akuntansi Kuasa Pengguna Anggaran (UAKPA) Ditjen IKP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</si>
  <si>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</si>
  <si>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</si>
  <si>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</si>
  <si>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</si>
  <si>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100.00 Nilai</t>
    </r>
  </si>
  <si>
    <r>
      <rPr>
        <rFont val="Arial MT"/>
        <color rgb="FF485056"/>
        <sz val="10.0"/>
      </rPr>
      <t>97.00 Nilai</t>
    </r>
  </si>
  <si>
    <r>
      <rPr>
        <rFont val="Arial MT"/>
        <color rgb="FF485056"/>
        <sz val="10.0"/>
      </rPr>
      <t>SK.01 Meningkatnya Kualitas Tata Kelola Ditjen IKP yang Bersih dan Efisien</t>
    </r>
  </si>
  <si>
    <r>
      <rPr>
        <rFont val="Arial MT"/>
        <color rgb="FF485056"/>
        <sz val="10.0"/>
      </rPr>
      <t>Nilai Kualitas Pelaporan Keuangan Unit Akuntansi Pembantu Pengguna Anggaran Eselon I (UAPPA-E1) Ditjen IKP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</si>
  <si>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</si>
  <si>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</si>
  <si>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</si>
  <si>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</si>
  <si>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100.00 Nilai</t>
    </r>
  </si>
  <si>
    <r>
      <rPr>
        <rFont val="Arial MT"/>
        <color rgb="FF485056"/>
        <sz val="10.0"/>
      </rPr>
      <t>95.00 Nilai</t>
    </r>
  </si>
  <si>
    <r>
      <rPr>
        <rFont val="Arial MT"/>
        <color rgb="FF485056"/>
        <sz val="10.0"/>
      </rPr>
      <t>SK.01 Meningkatnya Kualitas Tata Kelola Ditjen IKP yang Bersih dan Efisien</t>
    </r>
  </si>
  <si>
    <r>
      <rPr>
        <rFont val="Arial MT"/>
        <color rgb="FF485056"/>
        <sz val="10.0"/>
      </rPr>
      <t>Nilai Maturitas SPIP Ditjen IKP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</si>
  <si>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</si>
  <si>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</si>
  <si>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</si>
  <si>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</si>
  <si>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4.33 Nilai</t>
    </r>
  </si>
  <si>
    <r>
      <rPr>
        <rFont val="Arial MT"/>
        <color rgb="FF485056"/>
        <sz val="10.0"/>
      </rPr>
      <t>3.88 Nilai</t>
    </r>
  </si>
  <si>
    <r>
      <rPr>
        <rFont val="Arial MT"/>
        <color rgb="FF485056"/>
        <sz val="10.0"/>
      </rPr>
      <t>SK.01 Meningkatnya Kualitas Tata Kelola Ditjen IKP yang Bersih dan Efisien</t>
    </r>
  </si>
  <si>
    <r>
      <rPr>
        <rFont val="Arial MT"/>
        <color rgb="FF485056"/>
        <sz val="10.0"/>
      </rPr>
      <t>Persentase (%) Batas Tertinggi Temuan Hasil Pemeriksaan BPK di Ditjen IKP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</si>
  <si>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</si>
  <si>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</si>
  <si>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</si>
  <si>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</si>
  <si>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Kualitas Tata Kelola Ditjen IKP yang Bersih dan Efisien</t>
    </r>
  </si>
  <si>
    <r>
      <rPr>
        <rFont val="Arial MT"/>
        <color rgb="FF485056"/>
        <sz val="10.0"/>
      </rPr>
      <t>Persentase (%) Belanja Pengadaan Barang dan Jasa Ditjen IKP yang dilakukan secara Elektronik (E-Purchasing)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</si>
  <si>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</si>
  <si>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</si>
  <si>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</si>
  <si>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</si>
  <si>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Kualitas Tata Kelola Ditjen IKP yang Bersih dan Efisien</t>
    </r>
  </si>
  <si>
    <r>
      <rPr>
        <rFont val="Arial MT"/>
        <color rgb="FF485056"/>
        <sz val="10.0"/>
      </rPr>
      <t>Persentase (%) Berita Kenegaraan Melalui Kewajiban Pelayanan Publik Bidang Pers (PSO ANTARA) yang Terverifikasi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</si>
  <si>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</si>
  <si>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</si>
  <si>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</si>
  <si>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</si>
  <si>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Kualitas Tata Kelola Ditjen IKP yang Bersih dan Efisien</t>
    </r>
  </si>
  <si>
    <r>
      <rPr>
        <rFont val="Arial MT"/>
        <color rgb="FF485056"/>
        <sz val="10.0"/>
      </rPr>
      <t>Persentase (%) Fasilitasi Perancangan Peraturan Perundang-undangan, Bantuan Hukum dan Kerjasama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</si>
  <si>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</si>
  <si>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</si>
  <si>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</si>
  <si>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</si>
  <si>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Kualitas Tata Kelola Ditjen IKP yang Bersih dan Efisien</t>
    </r>
  </si>
  <si>
    <r>
      <rPr>
        <rFont val="Arial MT"/>
        <color rgb="FF485056"/>
        <sz val="10.0"/>
      </rPr>
      <t>Persentase (%) Penggunaan Produk Dalam Negeri (PDN) dan Produk UMKM dalam Belanja Pengadaan Barang dan Jasa Ditjen IKP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</si>
  <si>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</si>
  <si>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</si>
  <si>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</si>
  <si>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</si>
  <si>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Kualitas Tata Kelola Ditjen IKP yang Bersih dan Efisien</t>
    </r>
  </si>
  <si>
    <r>
      <rPr>
        <rFont val="Arial MT"/>
        <color rgb="FF485056"/>
        <sz val="10.0"/>
      </rPr>
      <t>Persentase (%) Penyelesaian Tindak Lanjut Hasil Pemeriksaan BPK pada Tahun Berjalan di Ditjen IKP pada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</si>
  <si>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</si>
  <si>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</si>
  <si>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</si>
  <si>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</si>
  <si>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Kualitas Tata Kelola Ditjen IKP yang Bersih dan Efisien</t>
    </r>
  </si>
  <si>
    <r>
      <rPr>
        <rFont val="Arial MT"/>
        <color rgb="FF485056"/>
        <sz val="10.0"/>
      </rPr>
      <t>Persentase (%) Penyelesaian Tindak Lanjut Hasil Pemeriksaan BPK pada Tahun Sebelumnya di Ditjen IKP pada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</si>
  <si>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</si>
  <si>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</si>
  <si>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</si>
  <si>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</si>
  <si>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Meningkatnya kualitas tata kelola keuangan dan birokrasi yang efektif dan efisien</t>
    </r>
  </si>
  <si>
    <r>
      <rPr>
        <rFont val="Arial MT"/>
        <color rgb="FF485056"/>
        <sz val="10.0"/>
      </rPr>
      <t>Nilai Kinerja Anggaran (NKA) BAKTI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</si>
  <si>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</si>
  <si>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</si>
  <si>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</si>
  <si>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</si>
  <si>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88.00 Nilai</t>
    </r>
  </si>
  <si>
    <r>
      <rPr>
        <rFont val="Arial MT"/>
        <color rgb="FF485056"/>
        <sz val="10.0"/>
      </rPr>
      <t>78.58 Nilai</t>
    </r>
  </si>
  <si>
    <r>
      <rPr>
        <rFont val="Arial MT"/>
        <color rgb="FF485056"/>
        <sz val="10.0"/>
      </rPr>
      <t>SK.01 Meningkatnya kualitas tata kelola keuangan dan birokrasi yang efektif dan efisien</t>
    </r>
  </si>
  <si>
    <r>
      <rPr>
        <rFont val="Arial MT"/>
        <color rgb="FF485056"/>
        <sz val="10.0"/>
      </rPr>
      <t>Nilai Kualitas Pelaporan Keuangan Unit Akuntansi Kuasa Pengguna Anggaran (UAKPA) BAKTI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</si>
  <si>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</si>
  <si>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</si>
  <si>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</si>
  <si>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</si>
  <si>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80.00 Nilai</t>
    </r>
  </si>
  <si>
    <r>
      <rPr>
        <rFont val="Arial MT"/>
        <color rgb="FF485056"/>
        <sz val="10.0"/>
      </rPr>
      <t>75.00 Nilai</t>
    </r>
  </si>
  <si>
    <r>
      <rPr>
        <rFont val="Arial MT"/>
        <color rgb="FF485056"/>
        <sz val="10.0"/>
      </rPr>
      <t>SK.01 Meningkatnya kualitas tata kelola keuangan dan birokrasi yang efektif dan efisien</t>
    </r>
  </si>
  <si>
    <r>
      <rPr>
        <rFont val="Arial MT"/>
        <color rgb="FF485056"/>
        <sz val="10.0"/>
      </rPr>
      <t>Nilai Kualitas Pelaporan Keuangan Unit Akuntansi Pembantu Pengguna Anggaran Eselon I (UAPPA Eselon I) BAKTI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</si>
  <si>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</si>
  <si>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</si>
  <si>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</si>
  <si>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</si>
  <si>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80.00 Nilai</t>
    </r>
  </si>
  <si>
    <r>
      <rPr>
        <rFont val="Arial MT"/>
        <color rgb="FF485056"/>
        <sz val="10.0"/>
      </rPr>
      <t>75.00 Nilai</t>
    </r>
  </si>
  <si>
    <r>
      <rPr>
        <rFont val="Arial MT"/>
        <color rgb="FF485056"/>
        <sz val="10.0"/>
      </rPr>
      <t>SK.01 Meningkatnya kualitas tata kelola keuangan dan birokrasi yang efektif dan efisien</t>
    </r>
  </si>
  <si>
    <r>
      <rPr>
        <rFont val="Arial MT"/>
        <color rgb="FF485056"/>
        <sz val="10.0"/>
      </rPr>
      <t>Persentase (%) Pengelolaan Manajemen Resiko</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</si>
  <si>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</si>
  <si>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</si>
  <si>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</si>
  <si>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</si>
  <si>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Peningkatan Kualitas Pengelolaan Pengawasan BAKTI</t>
    </r>
  </si>
  <si>
    <r>
      <rPr>
        <rFont val="Arial MT"/>
        <color rgb="FF485056"/>
        <sz val="10.0"/>
      </rPr>
      <t>Level Maturitas Penerapan SPIP BAKTI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</si>
  <si>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</si>
  <si>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</si>
  <si>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</si>
  <si>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</si>
  <si>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2.75 Skala</t>
    </r>
  </si>
  <si>
    <r>
      <rPr>
        <rFont val="Arial MT"/>
        <color rgb="FF485056"/>
        <sz val="10.0"/>
      </rPr>
      <t>2.80 Skala</t>
    </r>
  </si>
  <si>
    <r>
      <rPr>
        <rFont val="Arial MT"/>
        <color rgb="FF485056"/>
        <sz val="10.0"/>
      </rPr>
      <t>SK.01 Peningkatan Kualitas Pengelolaan Pengawasan BAKTI</t>
    </r>
  </si>
  <si>
    <r>
      <rPr>
        <rFont val="Arial MT"/>
        <color rgb="FF485056"/>
        <sz val="10.0"/>
      </rPr>
      <t>Persentase (%) Batas Tertinggi Nilai Pengembalian Temuan Hasil Pemeriksaan BPK RI atas Laporan Keuangan Berdasarkan Realisasi Anggaran Tahun 2023</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</si>
  <si>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</si>
  <si>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</si>
  <si>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</si>
  <si>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</si>
  <si>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Peningkatan Kualitas Pengelolaan Pengawasan BAKTI</t>
    </r>
  </si>
  <si>
    <r>
      <rPr>
        <rFont val="Arial MT"/>
        <color rgb="FF485056"/>
        <sz val="10.0"/>
      </rPr>
      <t>Persentase (%) Penyelesaian Tindak Lanjut Hasil Pemeriksaan BPK RI Pada Tahun Berjalan atas Laporan Keuangan BAKTI Tahun 2023</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</si>
  <si>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</si>
  <si>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</si>
  <si>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</si>
  <si>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</si>
  <si>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Peningkatan Kualitas Pengelolaan Pengawasan BAKTI</t>
    </r>
  </si>
  <si>
    <r>
      <rPr>
        <rFont val="Arial MT"/>
        <color rgb="FF485056"/>
        <sz val="10.0"/>
      </rPr>
      <t>Persentase (%) Penyelesaian Tindak Lanjut Hasil Pemeriksaan BPK RI Tahun Pada Sebelumnya (LHP BPK atas Laporan Keuangan BAKTI)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</si>
  <si>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</si>
  <si>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</si>
  <si>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</si>
  <si>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</si>
  <si>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SK.01 Terselenggaranya Layanan Informasi Benda-benda Bersejarah di Bidang Komunikasi dan Informasi</t>
    </r>
  </si>
  <si>
    <r>
      <rPr>
        <rFont val="Arial MT"/>
        <color rgb="FF485056"/>
        <sz val="10.0"/>
      </rPr>
      <t>Jumlah Penataan Koleksi Sesuai Konsep Museum Inklusif</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</si>
  <si>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</si>
  <si>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</si>
  <si>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</si>
  <si>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</si>
  <si>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17.00 Kegiatan</t>
    </r>
  </si>
  <si>
    <r>
      <rPr>
        <rFont val="Arial MT"/>
        <color rgb="FF485056"/>
        <sz val="10.0"/>
      </rPr>
      <t>25.00 Kegiatan</t>
    </r>
  </si>
  <si>
    <r>
      <rPr>
        <rFont val="Arial MT"/>
        <color rgb="FF485056"/>
        <sz val="10.0"/>
      </rPr>
      <t>SK.01 Terselenggaranya Layanan Informasi Benda-benda Bersejarah di Bidang Komunikasi dan Informasi</t>
    </r>
  </si>
  <si>
    <r>
      <rPr>
        <rFont val="Arial MT"/>
        <color rgb="FF485056"/>
        <sz val="10.0"/>
      </rPr>
      <t>Jumlah Pengunjung Museum Penerangan Offline dan Online (Virtual Experience)</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</si>
  <si>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</si>
  <si>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</si>
  <si>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</si>
  <si>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</si>
  <si>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130,000.00 Orang</t>
    </r>
  </si>
  <si>
    <r>
      <rPr>
        <rFont val="Arial MT"/>
        <color rgb="FF485056"/>
        <sz val="10.0"/>
      </rPr>
      <t>190,814.00 Orang</t>
    </r>
  </si>
  <si>
    <r>
      <rPr>
        <rFont val="Arial MT"/>
        <color rgb="FF485056"/>
        <sz val="10.0"/>
      </rPr>
      <t>SK.01 Terselenggaranya Layanan Informasi Benda-benda Bersejarah di Bidang Komunikasi dan Informasi</t>
    </r>
  </si>
  <si>
    <r>
      <rPr>
        <rFont val="Arial MT"/>
        <color rgb="FF485056"/>
        <sz val="10.0"/>
      </rPr>
      <t>Jumlah Spot/Kegiatan Layanan Informasi kepada Masyarakat melalui Museum Penerangan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</si>
  <si>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</si>
  <si>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</si>
  <si>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</si>
  <si>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</si>
  <si>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50.00 Kegiatan</t>
    </r>
  </si>
  <si>
    <r>
      <rPr>
        <rFont val="Arial MT"/>
        <color rgb="FF485056"/>
        <sz val="10.0"/>
      </rPr>
      <t>70.00 Kegiatan</t>
    </r>
  </si>
  <si>
    <r>
      <rPr>
        <rFont val="Arial MT"/>
        <color rgb="FF485056"/>
        <sz val="10.0"/>
      </rPr>
      <t>SK.01 Terselenggaranya Layanan Informasi Benda-benda Bersejarah di Bidang Komunikasi dan Informasi</t>
    </r>
  </si>
  <si>
    <r>
      <rPr>
        <rFont val="Arial MT"/>
        <color rgb="FF485056"/>
        <sz val="10.0"/>
      </rPr>
      <t>Nilai Survey Kepuasan Masyarakat Terhadap Layanan Informasi Benda Bersejarah di Bidang Komunikasi dan Informasi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</si>
  <si>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</si>
  <si>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</si>
  <si>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</si>
  <si>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</si>
  <si>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90.00 Nilai</t>
    </r>
  </si>
  <si>
    <r>
      <rPr>
        <rFont val="Arial MT"/>
        <color rgb="FF485056"/>
        <sz val="10.0"/>
      </rPr>
      <t>94.67 Nilai</t>
    </r>
  </si>
  <si>
    <r>
      <rPr>
        <rFont val="Arial MT"/>
        <color rgb="FF485056"/>
        <sz val="10.0"/>
      </rPr>
      <t>SK.02 Pengelolaan Keuangan, BMN dan Umum BAKTI</t>
    </r>
  </si>
  <si>
    <r>
      <rPr>
        <rFont val="Arial MT"/>
        <color rgb="FF485056"/>
        <sz val="10.0"/>
      </rPr>
      <t>Indeks Kepuasan Pegawai Terhadap Layanan Dukungan Manajemen BAKTI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</si>
  <si>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</si>
  <si>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</si>
  <si>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</si>
  <si>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</si>
  <si>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3.00 Nilai</t>
    </r>
  </si>
  <si>
    <r>
      <rPr>
        <rFont val="Arial MT"/>
        <color rgb="FF485056"/>
        <sz val="10.0"/>
      </rPr>
      <t>3.84 Nilai</t>
    </r>
  </si>
  <si>
    <r>
      <rPr>
        <rFont val="Arial MT"/>
        <color rgb="FF485056"/>
        <sz val="10.0"/>
      </rPr>
      <t>SK.02 Pengelolaan Keuangan, BMN dan Umum BAKTI</t>
    </r>
  </si>
  <si>
    <r>
      <rPr>
        <rFont val="Arial MT"/>
        <color rgb="FF485056"/>
        <sz val="10.0"/>
      </rPr>
      <t>Nilai EKA BLU BAKTI Tahun 2024 pada Aplikasi SMART</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</si>
  <si>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</si>
  <si>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</si>
  <si>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</si>
  <si>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</si>
  <si>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75.00 Nilai</t>
    </r>
  </si>
  <si>
    <r>
      <rPr>
        <rFont val="Arial MT"/>
        <color rgb="FF485056"/>
        <sz val="10.0"/>
      </rPr>
      <t>83.98 Nilai</t>
    </r>
  </si>
  <si>
    <r>
      <rPr>
        <rFont val="Arial MT"/>
        <color rgb="FF485056"/>
        <sz val="10.0"/>
      </rPr>
      <t>SK.02 Tercapainya Target PNBP Kementerian Kominfo</t>
    </r>
  </si>
  <si>
    <r>
      <rPr>
        <rFont val="Arial MT"/>
        <color rgb="FF485056"/>
        <sz val="10.0"/>
      </rPr>
      <t>Persentase (%) Realisasi Target PNBP Badan Aksesibilitas Telekomunikasi dan Informasi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</si>
  <si>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</si>
  <si>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</si>
  <si>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</si>
  <si>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</si>
  <si>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SK.03 Meningkatnya Kualitas Tata Kelola Ditjen IKP yang Bersih dan Efisien</t>
    </r>
  </si>
  <si>
    <r>
      <rPr>
        <rFont val="Arial MT"/>
        <color rgb="FF485056"/>
        <sz val="10.0"/>
      </rPr>
      <t>Nilai Kinerja Pelaksanaan Anggaran di Monumen Pers Nasiona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</si>
  <si>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</si>
  <si>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</si>
  <si>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</si>
  <si>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</si>
  <si>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90.00 Nilai</t>
    </r>
  </si>
  <si>
    <r>
      <rPr>
        <rFont val="Arial MT"/>
        <color rgb="FF485056"/>
        <sz val="10.0"/>
      </rPr>
      <t>86.71 Nilai</t>
    </r>
  </si>
  <si>
    <r>
      <rPr>
        <rFont val="Arial MT"/>
        <color rgb="FF485056"/>
        <sz val="10.0"/>
      </rPr>
      <t xml:space="preserve">SK.03 Meningkatnya Kualitas Tata Kelola Ditjen IKP yang Bersih
</t>
    </r>
    <r>
      <rPr>
        <rFont val="Arial MT"/>
        <color rgb="FF485056"/>
        <sz val="10.0"/>
      </rPr>
      <t>dan Efisien</t>
    </r>
  </si>
  <si>
    <r>
      <rPr>
        <rFont val="Arial MT"/>
        <color rgb="FF485056"/>
        <sz val="10.0"/>
      </rPr>
      <t>Nilai Kualitas Pelaporan Keuangan Unit Akuntansi Kuasa Pengguna Anggaran (UAKPA)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</si>
  <si>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</si>
  <si>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</si>
  <si>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</si>
  <si>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</si>
  <si>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80.00 Nilai</t>
    </r>
  </si>
  <si>
    <r>
      <rPr>
        <rFont val="Arial MT"/>
        <color rgb="FF485056"/>
        <sz val="10.0"/>
      </rPr>
      <t>95.00 Nilai</t>
    </r>
  </si>
  <si>
    <r>
      <rPr>
        <rFont val="Arial MT"/>
        <color rgb="FF485056"/>
        <sz val="10.0"/>
      </rPr>
      <t xml:space="preserve">SK.03 Meningkatnya Kualitas Tata Kelola
</t>
    </r>
    <r>
      <rPr>
        <rFont val="Arial MT"/>
        <color rgb="FF485056"/>
        <sz val="10.0"/>
      </rPr>
      <t>Birokrasi yang Efektif dan Efisien</t>
    </r>
  </si>
  <si>
    <r>
      <rPr>
        <rFont val="Arial MT"/>
        <color rgb="FF485056"/>
        <sz val="10.0"/>
      </rPr>
      <t>Nilai Kinerja Pelaksanaan Anggaran di Museum Penerangan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</si>
  <si>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</si>
  <si>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</si>
  <si>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</si>
  <si>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</si>
  <si>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87.00 Nilai</t>
    </r>
  </si>
  <si>
    <r>
      <rPr>
        <rFont val="Arial MT"/>
        <color rgb="FF485056"/>
        <sz val="10.0"/>
      </rPr>
      <t>86.06 Nilai</t>
    </r>
  </si>
  <si>
    <r>
      <rPr>
        <rFont val="Arial MT"/>
        <color rgb="FF485056"/>
        <sz val="10.0"/>
      </rPr>
      <t xml:space="preserve">SK.03 Meningkatnya Kualitas Tata Kelola
</t>
    </r>
    <r>
      <rPr>
        <rFont val="Arial MT"/>
        <color rgb="FF485056"/>
        <sz val="10.0"/>
      </rPr>
      <t>Birokrasi yang Efektif dan Efisien</t>
    </r>
  </si>
  <si>
    <r>
      <rPr>
        <rFont val="Arial MT"/>
        <color rgb="FF485056"/>
        <sz val="10.0"/>
      </rPr>
      <t>Nilai Kualitas Pelaporan Keuangan Unit Akuntansi Kuasa Pengguna Anggaran (UAKPA)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</si>
  <si>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</si>
  <si>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</si>
  <si>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</si>
  <si>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</si>
  <si>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80.00 Nilai</t>
    </r>
  </si>
  <si>
    <r>
      <rPr>
        <rFont val="Arial MT"/>
        <color rgb="FF485056"/>
        <sz val="10.0"/>
      </rPr>
      <t>95.00 Nilai</t>
    </r>
  </si>
  <si>
    <r>
      <rPr>
        <rFont val="Arial MT"/>
        <color rgb="FF485056"/>
        <sz val="10.0"/>
      </rPr>
      <t>SK.1 Meningkatnya Adopsi Teknologi Digital di Sektor dan Kawasan Strategis</t>
    </r>
  </si>
  <si>
    <r>
      <rPr>
        <rFont val="Arial MT"/>
        <color rgb="FF485056"/>
        <sz val="10.0"/>
      </rPr>
      <t>Jumlah Kelompok Masyarakat yang Mendapatkan Fasilitasi Adopsi Teknologi Digital Sektor Strategis Logistik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</si>
  <si>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</si>
  <si>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</si>
  <si>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</si>
  <si>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</si>
  <si>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350.00 Mitra Logistik</t>
    </r>
  </si>
  <si>
    <r>
      <rPr>
        <rFont val="Arial MT"/>
        <color rgb="FF485056"/>
        <sz val="10.0"/>
      </rPr>
      <t>250.00 Mitra Logistik</t>
    </r>
  </si>
  <si>
    <r>
      <rPr>
        <rFont val="Arial MT"/>
        <color rgb="FF485056"/>
        <sz val="10.0"/>
      </rPr>
      <t>SK.1 Meningkatnya Adopsi Teknologi Digital di Sektor dan Kawasan Strategis</t>
    </r>
  </si>
  <si>
    <r>
      <rPr>
        <rFont val="Arial MT"/>
        <color rgb="FF485056"/>
        <sz val="10.0"/>
      </rPr>
      <t>Jumlah Kelompok Masyarakat yang Mendapatkan Fasilitasi Adopsi Teknologi Digital Sektor Strategis Maritim</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</si>
  <si>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</si>
  <si>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</si>
  <si>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</si>
  <si>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</si>
  <si>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22.00 Kelompok Nelayan</t>
    </r>
  </si>
  <si>
    <r>
      <rPr>
        <rFont val="Arial MT"/>
        <color rgb="FF485056"/>
        <sz val="10.0"/>
      </rPr>
      <t>22.00 Kelompok Nelayan</t>
    </r>
  </si>
  <si>
    <r>
      <rPr>
        <rFont val="Arial MT"/>
        <color rgb="FF485056"/>
        <sz val="10.0"/>
      </rPr>
      <t>SK.1 Meningkatnya Adopsi Teknologi Digital di Sektor dan Kawasan Strategis</t>
    </r>
  </si>
  <si>
    <r>
      <rPr>
        <rFont val="Arial MT"/>
        <color rgb="FF485056"/>
        <sz val="10.0"/>
      </rPr>
      <t>Jumlah Kelompok Masyarakat yang Mendapatkan Fasilitasi Adopsi Teknologi Digital Sektor Strategis Pertanian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</si>
  <si>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</si>
  <si>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</si>
  <si>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</si>
  <si>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</si>
  <si>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26.00 Kelompok Tani</t>
    </r>
  </si>
  <si>
    <r>
      <rPr>
        <rFont val="Arial MT"/>
        <color rgb="FF485056"/>
        <sz val="10.0"/>
      </rPr>
      <t>30.00 Kelompok Tani</t>
    </r>
  </si>
  <si>
    <r>
      <rPr>
        <rFont val="Arial MT"/>
        <color rgb="FF485056"/>
        <sz val="10.0"/>
      </rPr>
      <t>SK.1 Meningkatnya Adopsi Teknologi Digital di Sektor dan Kawasan Strategis</t>
    </r>
  </si>
  <si>
    <r>
      <rPr>
        <rFont val="Arial MT"/>
        <color rgb="FF485056"/>
        <sz val="10.0"/>
      </rPr>
      <t>Jumlah Lembaga yang Mendapatkan Fasilitasi Adopsi Teknologi Digital Sektor Strategis Kesehatan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</si>
  <si>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</si>
  <si>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</si>
  <si>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</si>
  <si>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</si>
  <si>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20.00 Fasilitas Kesehatan</t>
    </r>
  </si>
  <si>
    <r>
      <rPr>
        <rFont val="Arial MT"/>
        <color rgb="FF485056"/>
        <sz val="10.0"/>
      </rPr>
      <t>15.00 Fasilitas Kesehatan</t>
    </r>
  </si>
  <si>
    <r>
      <rPr>
        <rFont val="Arial MT"/>
        <color rgb="FF485056"/>
        <sz val="10.0"/>
      </rPr>
      <t>SK.1 Meningkatnya Adopsi Teknologi Digital di Sektor dan Kawasan Strategis</t>
    </r>
  </si>
  <si>
    <r>
      <rPr>
        <rFont val="Arial MT"/>
        <color rgb="FF485056"/>
        <sz val="10.0"/>
      </rPr>
      <t>Jumlah Lembaga yang Mendapatkan Fasilitasi Adopsi Teknologi Digital Sektor Strategis Pariwisata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</si>
  <si>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</si>
  <si>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</si>
  <si>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</si>
  <si>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</si>
  <si>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3.00 Desa Wisata</t>
    </r>
  </si>
  <si>
    <r>
      <rPr>
        <rFont val="Arial MT"/>
        <color rgb="FF485056"/>
        <sz val="10.0"/>
      </rPr>
      <t>3.00 Desa Wisata</t>
    </r>
  </si>
  <si>
    <r>
      <rPr>
        <rFont val="Arial MT"/>
        <color rgb="FF485056"/>
        <sz val="10.0"/>
      </rPr>
      <t>SK.1 Meningkatnya Adopsi Teknologi Digital di Sektor dan Kawasan Strategis</t>
    </r>
  </si>
  <si>
    <r>
      <rPr>
        <rFont val="Arial MT"/>
        <color rgb="FF485056"/>
        <sz val="10.0"/>
      </rPr>
      <t>Jumlah Lembaga yang Mendapatkan Fasilitasi Adopsi Teknologi Digital Sektor Strategis Pendidikan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</si>
  <si>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</si>
  <si>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</si>
  <si>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</si>
  <si>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</si>
  <si>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150.00 Sekolah</t>
    </r>
  </si>
  <si>
    <r>
      <rPr>
        <rFont val="Arial MT"/>
        <color rgb="FF485056"/>
        <sz val="10.0"/>
      </rPr>
      <t>101.00 Sekolah</t>
    </r>
  </si>
  <si>
    <r>
      <rPr>
        <rFont val="Arial MT"/>
        <color rgb="FF485056"/>
        <sz val="10.0"/>
      </rPr>
      <t>SK.1 Meningkatnya Jangkauan Penyebaran Informasi dan Program Prioritas Pemerintah</t>
    </r>
  </si>
  <si>
    <r>
      <rPr>
        <rFont val="Arial MT"/>
        <color rgb="FF485056"/>
        <sz val="10.0"/>
      </rPr>
      <t>Jumlah Sebaran Informasi Publik Program dan Kebijakan Pemerintah Bidang PMK Melalui Media Cetak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</si>
  <si>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</si>
  <si>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</si>
  <si>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</si>
  <si>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</si>
  <si>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303,000.00 Orang</t>
    </r>
  </si>
  <si>
    <r>
      <rPr>
        <rFont val="Arial MT"/>
        <color rgb="FF485056"/>
        <sz val="10.0"/>
      </rPr>
      <t>884,425.00 Orang</t>
    </r>
  </si>
  <si>
    <r>
      <rPr>
        <rFont val="Arial MT"/>
        <color rgb="FF485056"/>
        <sz val="10.0"/>
      </rPr>
      <t>SK.1 Meningkatnya Jangkauan Penyebaran Informasi dan Program Prioritas Pemerintah</t>
    </r>
  </si>
  <si>
    <r>
      <rPr>
        <rFont val="Arial MT"/>
        <color rgb="FF485056"/>
        <sz val="10.0"/>
      </rPr>
      <t>Jumlah Sebaran Informasi Publik Program dan Kebijakan Pemerintah Bidang PMK Melalui Media Elektronik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</si>
  <si>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</si>
  <si>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</si>
  <si>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</si>
  <si>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</si>
  <si>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2,500,000.00 Orang</t>
    </r>
  </si>
  <si>
    <r>
      <rPr>
        <rFont val="Arial MT"/>
        <color rgb="FF485056"/>
        <sz val="10.0"/>
      </rPr>
      <t>3,004,791.00 Orang</t>
    </r>
  </si>
  <si>
    <t>120.19%</t>
  </si>
  <si>
    <r>
      <rPr>
        <rFont val="Arial MT"/>
        <color rgb="FF485056"/>
        <sz val="10.0"/>
      </rPr>
      <t>SK.1 Meningkatnya Jangkauan Penyebaran Informasi dan Program Prioritas Pemerintah</t>
    </r>
  </si>
  <si>
    <r>
      <rPr>
        <rFont val="Arial MT"/>
        <color rgb="FF485056"/>
        <sz val="10.0"/>
      </rPr>
      <t>Jumlah Sebaran Informasi Publik Program dan Kebijakan Pemerintah Bidang PMK Melalui Media Luar Ruang</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</si>
  <si>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</si>
  <si>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</si>
  <si>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</si>
  <si>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</si>
  <si>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3,035,000.00 Orang</t>
    </r>
  </si>
  <si>
    <r>
      <rPr>
        <rFont val="Arial MT"/>
        <color rgb="FF485056"/>
        <sz val="10.0"/>
      </rPr>
      <t>3,672,033.00 Orang</t>
    </r>
  </si>
  <si>
    <r>
      <rPr>
        <rFont val="Arial MT"/>
        <color rgb="FF485056"/>
        <sz val="10.0"/>
      </rPr>
      <t>SK.1 Meningkatnya Jangkauan Penyebaran Informasi dan Program Prioritas Pemerintah</t>
    </r>
  </si>
  <si>
    <r>
      <rPr>
        <rFont val="Arial MT"/>
        <color rgb="FF485056"/>
        <sz val="10.0"/>
      </rPr>
      <t>Jumlah Sebaran Informasi Publik Program dan Kebijakan Pemerintah Bidang PMK Melalui Media Online</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</si>
  <si>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</si>
  <si>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</si>
  <si>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</si>
  <si>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</si>
  <si>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975,000.00
</t>
    </r>
    <r>
      <rPr>
        <rFont val="Arial MT"/>
        <color rgb="FF485056"/>
        <sz val="10.0"/>
      </rPr>
      <t>Pageviews/Visitor</t>
    </r>
  </si>
  <si>
    <r>
      <rPr>
        <rFont val="Arial MT"/>
        <color rgb="FF485056"/>
        <sz val="10.0"/>
      </rPr>
      <t xml:space="preserve">2,539,915.00
</t>
    </r>
    <r>
      <rPr>
        <rFont val="Arial MT"/>
        <color rgb="FF485056"/>
        <sz val="10.0"/>
      </rPr>
      <t>Pageviews/Visitor</t>
    </r>
  </si>
  <si>
    <r>
      <rPr>
        <rFont val="Arial MT"/>
        <color rgb="FF485056"/>
        <sz val="10.0"/>
      </rPr>
      <t>SK.1 Meningkatnya Jangkauan Penyebaran Informasi dan Program Prioritas Pemerintah</t>
    </r>
  </si>
  <si>
    <r>
      <rPr>
        <rFont val="Arial MT"/>
        <color rgb="FF485056"/>
        <sz val="10.0"/>
      </rPr>
      <t>Jumlah Sebaran Informasi Publik Program dan Kebijakan Pemerintah Bidang PMK Melalui Media Sosial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</si>
  <si>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</si>
  <si>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</si>
  <si>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</si>
  <si>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</si>
  <si>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212,500.00
</t>
    </r>
    <r>
      <rPr>
        <rFont val="Arial MT"/>
        <color rgb="FF485056"/>
        <sz val="10.0"/>
      </rPr>
      <t>Engagment</t>
    </r>
  </si>
  <si>
    <r>
      <rPr>
        <rFont val="Arial MT"/>
        <color rgb="FF485056"/>
        <sz val="10.0"/>
      </rPr>
      <t xml:space="preserve">1,005,258.00
</t>
    </r>
    <r>
      <rPr>
        <rFont val="Arial MT"/>
        <color rgb="FF485056"/>
        <sz val="10.0"/>
      </rPr>
      <t>Engagment</t>
    </r>
  </si>
  <si>
    <r>
      <rPr>
        <rFont val="Arial MT"/>
        <color rgb="FF485056"/>
        <sz val="10.0"/>
      </rPr>
      <t>SK.1 Meningkatnya Jangkauan Penyebaran Informasi dan Program Prioritas Pemerintah</t>
    </r>
  </si>
  <si>
    <r>
      <rPr>
        <rFont val="Arial MT"/>
        <color rgb="FF485056"/>
        <sz val="10.0"/>
      </rPr>
      <t>Jumlah Sebaran Informasi Publik Program dan Kebijakan Pemerintah Bidang PMK Melalui Media Tatap Muka dan Pertunra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</si>
  <si>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</si>
  <si>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</si>
  <si>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</si>
  <si>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</si>
  <si>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12,600.00 Orang</t>
    </r>
  </si>
  <si>
    <r>
      <rPr>
        <rFont val="Arial MT"/>
        <color rgb="FF485056"/>
        <sz val="10.0"/>
      </rPr>
      <t>22,499.00 Orang</t>
    </r>
  </si>
  <si>
    <r>
      <rPr>
        <rFont val="Arial MT"/>
        <color rgb="FF485056"/>
        <sz val="10.0"/>
      </rPr>
      <t>SK.1 Meningkatnya Jangkauan Penyebaran Informasi dan Program Prioritas Pemerintah</t>
    </r>
  </si>
  <si>
    <r>
      <rPr>
        <rFont val="Arial MT"/>
        <color rgb="FF485056"/>
        <sz val="10.0"/>
      </rPr>
      <t>Jumlah Sebaran Informasi Publik Program dan Kebijakan Pemerintah Tema Penanggulangan Stunting Melalui Media Cetak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</si>
  <si>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</si>
  <si>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</si>
  <si>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</si>
  <si>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</si>
  <si>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170,000.00 Orang</t>
    </r>
  </si>
  <si>
    <r>
      <rPr>
        <rFont val="Arial MT"/>
        <color rgb="FF485056"/>
        <sz val="10.0"/>
      </rPr>
      <t>603,131.00 Orang</t>
    </r>
  </si>
  <si>
    <r>
      <rPr>
        <rFont val="Arial MT"/>
        <color rgb="FF485056"/>
        <sz val="10.0"/>
      </rPr>
      <t>SK.1 Meningkatnya Jangkauan Penyebaran Informasi dan Program Prioritas Pemerintah</t>
    </r>
  </si>
  <si>
    <r>
      <rPr>
        <rFont val="Arial MT"/>
        <color rgb="FF485056"/>
        <sz val="10.0"/>
      </rPr>
      <t>Jumlah Sebaran Informasi Publik Program dan Kebijakan Pemerintah Tema Penanggulangan Stunting Melalui Media Elektronik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</si>
  <si>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</si>
  <si>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</si>
  <si>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</si>
  <si>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</si>
  <si>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1,020,000.00 Orang</t>
    </r>
  </si>
  <si>
    <r>
      <rPr>
        <rFont val="Arial MT"/>
        <color rgb="FF485056"/>
        <sz val="10.0"/>
      </rPr>
      <t>2,609,813.00 Orang</t>
    </r>
  </si>
  <si>
    <r>
      <rPr>
        <rFont val="Arial MT"/>
        <color rgb="FF485056"/>
        <sz val="10.0"/>
      </rPr>
      <t>SK.1 Meningkatnya Jangkauan Penyebaran Informasi dan Program Prioritas Pemerintah</t>
    </r>
  </si>
  <si>
    <r>
      <rPr>
        <rFont val="Arial MT"/>
        <color rgb="FF485056"/>
        <sz val="10.0"/>
      </rPr>
      <t>Jumlah Sebaran Informasi Publik Program dan Kebijakan Pemerintah Tema Penanggulangan Stunting Melalui Media Luar Ruang</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</si>
  <si>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</si>
  <si>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</si>
  <si>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</si>
  <si>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</si>
  <si>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1,450,000.00 Orang</t>
    </r>
  </si>
  <si>
    <r>
      <rPr>
        <rFont val="Arial MT"/>
        <color rgb="FF485056"/>
        <sz val="10.0"/>
      </rPr>
      <t>1,984,649.00 Orang</t>
    </r>
  </si>
  <si>
    <r>
      <rPr>
        <rFont val="Arial MT"/>
        <color rgb="FF485056"/>
        <sz val="10.0"/>
      </rPr>
      <t>SK.1 Meningkatnya Jangkauan Penyebaran Informasi dan Program Prioritas Pemerintah</t>
    </r>
  </si>
  <si>
    <r>
      <rPr>
        <rFont val="Arial MT"/>
        <color rgb="FF485056"/>
        <sz val="10.0"/>
      </rPr>
      <t>Jumlah Sebaran Informasi Publik Program dan Kebijakan Pemerintah Tema Penanggulangan Stunting Melalui Media Online</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</si>
  <si>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</si>
  <si>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</si>
  <si>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</si>
  <si>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</si>
  <si>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765,000.00
</t>
    </r>
    <r>
      <rPr>
        <rFont val="Arial MT"/>
        <color rgb="FF485056"/>
        <sz val="10.0"/>
      </rPr>
      <t>Pageviews/Visitor</t>
    </r>
  </si>
  <si>
    <r>
      <rPr>
        <rFont val="Arial MT"/>
        <color rgb="FF485056"/>
        <sz val="10.0"/>
      </rPr>
      <t xml:space="preserve">1,300,986.00
</t>
    </r>
    <r>
      <rPr>
        <rFont val="Arial MT"/>
        <color rgb="FF485056"/>
        <sz val="10.0"/>
      </rPr>
      <t>Pageviews/Visitor</t>
    </r>
  </si>
  <si>
    <r>
      <rPr>
        <rFont val="Arial MT"/>
        <color rgb="FF485056"/>
        <sz val="10.0"/>
      </rPr>
      <t>SK.1 Meningkatnya Jangkauan Penyebaran Informasi dan Program Prioritas Pemerintah</t>
    </r>
  </si>
  <si>
    <r>
      <rPr>
        <rFont val="Arial MT"/>
        <color rgb="FF485056"/>
        <sz val="10.0"/>
      </rPr>
      <t>Jumlah Sebaran Informasi Publik Program dan Kebijakan Pemerintah Tema Penanggulangan Stunting Melalui Media Sosial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</si>
  <si>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</si>
  <si>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</si>
  <si>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</si>
  <si>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</si>
  <si>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1,380,000.00
</t>
    </r>
    <r>
      <rPr>
        <rFont val="Arial MT"/>
        <color rgb="FF485056"/>
        <sz val="10.0"/>
      </rPr>
      <t>Engagment</t>
    </r>
  </si>
  <si>
    <r>
      <rPr>
        <rFont val="Arial MT"/>
        <color rgb="FF485056"/>
        <sz val="10.0"/>
      </rPr>
      <t xml:space="preserve">2,274,022.00
</t>
    </r>
    <r>
      <rPr>
        <rFont val="Arial MT"/>
        <color rgb="FF485056"/>
        <sz val="10.0"/>
      </rPr>
      <t>Engagment</t>
    </r>
  </si>
  <si>
    <r>
      <rPr>
        <rFont val="Arial MT"/>
        <color rgb="FF485056"/>
        <sz val="10.0"/>
      </rPr>
      <t>SK.1 Meningkatnya Jangkauan Penyebaran Informasi dan Program Prioritas Pemerintah</t>
    </r>
  </si>
  <si>
    <r>
      <rPr>
        <rFont val="Arial MT"/>
        <color rgb="FF485056"/>
        <sz val="10.0"/>
      </rPr>
      <t>Jumlah Sebaran Informasi Publik Program dan Kebijakan Pemerintah Tema Penanggulangan Stunting Melalui Media Tatap Muka Dan Pertunra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</si>
  <si>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</si>
  <si>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</si>
  <si>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</si>
  <si>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</si>
  <si>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5,400.00 Orang</t>
    </r>
  </si>
  <si>
    <r>
      <rPr>
        <rFont val="Arial MT"/>
        <color rgb="FF485056"/>
        <sz val="10.0"/>
      </rPr>
      <t>7,256.00 Orang</t>
    </r>
  </si>
  <si>
    <r>
      <rPr>
        <rFont val="Arial MT"/>
        <color rgb="FF485056"/>
        <sz val="10.0"/>
      </rPr>
      <t>SK.1 Meningkatnya Jangkauan Penyebaran Informasi dan Program Prioritas Pemerintah</t>
    </r>
  </si>
  <si>
    <r>
      <rPr>
        <rFont val="Arial MT"/>
        <color rgb="FF485056"/>
        <sz val="10.0"/>
      </rPr>
      <t>Penyediaan analisa informasi lintas sektoral bidang PMK bagi pengambilan keputusan strategis dan diseminasi informasi.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</si>
  <si>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</si>
  <si>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</si>
  <si>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</si>
  <si>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</si>
  <si>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2.00 Use case</t>
    </r>
  </si>
  <si>
    <r>
      <rPr>
        <rFont val="Arial MT"/>
        <color rgb="FF485056"/>
        <sz val="10.0"/>
      </rPr>
      <t>0.00 Use case</t>
    </r>
  </si>
  <si>
    <r>
      <rPr>
        <rFont val="Arial MT"/>
        <color rgb="FF485056"/>
        <sz val="10.0"/>
      </rPr>
      <t>SK.1 Meningkatnya Jangkauan Penyebaran Informasi dan Program Prioritas Pemerintah</t>
    </r>
  </si>
  <si>
    <r>
      <rPr>
        <rFont val="Arial MT"/>
        <color rgb="FF485056"/>
        <sz val="10.0"/>
      </rPr>
      <t>Persentase (%) Berita Hoaks Bidang PMK yang Berhasil Diklarifikasi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</si>
  <si>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</si>
  <si>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</si>
  <si>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</si>
  <si>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</si>
  <si>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87.00 Persen</t>
    </r>
  </si>
  <si>
    <r>
      <rPr>
        <rFont val="Arial MT"/>
        <color rgb="FF485056"/>
        <sz val="10.0"/>
      </rPr>
      <t>96.00 Persen</t>
    </r>
  </si>
  <si>
    <r>
      <rPr>
        <rFont val="Arial MT"/>
        <color rgb="FF485056"/>
        <sz val="10.0"/>
      </rPr>
      <t>SK.1 Meningkatnya Jangkauan Penyebaran Informasi dan Program Prioritas Pemerintah</t>
    </r>
  </si>
  <si>
    <r>
      <rPr>
        <rFont val="Arial MT"/>
        <color rgb="FF485056"/>
        <sz val="10.0"/>
      </rPr>
      <t>Persentase (%) kepuasan masyarakat terhadap akses dan kualitas informasi program prioritas pemerintah bidang PMK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</si>
  <si>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</si>
  <si>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</si>
  <si>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</si>
  <si>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</si>
  <si>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80.00 Persen</t>
    </r>
  </si>
  <si>
    <r>
      <rPr>
        <rFont val="Arial MT"/>
        <color rgb="FF485056"/>
        <sz val="10.0"/>
      </rPr>
      <t>93.75 Persen</t>
    </r>
  </si>
  <si>
    <r>
      <rPr>
        <rFont val="Arial MT"/>
        <color rgb="FF485056"/>
        <sz val="10.0"/>
      </rPr>
      <t>SK.1 Meningkatnya Jangkauan Penyebaran Informasi dan Program Prioritas Pemerintah</t>
    </r>
  </si>
  <si>
    <r>
      <rPr>
        <rFont val="Arial MT"/>
        <color rgb="FF485056"/>
        <sz val="10.0"/>
      </rPr>
      <t>Persentase (%) kepuasan masyarakat terhadap akses dan kualitas informasi program prioritas pemerintah bidang Stunting</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</si>
  <si>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</si>
  <si>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</si>
  <si>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</si>
  <si>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</si>
  <si>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80.00 Persen</t>
    </r>
  </si>
  <si>
    <r>
      <rPr>
        <rFont val="Arial MT"/>
        <color rgb="FF485056"/>
        <sz val="10.0"/>
      </rPr>
      <t>92.00 Persen</t>
    </r>
  </si>
  <si>
    <r>
      <rPr>
        <rFont val="Arial MT"/>
        <color rgb="FF485056"/>
        <sz val="10.0"/>
      </rPr>
      <t>SK.1 Meningkatnya Kualitas Kebijakan Tata Kelola Komunikasi Publik</t>
    </r>
  </si>
  <si>
    <r>
      <rPr>
        <rFont val="Arial MT"/>
        <color rgb="FF485056"/>
        <sz val="10.0"/>
      </rPr>
      <t>Jumlah Kajian/Regulasi/ Kebijakan Tata Kelola Informasi dan Komunikasi Publik di K/L/D</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</si>
  <si>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</si>
  <si>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</si>
  <si>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</si>
  <si>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</si>
  <si>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9.00 Naskah Rekomendasi
</t>
    </r>
    <r>
      <rPr>
        <rFont val="Arial MT"/>
        <color rgb="FF485056"/>
        <sz val="10.0"/>
      </rPr>
      <t>Kebijakan</t>
    </r>
  </si>
  <si>
    <r>
      <rPr>
        <rFont val="Arial MT"/>
        <color rgb="FF485056"/>
        <sz val="10.0"/>
      </rPr>
      <t xml:space="preserve">9.00 Naskah Rekomendasi
</t>
    </r>
    <r>
      <rPr>
        <rFont val="Arial MT"/>
        <color rgb="FF485056"/>
        <sz val="10.0"/>
      </rPr>
      <t>Kebijakan</t>
    </r>
  </si>
  <si>
    <r>
      <rPr>
        <rFont val="Arial MT"/>
        <color rgb="FF485056"/>
        <sz val="10.0"/>
      </rPr>
      <t>SK.1 Meningkatnya Kualitas Kebijakan Tata Kelola Komunikasi Publik</t>
    </r>
  </si>
  <si>
    <r>
      <rPr>
        <rFont val="Arial MT"/>
        <color rgb="FF485056"/>
        <sz val="10.0"/>
      </rPr>
      <t>Jumlah Regulasi Mengenai Norma, Standar, Prosedur, Kriteria (NSPK) Pengelolaan Bidang Komunikasi Publik: 1. Pedoman Layanan Sistem Informasi Manajemen Pranata Humas dan Inovatif (Simphoni) 2. Monitoring Informasi Kebijakan dan Aspirasi Publik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</si>
  <si>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</si>
  <si>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</si>
  <si>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</si>
  <si>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</si>
  <si>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2.00 NSPK</t>
    </r>
  </si>
  <si>
    <r>
      <rPr>
        <rFont val="Arial MT"/>
        <color rgb="FF485056"/>
        <sz val="10.0"/>
      </rPr>
      <t>2.00 NSPK</t>
    </r>
  </si>
  <si>
    <r>
      <rPr>
        <rFont val="Arial MT"/>
        <color rgb="FF485056"/>
        <sz val="10.0"/>
      </rPr>
      <t>SK.1 Meningkatnya Kualitas Kebijakan Tata Kelola Komunikasi Publik</t>
    </r>
  </si>
  <si>
    <r>
      <rPr>
        <rFont val="Arial MT"/>
        <color rgb="FF485056"/>
        <sz val="10.0"/>
      </rPr>
      <t>Jumlah Regulasi Rancangan Peraturan Presiden mengenai Pengelolaan Informasi Komunikasi Publik: Rancangan Peraturan Presiden tentang Sistem Komunikasi Publik Nasional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</si>
  <si>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</si>
  <si>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</si>
  <si>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</si>
  <si>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</si>
  <si>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 RPerpres</t>
    </r>
  </si>
  <si>
    <r>
      <rPr>
        <rFont val="Arial MT"/>
        <color rgb="FF485056"/>
        <sz val="10.0"/>
      </rPr>
      <t>1.00 RPerpres</t>
    </r>
  </si>
  <si>
    <r>
      <rPr>
        <rFont val="Arial MT"/>
        <color rgb="FF485056"/>
        <sz val="10.0"/>
      </rPr>
      <t>SK.1 Meningkatnya Kualitas Kebijakan Tata Kelola Komunikasi Publik</t>
    </r>
  </si>
  <si>
    <r>
      <rPr>
        <rFont val="Arial MT"/>
        <color rgb="FF485056"/>
        <sz val="10.0"/>
      </rPr>
      <t>Jumlah Regulasi tentang Pengelolaan Informasi dan Komunikasi Publik (PIKP): Rancangan Peraturan Menteri Kominfo tentang Layanan Komunikasi dan Informasi Publik yang Mudah Diakses, Andal dan Responsif terhadap Kebutuhan Penyandang Disabilitas</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</si>
  <si>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</si>
  <si>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</si>
  <si>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</si>
  <si>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</si>
  <si>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 Naskah RPM</t>
    </r>
  </si>
  <si>
    <r>
      <rPr>
        <rFont val="Arial MT"/>
        <color rgb="FF485056"/>
        <sz val="10.0"/>
      </rPr>
      <t>1.00 Naskah RPM</t>
    </r>
  </si>
  <si>
    <r>
      <rPr>
        <rFont val="Arial MT"/>
        <color rgb="FF485056"/>
        <sz val="10.0"/>
      </rPr>
      <t>SK.1 Meningkatnya jangkauan penyebaran informasi dan program prioritas pemerintah</t>
    </r>
  </si>
  <si>
    <r>
      <rPr>
        <rFont val="Arial MT"/>
        <color rgb="FF485056"/>
        <sz val="10.0"/>
      </rPr>
      <t>Jumlah Sebaran Informasi Publik Pemindahan Ibu Kota Negara Melalui Media Elektronik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</si>
  <si>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</si>
  <si>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</si>
  <si>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</si>
  <si>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</si>
  <si>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3,500,000.00 Orang</t>
    </r>
  </si>
  <si>
    <r>
      <rPr>
        <rFont val="Arial MT"/>
        <color rgb="FF485056"/>
        <sz val="10.0"/>
      </rPr>
      <t>3,600,000.00 Orang</t>
    </r>
  </si>
  <si>
    <r>
      <rPr>
        <rFont val="Arial MT"/>
        <color rgb="FF485056"/>
        <sz val="10.0"/>
      </rPr>
      <t>SK.1 Meningkatnya jangkauan penyebaran informasi dan program prioritas pemerintah</t>
    </r>
  </si>
  <si>
    <r>
      <rPr>
        <rFont val="Arial MT"/>
        <color rgb="FF485056"/>
        <sz val="10.0"/>
      </rPr>
      <t>Jumlah Sebaran Informasi Publik Pemindahan Ibu Kota Negara Melalui Media Sosial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</si>
  <si>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</si>
  <si>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</si>
  <si>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</si>
  <si>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</si>
  <si>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15,000.00
</t>
    </r>
    <r>
      <rPr>
        <rFont val="Arial MT"/>
        <color rgb="FF485056"/>
        <sz val="10.0"/>
      </rPr>
      <t>Engagement</t>
    </r>
  </si>
  <si>
    <r>
      <rPr>
        <rFont val="Arial MT"/>
        <color rgb="FF485056"/>
        <sz val="10.0"/>
      </rPr>
      <t xml:space="preserve">551,432.00
</t>
    </r>
    <r>
      <rPr>
        <rFont val="Arial MT"/>
        <color rgb="FF485056"/>
        <sz val="10.0"/>
      </rPr>
      <t>Engagement</t>
    </r>
  </si>
  <si>
    <r>
      <rPr>
        <rFont val="Arial MT"/>
        <color rgb="FF485056"/>
        <sz val="10.0"/>
      </rPr>
      <t>SK.1 Meningkatnya jangkauan penyebaran informasi dan program prioritas pemerintah</t>
    </r>
  </si>
  <si>
    <r>
      <rPr>
        <rFont val="Arial MT"/>
        <color rgb="FF485056"/>
        <sz val="10.0"/>
      </rPr>
      <t>Jumlah Sebaran Informasi Publik Pemindahan Ibu Kota Negara melalui Media Cetak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</si>
  <si>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</si>
  <si>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</si>
  <si>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</si>
  <si>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</si>
  <si>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250,000.00 Orang</t>
    </r>
  </si>
  <si>
    <r>
      <rPr>
        <rFont val="Arial MT"/>
        <color rgb="FF485056"/>
        <sz val="10.0"/>
      </rPr>
      <t>525,900.00 Orang</t>
    </r>
  </si>
  <si>
    <r>
      <rPr>
        <rFont val="Arial MT"/>
        <color rgb="FF485056"/>
        <sz val="10.0"/>
      </rPr>
      <t>SK.1 Meningkatnya jangkauan penyebaran informasi dan program prioritas pemerintah</t>
    </r>
  </si>
  <si>
    <r>
      <rPr>
        <rFont val="Arial MT"/>
        <color rgb="FF485056"/>
        <sz val="10.0"/>
      </rPr>
      <t>Jumlah Sebaran Informasi Publik Pemindahan Ibu Kota Negara melalui Media Luar Ruang</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</si>
  <si>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</si>
  <si>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</si>
  <si>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</si>
  <si>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</si>
  <si>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2,500,000.00 Orang</t>
    </r>
  </si>
  <si>
    <r>
      <rPr>
        <rFont val="Arial MT"/>
        <color rgb="FF485056"/>
        <sz val="10.0"/>
      </rPr>
      <t>309,384.00 Orang</t>
    </r>
  </si>
  <si>
    <r>
      <rPr>
        <rFont val="Arial MT"/>
        <color rgb="FF485056"/>
        <sz val="10.0"/>
      </rPr>
      <t>SK.1 Meningkatnya jangkauan penyebaran informasi dan program prioritas pemerintah</t>
    </r>
  </si>
  <si>
    <r>
      <rPr>
        <rFont val="Arial MT"/>
        <color rgb="FF485056"/>
        <sz val="10.0"/>
      </rPr>
      <t>Jumlah Sebaran Informasi Publik Pemindahan Ibu Kota Negara melalui Media Online</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</si>
  <si>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</si>
  <si>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</si>
  <si>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</si>
  <si>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</si>
  <si>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1,000,000.00
</t>
    </r>
    <r>
      <rPr>
        <rFont val="Arial MT"/>
        <color rgb="FF485056"/>
        <sz val="10.0"/>
      </rPr>
      <t>Pageview/Visitor</t>
    </r>
  </si>
  <si>
    <r>
      <rPr>
        <rFont val="Arial MT"/>
        <color rgb="FF485056"/>
        <sz val="10.0"/>
      </rPr>
      <t xml:space="preserve">773,063.00
</t>
    </r>
    <r>
      <rPr>
        <rFont val="Arial MT"/>
        <color rgb="FF485056"/>
        <sz val="10.0"/>
      </rPr>
      <t>Pageview/Visitor</t>
    </r>
  </si>
  <si>
    <r>
      <rPr>
        <rFont val="Arial MT"/>
        <color rgb="FF485056"/>
        <sz val="10.0"/>
      </rPr>
      <t>SK.1 Meningkatnya jangkauan penyebaran informasi dan program prioritas pemerintah</t>
    </r>
  </si>
  <si>
    <r>
      <rPr>
        <rFont val="Arial MT"/>
        <color rgb="FF485056"/>
        <sz val="10.0"/>
      </rPr>
      <t>Jumlah Sebaran Informasi Publik Pemindahan Ibu Kota Negara melalui Media Pertunra dan Tatap Muka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</si>
  <si>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</si>
  <si>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</si>
  <si>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</si>
  <si>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</si>
  <si>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5,000.00 Orang</t>
    </r>
  </si>
  <si>
    <r>
      <rPr>
        <rFont val="Arial MT"/>
        <color rgb="FF485056"/>
        <sz val="10.0"/>
      </rPr>
      <t>5,635.00 Orang</t>
    </r>
  </si>
  <si>
    <r>
      <rPr>
        <rFont val="Arial MT"/>
        <color rgb="FF485056"/>
        <sz val="10.0"/>
      </rPr>
      <t>SK.1 Meningkatnya jangkauan penyebaran informasi dan program prioritas pemerintah</t>
    </r>
  </si>
  <si>
    <r>
      <rPr>
        <rFont val="Arial MT"/>
        <color rgb="FF485056"/>
        <sz val="10.0"/>
      </rPr>
      <t>Jumlah sebaran informasi publik program dan kebijakan pemerintah bidang Perekonomian dan Maritim melalui media cetak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</si>
  <si>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</si>
  <si>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</si>
  <si>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</si>
  <si>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</si>
  <si>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1,000,000.00 Orang</t>
    </r>
  </si>
  <si>
    <r>
      <rPr>
        <rFont val="Arial MT"/>
        <color rgb="FF485056"/>
        <sz val="10.0"/>
      </rPr>
      <t>887,000.00 Orang</t>
    </r>
  </si>
  <si>
    <r>
      <rPr>
        <rFont val="Arial MT"/>
        <color rgb="FF485056"/>
        <sz val="10.0"/>
      </rPr>
      <t>SK.1 Meningkatnya jangkauan penyebaran informasi dan program prioritas pemerintah</t>
    </r>
  </si>
  <si>
    <r>
      <rPr>
        <rFont val="Arial MT"/>
        <color rgb="FF485056"/>
        <sz val="10.0"/>
      </rPr>
      <t>Jumlah sebaran informasi publik program dan kebijakan pemerintah bidang Perekonomian dan Maritim melalui media elektronik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</si>
  <si>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</si>
  <si>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</si>
  <si>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</si>
  <si>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</si>
  <si>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25,000,000.00 Orang</t>
    </r>
  </si>
  <si>
    <r>
      <rPr>
        <rFont val="Arial MT"/>
        <color rgb="FF485056"/>
        <sz val="10.0"/>
      </rPr>
      <t>26,900,000.00 Orang</t>
    </r>
  </si>
  <si>
    <r>
      <rPr>
        <rFont val="Arial MT"/>
        <color rgb="FF485056"/>
        <sz val="10.0"/>
      </rPr>
      <t>SK.1 Meningkatnya jangkauan penyebaran informasi dan program prioritas pemerintah</t>
    </r>
  </si>
  <si>
    <r>
      <rPr>
        <rFont val="Arial MT"/>
        <color rgb="FF485056"/>
        <sz val="10.0"/>
      </rPr>
      <t>Jumlah sebaran informasi publik program dan kebijakan pemerintah bidang Perekonomian dan Maritim melalui media luar ruang</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</si>
  <si>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</si>
  <si>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</si>
  <si>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</si>
  <si>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</si>
  <si>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10,000,000.00 Orang</t>
    </r>
  </si>
  <si>
    <r>
      <rPr>
        <rFont val="Arial MT"/>
        <color rgb="FF485056"/>
        <sz val="10.0"/>
      </rPr>
      <t>13,264,820.00 Orang</t>
    </r>
  </si>
  <si>
    <r>
      <rPr>
        <rFont val="Arial MT"/>
        <color rgb="FF485056"/>
        <sz val="10.0"/>
      </rPr>
      <t>SK.1 Meningkatnya jangkauan penyebaran informasi dan program prioritas pemerintah</t>
    </r>
  </si>
  <si>
    <r>
      <rPr>
        <rFont val="Arial MT"/>
        <color rgb="FF485056"/>
        <sz val="10.0"/>
      </rPr>
      <t>Jumlah sebaran informasi publik program dan kebijakan pemerintah bidang Perekonomian dan Maritim melalui media online</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</si>
  <si>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</si>
  <si>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</si>
  <si>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</si>
  <si>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</si>
  <si>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2,000,000.00
</t>
    </r>
    <r>
      <rPr>
        <rFont val="Arial MT"/>
        <color rgb="FF485056"/>
        <sz val="10.0"/>
      </rPr>
      <t>Pageviews/visitor</t>
    </r>
  </si>
  <si>
    <r>
      <rPr>
        <rFont val="Arial MT"/>
        <color rgb="FF485056"/>
        <sz val="10.0"/>
      </rPr>
      <t xml:space="preserve">1,107,500.00
</t>
    </r>
    <r>
      <rPr>
        <rFont val="Arial MT"/>
        <color rgb="FF485056"/>
        <sz val="10.0"/>
      </rPr>
      <t>Pageviews/visitor</t>
    </r>
  </si>
  <si>
    <r>
      <rPr>
        <rFont val="Arial MT"/>
        <color rgb="FF485056"/>
        <sz val="10.0"/>
      </rPr>
      <t>SK.1 Meningkatnya jangkauan penyebaran informasi dan program prioritas pemerintah</t>
    </r>
  </si>
  <si>
    <r>
      <rPr>
        <rFont val="Arial MT"/>
        <color rgb="FF485056"/>
        <sz val="10.0"/>
      </rPr>
      <t>Jumlah sebaran informasi publik program dan kebijakan pemerintah bidang Perekonomian dan Maritim melalui media pertunra dan tatap muka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</si>
  <si>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</si>
  <si>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</si>
  <si>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</si>
  <si>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</si>
  <si>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35,000.00 Orang</t>
    </r>
  </si>
  <si>
    <r>
      <rPr>
        <rFont val="Arial MT"/>
        <color rgb="FF485056"/>
        <sz val="10.0"/>
      </rPr>
      <t>40,503.00 Orang</t>
    </r>
  </si>
  <si>
    <r>
      <rPr>
        <rFont val="Arial MT"/>
        <color rgb="FF485056"/>
        <sz val="10.0"/>
      </rPr>
      <t>SK.1 Meningkatnya jangkauan penyebaran informasi dan program prioritas pemerintah</t>
    </r>
  </si>
  <si>
    <r>
      <rPr>
        <rFont val="Arial MT"/>
        <color rgb="FF485056"/>
        <sz val="10.0"/>
      </rPr>
      <t>Jumlah sebaran informasi publik program dan kebijakan pemerintah bidang Perekonomian dan Maritim melalui media sosial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</si>
  <si>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</si>
  <si>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</si>
  <si>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</si>
  <si>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</si>
  <si>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90,000.00
</t>
    </r>
    <r>
      <rPr>
        <rFont val="Arial MT"/>
        <color rgb="FF485056"/>
        <sz val="10.0"/>
      </rPr>
      <t>Engagement</t>
    </r>
  </si>
  <si>
    <r>
      <rPr>
        <rFont val="Arial MT"/>
        <color rgb="FF485056"/>
        <sz val="10.0"/>
      </rPr>
      <t xml:space="preserve">95,172.00
</t>
    </r>
    <r>
      <rPr>
        <rFont val="Arial MT"/>
        <color rgb="FF485056"/>
        <sz val="10.0"/>
      </rPr>
      <t>Engagement</t>
    </r>
  </si>
  <si>
    <r>
      <rPr>
        <rFont val="Arial MT"/>
        <color rgb="FF485056"/>
        <sz val="10.0"/>
      </rPr>
      <t>SK.1 Meningkatnya jangkauan penyebaran informasi dan program prioritas pemerintah</t>
    </r>
  </si>
  <si>
    <r>
      <rPr>
        <rFont val="Arial MT"/>
        <color rgb="FF485056"/>
        <sz val="10.0"/>
      </rPr>
      <t>Persentase (%) Berita Hoaks bidang Perekonomian dan Maritim yang berhasil dikonter</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</si>
  <si>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</si>
  <si>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</si>
  <si>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</si>
  <si>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</si>
  <si>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87.00 Persen</t>
    </r>
  </si>
  <si>
    <r>
      <rPr>
        <rFont val="Arial MT"/>
        <color rgb="FF485056"/>
        <sz val="10.0"/>
      </rPr>
      <t>100.00 Persen</t>
    </r>
  </si>
  <si>
    <r>
      <rPr>
        <rFont val="Arial MT"/>
        <color rgb="FF485056"/>
        <sz val="10.0"/>
      </rPr>
      <t>SK.1 Meningkatnya jangkauan penyebaran informasi dan program prioritas pemerintah</t>
    </r>
  </si>
  <si>
    <r>
      <rPr>
        <rFont val="Arial MT"/>
        <color rgb="FF485056"/>
        <sz val="10.0"/>
      </rPr>
      <t>Persentase (%) Kepuasan Masyarakat Terhadap Akses Informasi Publik Terkait Kebijakan dan Program Prioritas Pemerintah Bidang Perekonomian dan Maritim</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</si>
  <si>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</si>
  <si>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</si>
  <si>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</si>
  <si>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</si>
  <si>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81.00 Persen</t>
    </r>
  </si>
  <si>
    <r>
      <rPr>
        <rFont val="Arial MT"/>
        <color rgb="FF485056"/>
        <sz val="10.0"/>
      </rPr>
      <t>89.80 Persen</t>
    </r>
  </si>
  <si>
    <r>
      <rPr>
        <rFont val="Arial MT"/>
        <color rgb="FF485056"/>
        <sz val="10.0"/>
      </rPr>
      <t>SK.1 Meningkatnya jangkauan penyebaran informasi dan program prioritas pemerintah</t>
    </r>
  </si>
  <si>
    <r>
      <rPr>
        <rFont val="Arial MT"/>
        <color rgb="FF485056"/>
        <sz val="10.0"/>
      </rPr>
      <t>Persentase (%) Kepuasan Masyarakat Terhadap Akses Informasi Publik Terkait Pemindahan Ibu Kota Negara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</si>
  <si>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</si>
  <si>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</si>
  <si>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</si>
  <si>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</si>
  <si>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81.00 Persen</t>
    </r>
  </si>
  <si>
    <r>
      <rPr>
        <rFont val="Arial MT"/>
        <color rgb="FF485056"/>
        <sz val="10.0"/>
      </rPr>
      <t>95.82 Persen</t>
    </r>
  </si>
  <si>
    <r>
      <rPr>
        <rFont val="Arial MT"/>
        <color rgb="FF485056"/>
        <sz val="10.0"/>
      </rPr>
      <t>SK.2 Meningkatnya Kualitas Pengelolaan Informasi dan Komunikasi Publik</t>
    </r>
  </si>
  <si>
    <r>
      <rPr>
        <rFont val="Arial MT"/>
        <color rgb="FF485056"/>
        <sz val="10.0"/>
      </rPr>
      <t>Indeks Pengelolaan Informasi dan Komunikasi Publik di K/L/D</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</si>
  <si>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</si>
  <si>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</si>
  <si>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</si>
  <si>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</si>
  <si>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73.00 Indeks</t>
    </r>
  </si>
  <si>
    <r>
      <rPr>
        <rFont val="Arial MT"/>
        <color rgb="FF485056"/>
        <sz val="10.0"/>
      </rPr>
      <t>71.79 Indeks</t>
    </r>
  </si>
  <si>
    <r>
      <rPr>
        <rFont val="Arial MT"/>
        <color rgb="FF485056"/>
        <sz val="10.0"/>
      </rPr>
      <t>SK.2 Meningkatnya Kualitas Pengelolaan Informasi dan Komunikasi Publik</t>
    </r>
  </si>
  <si>
    <r>
      <rPr>
        <rFont val="Arial MT"/>
        <color rgb="FF485056"/>
        <sz val="10.0"/>
      </rPr>
      <t>Jumlah Kecamatan yang menerima layanan informasi publik di wilayah 3T dan wilayah lainnya yang masih diperlukan tatap muka melalui Petugas Informasi Publik</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</si>
  <si>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</si>
  <si>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</si>
  <si>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</si>
  <si>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</si>
  <si>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700.00 Kecamatan</t>
    </r>
  </si>
  <si>
    <r>
      <rPr>
        <rFont val="Arial MT"/>
        <color rgb="FF485056"/>
        <sz val="10.0"/>
      </rPr>
      <t>891.83 Kecamatan</t>
    </r>
  </si>
  <si>
    <r>
      <rPr>
        <rFont val="Arial MT"/>
        <color rgb="FF485056"/>
        <sz val="10.0"/>
      </rPr>
      <t>SK.2 Meningkatnya Kualitas Pengelolaan Informasi dan Komunikasi Publik</t>
    </r>
  </si>
  <si>
    <r>
      <rPr>
        <rFont val="Arial MT"/>
        <color rgb="FF485056"/>
        <sz val="10.0"/>
      </rPr>
      <t>Persentase (%) ASN yang meningkat kompetensinya terkait pengelolaan informasi dan komunikasi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</si>
  <si>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</si>
  <si>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</si>
  <si>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</si>
  <si>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</si>
  <si>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75.00 % (Skala
</t>
    </r>
    <r>
      <rPr>
        <rFont val="Arial MT"/>
        <color rgb="FF485056"/>
        <sz val="10.0"/>
      </rPr>
      <t>1-100)</t>
    </r>
  </si>
  <si>
    <r>
      <rPr>
        <rFont val="Arial MT"/>
        <color rgb="FF485056"/>
        <sz val="10.0"/>
      </rPr>
      <t xml:space="preserve">87.00 % (Skala
</t>
    </r>
    <r>
      <rPr>
        <rFont val="Arial MT"/>
        <color rgb="FF485056"/>
        <sz val="10.0"/>
      </rPr>
      <t>1-100)</t>
    </r>
  </si>
  <si>
    <r>
      <rPr>
        <rFont val="Arial MT"/>
        <color rgb="FF485056"/>
        <sz val="10.0"/>
      </rPr>
      <t>SK.2 Meningkatnya Kualitas Pengelolaan Informasi dan Komunikasi Publik</t>
    </r>
  </si>
  <si>
    <r>
      <rPr>
        <rFont val="Arial MT"/>
        <color rgb="FF485056"/>
        <sz val="10.0"/>
      </rPr>
      <t>Persentase (%) Mitra Strategis (Kelompok Informasi Masyarakat/KIM, Bako Humas, Petugas Informasi Publik/PIP,dll) yang melaksanakan diseminasi informasi kebijakan dan program prioritas Nasional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</si>
  <si>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</si>
  <si>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</si>
  <si>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</si>
  <si>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</si>
  <si>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SK.2 Meningkatnya Kualitas Pengelolaan Informasi dan Komunikasi Publik</t>
    </r>
  </si>
  <si>
    <r>
      <rPr>
        <rFont val="Arial MT"/>
        <color rgb="FF485056"/>
        <sz val="10.0"/>
      </rPr>
      <t>Persentase (%) Pranata Humas yang meningkat kompetensi dan kapasitasnya terkait dengan Jabatan Fungsional Pranata Humas</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</si>
  <si>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</si>
  <si>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</si>
  <si>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</si>
  <si>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</si>
  <si>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SK.2 Meningkatnya Pengembangan Startup Digital</t>
    </r>
  </si>
  <si>
    <r>
      <rPr>
        <rFont val="Arial MT"/>
        <color rgb="FF485056"/>
        <sz val="10.0"/>
      </rPr>
      <t>Jumlah Business Matchmaking Startup Digital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</si>
  <si>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</si>
  <si>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</si>
  <si>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</si>
  <si>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</si>
  <si>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80.00 Startup</t>
    </r>
  </si>
  <si>
    <r>
      <rPr>
        <rFont val="Arial MT"/>
        <color rgb="FF485056"/>
        <sz val="10.0"/>
      </rPr>
      <t>84.00 Startup</t>
    </r>
  </si>
  <si>
    <r>
      <rPr>
        <rFont val="Arial MT"/>
        <color rgb="FF485056"/>
        <sz val="10.0"/>
      </rPr>
      <t>SK.2 Meningkatnya Pengembangan Startup Digital</t>
    </r>
  </si>
  <si>
    <r>
      <rPr>
        <rFont val="Arial MT"/>
        <color rgb="FF485056"/>
        <sz val="10.0"/>
      </rPr>
      <t>Jumlah Startup Bidang Gim yang Difasilitasi Pengembangan Bisnisnya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</si>
  <si>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</si>
  <si>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</si>
  <si>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</si>
  <si>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</si>
  <si>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40.00 Startup</t>
    </r>
  </si>
  <si>
    <r>
      <rPr>
        <rFont val="Arial MT"/>
        <color rgb="FF485056"/>
        <sz val="10.0"/>
      </rPr>
      <t>27.00 Startup</t>
    </r>
  </si>
  <si>
    <r>
      <rPr>
        <rFont val="Arial MT"/>
        <color rgb="FF485056"/>
        <sz val="10.0"/>
      </rPr>
      <t>SK.2 Meningkatnya Pengembangan Startup Digital</t>
    </r>
  </si>
  <si>
    <r>
      <rPr>
        <rFont val="Arial MT"/>
        <color rgb="FF485056"/>
        <sz val="10.0"/>
      </rPr>
      <t>Jumlah Startup Digital yang Difasilitasi Menjadi Aktif</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</si>
  <si>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</si>
  <si>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</si>
  <si>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</si>
  <si>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</si>
  <si>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70.00 Startup</t>
    </r>
  </si>
  <si>
    <r>
      <rPr>
        <rFont val="Arial MT"/>
        <color rgb="FF485056"/>
        <sz val="10.0"/>
      </rPr>
      <t>50.00 Startup</t>
    </r>
  </si>
  <si>
    <r>
      <rPr>
        <rFont val="Arial MT"/>
        <color rgb="FF485056"/>
        <sz val="10.0"/>
      </rPr>
      <t>SK.3 Meningkatnya Kualitas Tata Kelola Ditjen APTIKA yang Bersih dan Efisien</t>
    </r>
  </si>
  <si>
    <r>
      <rPr>
        <rFont val="Arial MT"/>
        <color rgb="FF485056"/>
        <sz val="10.0"/>
      </rPr>
      <t>Indeks Kepuasan Pegawai Terhadap Layanan TU</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</si>
  <si>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</si>
  <si>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</si>
  <si>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</si>
  <si>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</si>
  <si>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3.60 Nilai</t>
    </r>
  </si>
  <si>
    <r>
      <rPr>
        <rFont val="Arial MT"/>
        <color rgb="FF485056"/>
        <sz val="10.0"/>
      </rPr>
      <t>3.99 Nilai</t>
    </r>
  </si>
  <si>
    <r>
      <rPr>
        <rFont val="Arial MT"/>
        <color rgb="FF485056"/>
        <sz val="10.0"/>
      </rPr>
      <t>SK1 Terwujudnya Harmonisasi Regulasi untuk Mendukung Peningkatan Konektivitas Pita Lebar</t>
    </r>
  </si>
  <si>
    <r>
      <rPr>
        <rFont val="Arial MT"/>
        <color rgb="FF485056"/>
        <sz val="10.0"/>
      </rPr>
      <t>Jumlah Penyelesaian Regulasi terkait Spektrum Frekuensi yang Mendukung Peningkatan Konektivitas Broadband</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</si>
  <si>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</si>
  <si>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</si>
  <si>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</si>
  <si>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</si>
  <si>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r>
      <rPr>
        <rFont val="Arial MT"/>
        <color rgb="FF485056"/>
        <sz val="10.0"/>
      </rPr>
      <t>2.00 RPM</t>
    </r>
  </si>
  <si>
    <r>
      <rPr>
        <rFont val="Arial MT"/>
        <color rgb="FF485056"/>
        <sz val="10.0"/>
      </rPr>
      <t>2.00 RPM</t>
    </r>
  </si>
  <si>
    <r>
      <rPr>
        <rFont val="Arial MT"/>
        <color rgb="FF485056"/>
        <sz val="10.0"/>
      </rPr>
      <t>SK1 Terwujudnya Optimalisasi dalam Rangka Penambahan Alokasi Frekuensi untuk Pita Lebar</t>
    </r>
  </si>
  <si>
    <r>
      <rPr>
        <rFont val="Arial MT"/>
        <color rgb="FF485056"/>
        <sz val="10.0"/>
      </rPr>
      <t>Jumlah Kajian Penataan Pita Frekuensi Radio untuk Layanan Mobile Broadband</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</si>
  <si>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</si>
  <si>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</si>
  <si>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</si>
  <si>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</si>
  <si>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 Kajian Teknis</t>
    </r>
  </si>
  <si>
    <r>
      <rPr>
        <rFont val="Arial MT"/>
        <color rgb="FF485056"/>
        <sz val="10.0"/>
      </rPr>
      <t>1.00 Kajian Teknis</t>
    </r>
  </si>
  <si>
    <r>
      <rPr>
        <rFont val="Arial MT"/>
        <color rgb="FF485056"/>
        <sz val="10.0"/>
      </rPr>
      <t>SK1 Terwujudnya Optimalisasi dalam Rangka Penambahan Alokasi Frekuensi untuk Pita Lebar</t>
    </r>
  </si>
  <si>
    <r>
      <rPr>
        <rFont val="Arial MT"/>
        <color rgb="FF485056"/>
        <sz val="10.0"/>
      </rPr>
      <t>Jumlah Kajian Teknis dalam rangka Optimalisasi Penggunaan Frekuensi untuk Layanan Fixed dan Mobile</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</si>
  <si>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</si>
  <si>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</si>
  <si>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</si>
  <si>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</si>
  <si>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 Kajian Teknis</t>
    </r>
  </si>
  <si>
    <r>
      <rPr>
        <rFont val="Arial MT"/>
        <color rgb="FF485056"/>
        <sz val="10.0"/>
      </rPr>
      <t>1.00 Kajian Teknis</t>
    </r>
  </si>
  <si>
    <r>
      <rPr>
        <rFont val="Arial MT"/>
        <color rgb="FF485056"/>
        <sz val="10.0"/>
      </rPr>
      <t>SK1 Terwujudnya Optimalisasi dalam Rangka Penambahan Alokasi Frekuensi untuk Pita Lebar</t>
    </r>
  </si>
  <si>
    <r>
      <rPr>
        <rFont val="Arial MT"/>
        <color rgb="FF485056"/>
        <sz val="10.0"/>
      </rPr>
      <t>Jumlah Kajian Teknokratik Kebijakan Penataan SFR untuk Layanan Broadband dalam rangka mempersiapkan Rencana Strategis 2025-2029</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</si>
  <si>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</si>
  <si>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</si>
  <si>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</si>
  <si>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</si>
  <si>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 Kajian Teknis</t>
    </r>
  </si>
  <si>
    <r>
      <rPr>
        <rFont val="Arial MT"/>
        <color rgb="FF485056"/>
        <sz val="10.0"/>
      </rPr>
      <t>1.00 Kajian Teknis</t>
    </r>
  </si>
  <si>
    <r>
      <rPr>
        <rFont val="Arial MT"/>
        <color rgb="FF485056"/>
        <sz val="10.0"/>
      </rPr>
      <t>SK1 Terwujudnya Optimalisasi dalam Rangka Penambahan Alokasi Frekuensi untuk Pita Lebar</t>
    </r>
  </si>
  <si>
    <r>
      <rPr>
        <rFont val="Arial MT"/>
        <color rgb="FF485056"/>
        <sz val="10.0"/>
      </rPr>
      <t>Jumlah KajianTeknis Harmonisasi Spektrum Frekuensi Menuju Spectrum Outlook 2025-2029</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</si>
  <si>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</si>
  <si>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</si>
  <si>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</si>
  <si>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</si>
  <si>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 Kajian Teknis</t>
    </r>
  </si>
  <si>
    <r>
      <rPr>
        <rFont val="Arial MT"/>
        <color rgb="FF485056"/>
        <sz val="10.0"/>
      </rPr>
      <t>1.00 Kajian Teknis</t>
    </r>
  </si>
  <si>
    <r>
      <rPr>
        <rFont val="Arial MT"/>
        <color rgb="FF485056"/>
        <sz val="10.0"/>
      </rPr>
      <t>SK1 Terwujudnya Optimalisasi dalam Rangka Penambahan Alokasi Frekuensi untuk Pita Lebar</t>
    </r>
  </si>
  <si>
    <r>
      <rPr>
        <rFont val="Arial MT"/>
        <color rgb="FF485056"/>
        <sz val="10.0"/>
      </rPr>
      <t>Jumlah Kebijakan Valuasi Spektrum Frekuensi Radio yang Adaptif terhadap Industri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</si>
  <si>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</si>
  <si>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</si>
  <si>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</si>
  <si>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</si>
  <si>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15.00 RKM</t>
    </r>
  </si>
  <si>
    <r>
      <rPr>
        <rFont val="Arial MT"/>
        <color rgb="FF485056"/>
        <sz val="10.0"/>
      </rPr>
      <t>19.00 RKM</t>
    </r>
  </si>
  <si>
    <r>
      <rPr>
        <rFont val="Arial MT"/>
        <color rgb="FF485056"/>
        <sz val="10.0"/>
      </rPr>
      <t>SK1 Terwujudnya Optimalisasi dalam Rangka Penambahan Alokasi Frekuensi untuk Pita Lebar</t>
    </r>
  </si>
  <si>
    <r>
      <rPr>
        <rFont val="Arial MT"/>
        <color rgb="FF485056"/>
        <sz val="10.0"/>
      </rPr>
      <t>Pemanfaatan Pita Frekuensi Radio untuk Layanan Broadband</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</si>
  <si>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</si>
  <si>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</si>
  <si>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</si>
  <si>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</si>
  <si>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SK2 Meningkatnya Kualitas Tata Kelola Internal Ditjen SDPPI</t>
    </r>
  </si>
  <si>
    <r>
      <rPr>
        <rFont val="Arial MT"/>
        <color rgb="FF485056"/>
        <sz val="10.0"/>
      </rPr>
      <t>Indeks Kepuasan Pegawai terhadap Layanan Dukungan Manajemen Ditjen SDPPI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</si>
  <si>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</si>
  <si>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</si>
  <si>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</si>
  <si>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</si>
  <si>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4.25 Nilai</t>
    </r>
  </si>
  <si>
    <r>
      <rPr>
        <rFont val="Arial MT"/>
        <color rgb="FF485056"/>
        <sz val="10.0"/>
      </rPr>
      <t>4.30 Nilai</t>
    </r>
  </si>
  <si>
    <r>
      <rPr>
        <rFont val="Arial MT"/>
        <color rgb="FF485056"/>
        <sz val="10.0"/>
      </rPr>
      <t>SK2 Meningkatnya Kualitas Tata Kelola Internal Ditjen SDPPI</t>
    </r>
  </si>
  <si>
    <r>
      <rPr>
        <rFont val="Arial MT"/>
        <color rgb="FF485056"/>
        <sz val="10.0"/>
      </rPr>
      <t>Indeks Reformasi Birokrasi Ditjen SDPPI Tahun 2024 berdasarkan Realisasi Rencana Aksi RB Tematik Ditjen SDPPI</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</si>
  <si>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</si>
  <si>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</si>
  <si>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</si>
  <si>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</si>
  <si>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100.00 Nilai</t>
    </r>
  </si>
  <si>
    <r>
      <rPr>
        <rFont val="Arial MT"/>
        <color rgb="FF485056"/>
        <sz val="10.0"/>
      </rPr>
      <t>100.00 Nilai</t>
    </r>
  </si>
  <si>
    <r>
      <rPr>
        <rFont val="Arial MT"/>
        <color rgb="FF485056"/>
        <sz val="10.0"/>
      </rPr>
      <t>SK2 Meningkatnya Kualitas Tata Kelola Internal Ditjen SDPPI</t>
    </r>
  </si>
  <si>
    <r>
      <rPr>
        <rFont val="Arial MT"/>
        <color rgb="FF485056"/>
        <sz val="10.0"/>
      </rPr>
      <t>Nilai Akuntabilitas Kinerja (AKIP) Ditjen SDPPI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</si>
  <si>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</si>
  <si>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</si>
  <si>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</si>
  <si>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</si>
  <si>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77.10 Nilai</t>
    </r>
  </si>
  <si>
    <r>
      <rPr>
        <rFont val="Arial MT"/>
        <color rgb="FF485056"/>
        <sz val="10.0"/>
      </rPr>
      <t>77.15 Nilai</t>
    </r>
  </si>
  <si>
    <r>
      <rPr>
        <rFont val="Arial MT"/>
        <color rgb="FF485056"/>
        <sz val="10.0"/>
      </rPr>
      <t>SK2 Meningkatnya Kualitas Tata Kelola Internal Ditjen SDPPI</t>
    </r>
  </si>
  <si>
    <r>
      <rPr>
        <rFont val="Arial MT"/>
        <color rgb="FF485056"/>
        <sz val="10.0"/>
      </rPr>
      <t>Nilai Kinerja Anggaran Ditjen SDPPI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</si>
  <si>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</si>
  <si>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</si>
  <si>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</si>
  <si>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</si>
  <si>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92.00 Nilai</t>
    </r>
  </si>
  <si>
    <r>
      <rPr>
        <rFont val="Arial MT"/>
        <color rgb="FF485056"/>
        <sz val="10.0"/>
      </rPr>
      <t>91.10 Nilai</t>
    </r>
  </si>
  <si>
    <r>
      <rPr>
        <rFont val="Arial MT"/>
        <color rgb="FF485056"/>
        <sz val="10.0"/>
      </rPr>
      <t>SK2 Meningkatnya Kualitas Tata Kelola Internal Ditjen SDPPI</t>
    </r>
  </si>
  <si>
    <r>
      <rPr>
        <rFont val="Arial MT"/>
        <color rgb="FF485056"/>
        <sz val="10.0"/>
      </rPr>
      <t>Nilai Kualitas Pelaporan Keuangan Unit Akuntansi Kuasa Pengguna Anggaran (UAKPA) Ditjen SDPPI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</si>
  <si>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</si>
  <si>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</si>
  <si>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</si>
  <si>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</si>
  <si>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83.00 Nilai</t>
    </r>
  </si>
  <si>
    <r>
      <rPr>
        <rFont val="Arial MT"/>
        <color rgb="FF485056"/>
        <sz val="10.0"/>
      </rPr>
      <t>100.00 Nilai</t>
    </r>
  </si>
  <si>
    <r>
      <rPr>
        <rFont val="Arial MT"/>
        <color rgb="FF485056"/>
        <sz val="10.0"/>
      </rPr>
      <t>SK2 Meningkatnya Kualitas Tata Kelola Internal Ditjen SDPPI</t>
    </r>
  </si>
  <si>
    <r>
      <rPr>
        <rFont val="Arial MT"/>
        <color rgb="FF485056"/>
        <sz val="10.0"/>
      </rPr>
      <t>Nilai Kualitas Pelaporan Keuangan Unit Akuntansi Pembantu Pengguna Anggaran Eselon I (UAPPA-E1) Ditjen SDPPI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</si>
  <si>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</si>
  <si>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</si>
  <si>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</si>
  <si>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</si>
  <si>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90.00 Nilai</t>
    </r>
  </si>
  <si>
    <r>
      <rPr>
        <rFont val="Arial MT"/>
        <color rgb="FF485056"/>
        <sz val="10.0"/>
      </rPr>
      <t>95.00 Nilai</t>
    </r>
  </si>
  <si>
    <r>
      <rPr>
        <rFont val="Arial MT"/>
        <color rgb="FF485056"/>
        <sz val="10.0"/>
      </rPr>
      <t>SK2 Meningkatnya Kualitas Tata Kelola Internal Ditjen SDPPI</t>
    </r>
  </si>
  <si>
    <r>
      <rPr>
        <rFont val="Arial MT"/>
        <color rgb="FF485056"/>
        <sz val="10.0"/>
      </rPr>
      <t>Nilai Maturitas SPIP Ditjen SDPPI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</si>
  <si>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</si>
  <si>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</si>
  <si>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</si>
  <si>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</si>
  <si>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3.57 Nilai</t>
    </r>
  </si>
  <si>
    <r>
      <rPr>
        <rFont val="Arial MT"/>
        <color rgb="FF485056"/>
        <sz val="10.0"/>
      </rPr>
      <t>3.58 Nilai</t>
    </r>
  </si>
  <si>
    <r>
      <rPr>
        <rFont val="Arial MT"/>
        <color rgb="FF485056"/>
        <sz val="10.0"/>
      </rPr>
      <t>SK2 Meningkatnya Kualitas Tata Kelola Internal Ditjen SDPPI</t>
    </r>
  </si>
  <si>
    <r>
      <rPr>
        <rFont val="Arial MT"/>
        <color rgb="FF485056"/>
        <sz val="10.0"/>
      </rPr>
      <t>Persentase (%) Batas Tertinggi Temuan Hasil Pemeriksaan BPK di Ditjen SDPPI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</si>
  <si>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</si>
  <si>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</si>
  <si>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</si>
  <si>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</si>
  <si>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SK2 Meningkatnya Kualitas Tata Kelola Internal Ditjen SDPPI</t>
    </r>
  </si>
  <si>
    <r>
      <rPr>
        <rFont val="Arial MT"/>
        <color rgb="FF485056"/>
        <sz val="10.0"/>
      </rPr>
      <t>Persentase (%) Belanja Pengadaan Barang dan Jasa Ditjen SDPPI yang dilakukan secara Elektronik (E-Purchasing)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</si>
  <si>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</si>
  <si>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</si>
  <si>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</si>
  <si>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</si>
  <si>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30.00 % (dari total Rencana Pengadaan
</t>
    </r>
    <r>
      <rPr>
        <rFont val="Arial MT"/>
        <color rgb="FF485056"/>
        <sz val="10.0"/>
      </rPr>
      <t>Melalui Penyedia)</t>
    </r>
  </si>
  <si>
    <r>
      <rPr>
        <rFont val="Arial MT"/>
        <color rgb="FF485056"/>
        <sz val="10.0"/>
      </rPr>
      <t xml:space="preserve">52.13 % (dari total Rencana Pengadaan
</t>
    </r>
    <r>
      <rPr>
        <rFont val="Arial MT"/>
        <color rgb="FF485056"/>
        <sz val="10.0"/>
      </rPr>
      <t>Melalui Penyedia)</t>
    </r>
  </si>
  <si>
    <r>
      <rPr>
        <rFont val="Arial MT"/>
        <color rgb="FF485056"/>
        <sz val="10.0"/>
      </rPr>
      <t>SK2 Meningkatnya Kualitas Tata Kelola Internal Ditjen SDPPI</t>
    </r>
  </si>
  <si>
    <r>
      <rPr>
        <rFont val="Arial MT"/>
        <color rgb="FF485056"/>
        <sz val="10.0"/>
      </rPr>
      <t>Persentase (%) Penggunaan Produk dalam Negeri dalam Belanja Pengadaan Barang dan Jasa Ditjen SDPPI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</si>
  <si>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</si>
  <si>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</si>
  <si>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</si>
  <si>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</si>
  <si>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 xml:space="preserve">70.00 % (Komitmen PDN dari Penyedia
</t>
    </r>
    <r>
      <rPr>
        <rFont val="Arial MT"/>
        <color rgb="FF485056"/>
        <sz val="10.0"/>
      </rPr>
      <t>dan Swakelola)</t>
    </r>
  </si>
  <si>
    <r>
      <rPr>
        <rFont val="Arial MT"/>
        <color rgb="FF485056"/>
        <sz val="10.0"/>
      </rPr>
      <t xml:space="preserve">76.96 % (Komitmen PDN dari Penyedia
</t>
    </r>
    <r>
      <rPr>
        <rFont val="Arial MT"/>
        <color rgb="FF485056"/>
        <sz val="10.0"/>
      </rPr>
      <t>dan Swakelola)</t>
    </r>
  </si>
  <si>
    <r>
      <rPr>
        <rFont val="Arial MT"/>
        <color rgb="FF485056"/>
        <sz val="10.0"/>
      </rPr>
      <t>SK2 Meningkatnya Kualitas Tata Kelola Internal Ditjen SDPPI</t>
    </r>
  </si>
  <si>
    <r>
      <rPr>
        <rFont val="Arial MT"/>
        <color rgb="FF485056"/>
        <sz val="10.0"/>
      </rPr>
      <t>Persentase (%) Penyelesaian Tindak Lanjut Hasil Pemeriksaan BPK pada Tahun Berjalan di Ditjen SDPPI pada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</si>
  <si>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</si>
  <si>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</si>
  <si>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</si>
  <si>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</si>
  <si>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SK2 Meningkatnya Kualitas Tata Kelola Internal Ditjen SDPPI</t>
    </r>
  </si>
  <si>
    <r>
      <rPr>
        <rFont val="Arial MT"/>
        <color rgb="FF485056"/>
        <sz val="10.0"/>
      </rPr>
      <t>Persentase (%) Penyelesaian Tindak Lanjut Hasil Pemeriksaan BPK pada Tahun Sebelumnya di Ditjen SDPPI pada Tahun 2024</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</si>
  <si>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</si>
  <si>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</si>
  <si>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</si>
  <si>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</si>
  <si>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SK2 Meningkatnya Kualitas Tata Kelola Internal Ditjen SDPPI</t>
    </r>
  </si>
  <si>
    <r>
      <rPr>
        <rFont val="Arial MT"/>
        <color rgb="FF485056"/>
        <sz val="10.0"/>
      </rPr>
      <t>Persentase (%) SDM Ditjen SDPPI yang mengikuti Kegiatan Pengembangan Kompetensi Tahun 2024</t>
    </r>
  </si>
  <si>
    <r>
      <rPr>
        <rFont val="Arial MT"/>
        <color rgb="FF485056"/>
        <sz val="10.0"/>
      </rPr>
      <t>Iya</t>
    </r>
  </si>
  <si>
    <r>
      <rPr>
        <rFont val="Arial MT"/>
        <color rgb="FF485056"/>
        <sz val="10.0"/>
      </rPr>
      <t>Tidak</t>
    </r>
  </si>
  <si>
    <r>
      <rPr>
        <rFont val="Arial MT"/>
        <color rgb="FF485056"/>
        <sz val="10.0"/>
      </rPr>
      <t>Iya</t>
    </r>
  </si>
  <si>
    <r>
      <rPr>
        <rFont val="Arial MT"/>
        <color rgb="FF485056"/>
        <sz val="10.0"/>
      </rPr>
      <t>Iya</t>
    </r>
  </si>
  <si>
    <t>190.22%</t>
  </si>
  <si>
    <r>
      <rPr>
        <rFont val="Arial MT"/>
        <color rgb="FF485056"/>
        <sz val="10.0"/>
      </rPr>
      <t>SK2 Terwujudnya Optimalisasi dan Penyediaan Pita Frekuensi Radio untuk Public Service</t>
    </r>
  </si>
  <si>
    <r>
      <rPr>
        <rFont val="Arial MT"/>
        <color rgb="FF485056"/>
        <sz val="10.0"/>
      </rPr>
      <t>Jumlah Kajian Teknis Penggunaan Earth Station in Motion (ESIM)</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</si>
  <si>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</si>
  <si>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</si>
  <si>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</si>
  <si>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</si>
  <si>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 Kajian Teknis</t>
    </r>
  </si>
  <si>
    <r>
      <rPr>
        <rFont val="Arial MT"/>
        <color rgb="FF485056"/>
        <sz val="10.0"/>
      </rPr>
      <t>1.00 Kajian Teknis</t>
    </r>
  </si>
  <si>
    <r>
      <rPr>
        <rFont val="Arial MT"/>
        <color rgb="FF485056"/>
        <sz val="10.0"/>
      </rPr>
      <t>SK2 Terwujudnya Optimalisasi dan Penyediaan Pita Frekuensi Radio untuk Public Service</t>
    </r>
  </si>
  <si>
    <r>
      <rPr>
        <rFont val="Arial MT"/>
        <color rgb="FF485056"/>
        <sz val="10.0"/>
      </rPr>
      <t>Jumlah Kajian Teknis Posisi Indonesia dalam Sidang Koordinasi Perbatasan (Border Coordination) dengan Negara Tetangga</t>
    </r>
  </si>
  <si>
    <r>
      <rPr>
        <rFont val="Arial MT"/>
        <color rgb="FF485056"/>
        <sz val="10.0"/>
      </rPr>
      <t>Iya</t>
    </r>
  </si>
  <si>
    <r>
      <rPr>
        <rFont val="Arial MT"/>
        <color rgb="FF485056"/>
        <sz val="10.0"/>
      </rPr>
      <t>Tidak</t>
    </r>
  </si>
  <si>
    <r>
      <rPr>
        <rFont val="Arial MT"/>
        <color rgb="FF485056"/>
        <sz val="10.0"/>
      </rPr>
      <t>Tidak</t>
    </r>
  </si>
  <si>
    <r>
      <rPr>
        <rFont val="Arial MT"/>
        <color rgb="FF485056"/>
        <sz val="10.0"/>
      </rPr>
      <t>Iya</t>
    </r>
  </si>
  <si>
    <r>
      <rPr>
        <rFont val="Arial MT"/>
        <color rgb="FF485056"/>
        <sz val="10.0"/>
      </rPr>
      <t>3.00 Kajian Teknis</t>
    </r>
  </si>
  <si>
    <r>
      <rPr>
        <rFont val="Arial MT"/>
        <color rgb="FF485056"/>
        <sz val="10.0"/>
      </rPr>
      <t>3.00 Kajian Teknis</t>
    </r>
  </si>
  <si>
    <r>
      <rPr>
        <rFont val="Arial MT"/>
        <color rgb="FF485056"/>
        <sz val="10.0"/>
      </rPr>
      <t>SK2 Terwujudnya Optimalisasi dan Penyediaan Pita Frekuensi Radio untuk Public Service</t>
    </r>
  </si>
  <si>
    <r>
      <rPr>
        <rFont val="Arial MT"/>
        <color rgb="FF485056"/>
        <sz val="10.0"/>
      </rPr>
      <t>Jumlah Kajian dan Koordinasi Rencana Implementasi Aplikasi Non-safety pada Dinas Bergerak Penerbangan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</si>
  <si>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</si>
  <si>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</si>
  <si>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</si>
  <si>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</si>
  <si>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 Kajian Teknis</t>
    </r>
  </si>
  <si>
    <r>
      <rPr>
        <rFont val="Arial MT"/>
        <color rgb="FF485056"/>
        <sz val="10.0"/>
      </rPr>
      <t>1.00 Kajian Teknis</t>
    </r>
  </si>
  <si>
    <r>
      <rPr>
        <rFont val="Arial MT"/>
        <color rgb="FF485056"/>
        <sz val="10.0"/>
      </rPr>
      <t>SK2 Terwujudnya Optimalisasi dan Penyediaan Pita Frekuensi Radio untuk Public Service</t>
    </r>
  </si>
  <si>
    <r>
      <rPr>
        <rFont val="Arial MT"/>
        <color rgb="FF485056"/>
        <sz val="10.0"/>
      </rPr>
      <t>Jumlah Kajian teknis penentuan tahapan fase implementasi Govemment Radio Network (GRN)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</si>
  <si>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</si>
  <si>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</si>
  <si>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</si>
  <si>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</si>
  <si>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 Kajian Teknis</t>
    </r>
  </si>
  <si>
    <r>
      <rPr>
        <rFont val="Arial MT"/>
        <color rgb="FF485056"/>
        <sz val="10.0"/>
      </rPr>
      <t>1.00 Kajian Teknis</t>
    </r>
  </si>
  <si>
    <r>
      <rPr>
        <rFont val="Arial MT"/>
        <color rgb="FF485056"/>
        <sz val="10.0"/>
      </rPr>
      <t>SK2 Terwujudnya Optimalisasi dan Penyediaan Pita Frekuensi Radio untuk Public Service</t>
    </r>
  </si>
  <si>
    <r>
      <rPr>
        <rFont val="Arial MT"/>
        <color rgb="FF485056"/>
        <sz val="10.0"/>
      </rPr>
      <t>Jumlah Stasiun Radio Terestrial yang Dinotifikasi/Registrasi</t>
    </r>
  </si>
  <si>
    <r>
      <rPr>
        <rFont val="Arial MT"/>
        <color rgb="FF485056"/>
        <sz val="10.0"/>
      </rPr>
      <t>Iya</t>
    </r>
  </si>
  <si>
    <r>
      <rPr>
        <rFont val="Arial MT"/>
        <color rgb="FF485056"/>
        <sz val="10.0"/>
      </rPr>
      <t>Tidak</t>
    </r>
  </si>
  <si>
    <r>
      <rPr>
        <rFont val="Arial MT"/>
        <color rgb="FF485056"/>
        <sz val="10.0"/>
      </rPr>
      <t>Tidak</t>
    </r>
  </si>
  <si>
    <r>
      <rPr>
        <rFont val="Arial MT"/>
        <color rgb="FF485056"/>
        <sz val="10.0"/>
      </rPr>
      <t>Iya</t>
    </r>
  </si>
  <si>
    <r>
      <rPr>
        <rFont val="Arial MT"/>
        <color rgb="FF485056"/>
        <sz val="10.0"/>
      </rPr>
      <t>2,000.00 Notifikasi</t>
    </r>
  </si>
  <si>
    <r>
      <rPr>
        <rFont val="Arial MT"/>
        <color rgb="FF485056"/>
        <sz val="10.0"/>
      </rPr>
      <t>4,584.00 Notifikasi</t>
    </r>
  </si>
  <si>
    <r>
      <rPr>
        <rFont val="Arial MT"/>
        <color rgb="FF485056"/>
        <sz val="10.0"/>
      </rPr>
      <t>SK3 Terwujudnya Optimalisasi Pemanfaatan Spektrum Frekuensi Radio untuk Keperluan Digitalisasi Penyiaran</t>
    </r>
  </si>
  <si>
    <r>
      <rPr>
        <rFont val="Arial MT"/>
        <color rgb="FF485056"/>
        <sz val="10.0"/>
      </rPr>
      <t>Jumlah Masterplan Spektrum Frekuensi Radio untuk keperluan Penyiaran Digital</t>
    </r>
  </si>
  <si>
    <r>
      <rPr>
        <rFont val="Arial MT"/>
        <color rgb="FF485056"/>
        <sz val="10.0"/>
      </rPr>
      <t>Iya</t>
    </r>
  </si>
  <si>
    <r>
      <rPr>
        <rFont val="Arial MT"/>
        <color rgb="FF485056"/>
        <sz val="10.0"/>
      </rPr>
      <t>Tidak</t>
    </r>
  </si>
  <si>
    <r>
      <rPr>
        <rFont val="Arial MT"/>
        <color rgb="FF485056"/>
        <sz val="10.0"/>
      </rPr>
      <t>Tidak</t>
    </r>
  </si>
  <si>
    <r>
      <rPr>
        <rFont val="Arial MT"/>
        <color rgb="FF485056"/>
        <sz val="10.0"/>
      </rPr>
      <t>Iya</t>
    </r>
  </si>
  <si>
    <r>
      <rPr>
        <rFont val="Arial MT"/>
        <color rgb="FF485056"/>
        <sz val="10.0"/>
      </rPr>
      <t>2.00 RKM</t>
    </r>
  </si>
  <si>
    <r>
      <rPr>
        <rFont val="Arial MT"/>
        <color rgb="FF485056"/>
        <sz val="10.0"/>
      </rPr>
      <t>2.00 RKM</t>
    </r>
  </si>
  <si>
    <r>
      <rPr>
        <rFont val="Arial MT"/>
        <color rgb="FF485056"/>
        <sz val="10.0"/>
      </rPr>
      <t>SK4 Terwujudnya Optimalisasi Pemanfaatan Spektrum Frekuensi Radio untuk Keperluan Penambahan Kapasitas Satelit</t>
    </r>
  </si>
  <si>
    <r>
      <rPr>
        <rFont val="Arial MT"/>
        <color rgb="FF485056"/>
        <sz val="10.0"/>
      </rPr>
      <t>Jumlah Penambahan Kapasitas Satelit Nasional</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</si>
  <si>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</si>
  <si>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</si>
  <si>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</si>
  <si>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</si>
  <si>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32.00 Gbps</t>
    </r>
  </si>
  <si>
    <r>
      <rPr>
        <rFont val="Arial MT"/>
        <color rgb="FF485056"/>
        <sz val="10.0"/>
      </rPr>
      <t>32.00 Gbps</t>
    </r>
  </si>
  <si>
    <r>
      <rPr>
        <rFont val="Arial MT"/>
        <color rgb="FF485056"/>
        <sz val="10.0"/>
      </rPr>
      <t>SK4 Terwujudnya Optimalisasi Pemanfaatan Spektrum Frekuensi Radio untuk Keperluan Penambahan Kapasitas Satelit</t>
    </r>
  </si>
  <si>
    <r>
      <rPr>
        <rFont val="Arial MT"/>
        <color rgb="FF485056"/>
        <sz val="10.0"/>
      </rPr>
      <t>Jumlah Pendaftaran Filling Satelit Baru ke ITU</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</si>
  <si>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</si>
  <si>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</si>
  <si>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</si>
  <si>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</si>
  <si>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2.00 Filing</t>
    </r>
  </si>
  <si>
    <r>
      <rPr>
        <rFont val="Arial MT"/>
        <color rgb="FF485056"/>
        <sz val="10.0"/>
      </rPr>
      <t>4.00 Filing</t>
    </r>
  </si>
  <si>
    <r>
      <rPr>
        <rFont val="Arial MT"/>
        <color rgb="FF485056"/>
        <sz val="10.0"/>
      </rPr>
      <t>SP.01 Meningkatnya Cakupan dan Kualitas Layanan Broadband di Wilayah Non Komersial</t>
    </r>
  </si>
  <si>
    <r>
      <rPr>
        <rFont val="Arial MT"/>
        <color rgb="FF485056"/>
        <sz val="10.0"/>
      </rPr>
      <t>Jumlah Kapasitas Satelit Multifungsi (SATRIA-1) di Teresterial melalui Ground Segment/IP Hub (Kumulatif)</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</si>
  <si>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</si>
  <si>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</si>
  <si>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</si>
  <si>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</si>
  <si>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10.00 Gbps</t>
    </r>
  </si>
  <si>
    <r>
      <rPr>
        <rFont val="Arial MT"/>
        <color rgb="FF485056"/>
        <sz val="10.0"/>
      </rPr>
      <t>150.00 Gbps</t>
    </r>
  </si>
  <si>
    <r>
      <rPr>
        <rFont val="Arial MT"/>
        <color rgb="FF485056"/>
        <sz val="10.0"/>
      </rPr>
      <t>SP.01 Meningkatnya Cakupan dan Kualitas Layanan Broadband di Wilayah Non Komersial</t>
    </r>
  </si>
  <si>
    <r>
      <rPr>
        <rFont val="Arial MT"/>
        <color rgb="FF485056"/>
        <sz val="10.0"/>
      </rPr>
      <t>Jumlah Lokasi Penyediaan Akses Internet Broadband Termasuk 3T (Tertinggal, Terdepan, Terluar) di Kawasan Prioritas di Wilayah Non-Papua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</si>
  <si>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</si>
  <si>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</si>
  <si>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</si>
  <si>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</si>
  <si>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30.00 Lokasi</t>
    </r>
  </si>
  <si>
    <r>
      <rPr>
        <rFont val="Arial MT"/>
        <color rgb="FF485056"/>
        <sz val="10.0"/>
      </rPr>
      <t>21,183.00 Lokasi</t>
    </r>
  </si>
  <si>
    <r>
      <rPr>
        <rFont val="Arial MT"/>
        <color rgb="FF485056"/>
        <sz val="10.0"/>
      </rPr>
      <t>SP.01 Meningkatnya Cakupan dan Kualitas Layanan Broadband di Wilayah Non Komersial</t>
    </r>
  </si>
  <si>
    <r>
      <rPr>
        <rFont val="Arial MT"/>
        <color rgb="FF485056"/>
        <sz val="10.0"/>
      </rPr>
      <t>Jumlah Sewa Kapasitas Satelit (Leased Capacity)</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</si>
  <si>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</si>
  <si>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</si>
  <si>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</si>
  <si>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</si>
  <si>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19.00 Gbps</t>
    </r>
  </si>
  <si>
    <r>
      <rPr>
        <rFont val="Arial MT"/>
        <color rgb="FF485056"/>
        <sz val="10.0"/>
      </rPr>
      <t>28.78 Gbps</t>
    </r>
  </si>
  <si>
    <r>
      <rPr>
        <rFont val="Arial MT"/>
        <color rgb="FF485056"/>
        <sz val="10.0"/>
      </rPr>
      <t>SP.01 Meningkatnya Cakupan dan Kualitas Layanan Broadband di Wilayah Non Komersial</t>
    </r>
  </si>
  <si>
    <r>
      <rPr>
        <rFont val="Arial MT"/>
        <color rgb="FF485056"/>
        <sz val="10.0"/>
      </rPr>
      <t xml:space="preserve">Operational &amp; Maintenance Layanan Seluler 4G pada Desa/Kelurahan di VVIlayah
</t>
    </r>
    <r>
      <rPr>
        <rFont val="Arial MT"/>
        <color rgb="FF485056"/>
        <sz val="10.0"/>
      </rPr>
      <t xml:space="preserve">Pelayanan Universal Telekomunikasi dan Informatika yang Telah Mendapatkan
</t>
    </r>
    <r>
      <rPr>
        <rFont val="Arial MT"/>
        <color rgb="FF485056"/>
        <sz val="10.0"/>
      </rPr>
      <t>Layanan Seluler 4G di Lokasi Pulau Papua.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</si>
  <si>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</si>
  <si>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</si>
  <si>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</si>
  <si>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</si>
  <si>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2,141.00 Lokasi</t>
    </r>
  </si>
  <si>
    <r>
      <rPr>
        <rFont val="Arial MT"/>
        <color rgb="FF485056"/>
        <sz val="10.0"/>
      </rPr>
      <t>3,070.00 Lokasi</t>
    </r>
  </si>
  <si>
    <r>
      <rPr>
        <rFont val="Arial MT"/>
        <color rgb="FF485056"/>
        <sz val="10.0"/>
      </rPr>
      <t>SP.01 Meningkatnya Cakupan dan Kualitas Layanan Broadband di Wilayah Non Komersial</t>
    </r>
  </si>
  <si>
    <r>
      <rPr>
        <rFont val="Arial MT"/>
        <color rgb="FF485056"/>
        <sz val="10.0"/>
      </rPr>
      <t xml:space="preserve">Operational &amp; Maintenance Layanan Seluler 4G pada Desa/Kelurahan di Wilayah
</t>
    </r>
    <r>
      <rPr>
        <rFont val="Arial MT"/>
        <color rgb="FF485056"/>
        <sz val="10.0"/>
      </rPr>
      <t xml:space="preserve">Pelayanan Universal Telekomunikasi dan Informatika yang Telah Mendapatkan
</t>
    </r>
    <r>
      <rPr>
        <rFont val="Arial MT"/>
        <color rgb="FF485056"/>
        <sz val="10.0"/>
      </rPr>
      <t>Layanan Seluler 4G di Lokasi Non-Papua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</si>
  <si>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</si>
  <si>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</si>
  <si>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</si>
  <si>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</si>
  <si>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2,884.00 Lokasi</t>
    </r>
  </si>
  <si>
    <r>
      <rPr>
        <rFont val="Arial MT"/>
        <color rgb="FF485056"/>
        <sz val="10.0"/>
      </rPr>
      <t>3,724.00 Lokasi</t>
    </r>
  </si>
  <si>
    <r>
      <rPr>
        <rFont val="Arial MT"/>
        <color rgb="FF485056"/>
        <sz val="10.0"/>
      </rPr>
      <t>SP.01 Meningkatnya Cakupan dan Kualitas Layanan Broadband di Wilayah Non Komersial</t>
    </r>
  </si>
  <si>
    <r>
      <rPr>
        <rFont val="Arial MT"/>
        <color rgb="FF485056"/>
        <sz val="10.0"/>
      </rPr>
      <t xml:space="preserve">Operational &amp; Maintenance Penyediaan Akses Internet Broadband Termasuk 3T
</t>
    </r>
    <r>
      <rPr>
        <rFont val="Arial MT"/>
        <color rgb="FF485056"/>
        <sz val="10.0"/>
      </rPr>
      <t>(Tertinggal, Terdepan, Terluar) di Kawasan Prioritas (Kumulatif) di Wilayah Papua dan Papua Barat</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</si>
  <si>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</si>
  <si>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</si>
  <si>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</si>
  <si>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</si>
  <si>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2,818.00 Lokasi</t>
    </r>
  </si>
  <si>
    <r>
      <rPr>
        <rFont val="Arial MT"/>
        <color rgb="FF485056"/>
        <sz val="10.0"/>
      </rPr>
      <t>2,805.00 Lokasi</t>
    </r>
  </si>
  <si>
    <r>
      <rPr>
        <rFont val="Arial MT"/>
        <color rgb="FF485056"/>
        <sz val="10.0"/>
      </rPr>
      <t>SP.01 Meningkatnya Cakupan dan Kualitas Layanan Broadband di Wilayah Non Komersial</t>
    </r>
  </si>
  <si>
    <r>
      <rPr>
        <rFont val="Arial MT"/>
        <color rgb="FF485056"/>
        <sz val="10.0"/>
      </rPr>
      <t xml:space="preserve">Operational &amp; Maintenance Penyediaan Akses Internet Broadband Termasuk 3T
</t>
    </r>
    <r>
      <rPr>
        <rFont val="Arial MT"/>
        <color rgb="FF485056"/>
        <sz val="10.0"/>
      </rPr>
      <t xml:space="preserve">(Tertinggal, Terdepan, Terluar) di Kawasan Prioritas (Kumulatif) di Wilayah Non-
</t>
    </r>
    <r>
      <rPr>
        <rFont val="Arial MT"/>
        <color rgb="FF485056"/>
        <sz val="10.0"/>
      </rPr>
      <t>Papua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</si>
  <si>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</si>
  <si>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</si>
  <si>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</si>
  <si>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</si>
  <si>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15,723.00 Lokasi</t>
    </r>
  </si>
  <si>
    <r>
      <rPr>
        <rFont val="Arial MT"/>
        <color rgb="FF485056"/>
        <sz val="10.0"/>
      </rPr>
      <t>15,910.00 Lokasi</t>
    </r>
  </si>
  <si>
    <r>
      <rPr>
        <rFont val="Arial MT"/>
        <color rgb="FF485056"/>
        <sz val="10.0"/>
      </rPr>
      <t>SP.01 Meningkatnya Cakupan dan Kualitas Layanan Broadband di Wilayah Non Komersial</t>
    </r>
  </si>
  <si>
    <r>
      <rPr>
        <rFont val="Arial MT"/>
        <color rgb="FF485056"/>
        <sz val="10.0"/>
      </rPr>
      <t>Persentase (%) Rata-rata Service Level Agreement (SLA) Operasional di 57 Kabupaten/Kota Palapa Ring</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</si>
  <si>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</si>
  <si>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</si>
  <si>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</si>
  <si>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</si>
  <si>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SP.01 Meningkatnya Cakupan dan Kualitas Layanan Broadband di Wilayah Non Komersial</t>
    </r>
  </si>
  <si>
    <r>
      <rPr>
        <rFont val="Arial MT"/>
        <color rgb="FF485056"/>
        <sz val="10.0"/>
      </rPr>
      <t xml:space="preserve">Persentase (%) Relokasi dan Terminasi Lokasi Akses Internet Akibat Hadirnya
</t>
    </r>
    <r>
      <rPr>
        <rFont val="Arial MT"/>
        <color rgb="FF485056"/>
        <sz val="10.0"/>
      </rPr>
      <t xml:space="preserve">Internet Mandiri dari Jurnlah Lokasi yang Telah Dibangun dan Dilayani pada Tahun
</t>
    </r>
    <r>
      <rPr>
        <rFont val="Arial MT"/>
        <color rgb="FF485056"/>
        <sz val="10.0"/>
      </rPr>
      <t>Sebelumnya</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</si>
  <si>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</si>
  <si>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</si>
  <si>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</si>
  <si>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</si>
  <si>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SP.01 Meningkatnya Cakupan dan Kualitas Layanan Broadband di Wilayah Non Komersial</t>
    </r>
  </si>
  <si>
    <r>
      <rPr>
        <rFont val="Arial MT"/>
        <color rgb="FF485056"/>
        <sz val="10.0"/>
      </rPr>
      <t xml:space="preserve">Persentase (%) Transformasi Pengelolaan pada BTS yang Menjadi Perintis Masuknya Layanan Operator Seluler di Wilayah 3T dari Total Lokasi BTS yang
</t>
    </r>
    <r>
      <rPr>
        <rFont val="Arial MT"/>
        <color rgb="FF485056"/>
        <sz val="10.0"/>
      </rPr>
      <t>Menggunakan Skema Sewa Layanan</t>
    </r>
  </si>
  <si>
    <r>
      <rPr>
        <rFont val="Arial MT"/>
        <color rgb="FF485056"/>
        <sz val="10.0"/>
      </rPr>
      <t>Iya</t>
    </r>
  </si>
  <si>
    <r>
      <rPr>
        <rFont val="Arial MT"/>
        <color rgb="FF485056"/>
        <sz val="10.0"/>
      </rPr>
      <t>Iya</t>
    </r>
  </si>
  <si>
    <r>
      <rPr>
        <rFont val="Arial MT"/>
        <color rgb="FF485056"/>
        <sz val="10.0"/>
      </rPr>
      <t>Iya</t>
    </r>
  </si>
  <si>
    <r>
      <rPr>
        <rFont val="Arial MT"/>
        <color rgb="FF485056"/>
        <sz val="10.0"/>
      </rPr>
      <t>Iya</t>
    </r>
  </si>
  <si>
    <r>
      <rPr>
        <rFont val="Arial MT"/>
        <color rgb="FF485056"/>
        <sz val="10.0"/>
      </rPr>
      <t>RATA-RATA CAPAIA KINERJA</t>
    </r>
  </si>
  <si>
    <r>
      <rPr>
        <rFont val="Arial MT"/>
        <color rgb="FF485056"/>
        <sz val="10.0"/>
      </rPr>
      <t>RATA-RATA CAPAIA KINERJA</t>
    </r>
  </si>
  <si>
    <r>
      <rPr>
        <rFont val="Arial MT"/>
        <color rgb="FF485056"/>
        <sz val="10.0"/>
      </rPr>
      <t>SIMPULAN GRADE</t>
    </r>
  </si>
  <si>
    <r>
      <rPr>
        <rFont val="Arial MT"/>
        <color rgb="FF485056"/>
        <sz val="10.0"/>
      </rPr>
      <t>SIMPULAN GRADE</t>
    </r>
  </si>
  <si>
    <r>
      <rPr>
        <rFont val="Arial"/>
        <b/>
        <color rgb="FF485056"/>
        <sz val="10.0"/>
      </rPr>
      <t xml:space="preserve">KERTAS KERJA PENILAIAN PENCAPAIAN TUJUAN SPIP TUJUAN 2: KEANDALAN PELAPORAN KEUANGAN
</t>
    </r>
    <r>
      <rPr>
        <rFont val="Arial"/>
        <b/>
        <color rgb="FF485056"/>
        <sz val="10.0"/>
      </rPr>
      <t>KK 6 - PENILAIAN PENCAPAIAN TUJUAN KEANDALAN PELAPORAN KEUANGAN</t>
    </r>
  </si>
  <si>
    <t>II</t>
  </si>
  <si>
    <t>Temuan</t>
  </si>
  <si>
    <t>Ringkasan (uraikan secara ringkas substansi tiap butir temuan dalam Buku II LHP
 BPK-RI)</t>
  </si>
  <si>
    <t>Pengelolaan PNBP Pengujian Alat Telekomunikasi dan/atau Perangkat Telekomunikasi dan Kalibrasi Alat Ukur Belum Memadai a. Pengakuan PNBP pengujian APT yang dilaksanakan di lapangan tidak konsisten b. Bendahara Pengeluaran BBPT Belum Melakukan Pembukuan atas Mutasi Transaksi Perjadin pada RPL dan Terdapat Saldo Biaya Perjadin pada Petugas per 31 Desember 2024 c.
 Pengelolaan barang uji belum memadai Potensi Pendapatan dari Kerja Sama BTS 4G Tidak Diterima atas BTS 4G dengan Status BAUP Namun Belum BAPL pada BLU BAKTI a. Penagihan Imbalan Tetap Kerja Sama BTS 4G dengan PT TKS berlarut- larut b. Belum seluruh BTS 4G dengan status BAUP menjadi BAPL Penatausahaan PNBP pada Ditjen Aptika Belum Memadai a. BHP Sertifikasi Elektronik pada PSrE atau CA Non Instansi belum dikenakan pata tahun 2024. b. Denda pelanggaran atas pemenuhan kewajiban penyelenggaraan sistem elektronik lingkup privat belum dilaksanakan.
 Terdapat Aset Base Transceiver Station 4G (BTS 4G) yang Tercatat dalam Akun Aset Lain-Lain yang Belum Sepenuhnya Ditindaklanjuti Permasalahannya oleh BLU BAKTI Aset BTS 4G yang tercatat pada Aset Lain-Lain (KDP yang Dihentikan dari Operasi) (Audited) masih menyisakan permasalahan yaitu terkait dengan permasalahan SITAC pada 64 site dengan nilai permasalahan sebesar Rp1.232.000.000 dan pertambahan nilai manfaat aset yang belum diakui pada empat site dengan nilai permasalahan sebesar Rp85.470.000. Penatausahaan Aset Tetap Peralatan dan Mesin Berupa Kendaraan di Lingkungan Sekretariat Jenderal, PPI, dan BLU BAKTI Kementerian Komunikasi dan Informatika Belum Sepenuhnya Sesuai Ketentuan a. Penatausahaan Aset Tetap Peralatan dan Mesin berupa kendaraan di Lingkungan Sekretariat Jenderal Kementerian Komunikasi dan Informatika Belum Tertib b. Penatausahaan Aset Tetap Peralatan dan Mesin di Lingkungan Direktorat Jenderal Penyelenggaraan Pos dan Informatika Kementerian Komunikasi dan Informatika Belum Tertib c.
 Penatausahaan Aset Tetap Peralatan dan Mesin Perangkat Akses Internet pada BLU BAKTI Belum Tertib Pengelolaan Piutang dengan Pengesahan Perdamaian (Homologasi) pada BLU BAKTI Belum Memadai a. Dukungan Kelembagaan dan Pedoman Teknis dalam Pengelolaan Piutang Belum Memadai b. Penagihan Piutang Belum Dilaksanakan Sesuai Ketentuan</t>
  </si>
  <si>
    <t>Penatausahaan PNBP pada Ditjen PPI serta Monitoring Dokumen Pencocokan dan Penelitian pada BAKTI dan Ditjen PPI Kurang Memadai a. Penatausahaan PNBP oleh Bendahara Penerimaan belum memadai b. Penatausahaan dokumen Pendapatan KPU/USO dan BHP Telekomunikasi tidak optimal Pengelolaan PNBP dari BHP Izin Pita Frekuensi Radio (BHP IPFR) SDPPI Kurang Memadai a. Formula perhitungan BHP IPFR perpanjangan tidak sesuai dengan lampiran PP Tarifb. PNBP dari BHP Frekuensi SDPPI belum terintegrasi dengan Simponi Penatausahaaan Kerja Sama BTS 4G BAKTI Tidak Optim
 a. Penagihan Imbalan Tetap Kerja Sama BTS 4G dengan PT TKS berlarut- larut b. Belum seluruh BTS 4G dengan status BAUP menjadi BAPL Pemanfaatan Berupa Sewa BMN pada Sekretariat Jenderal Kemenkominfo Tahun 2023 Belum Ditetapkan Dalam Perjanjian Tidak adanya perjanjian mengikat dalam hal pemanfaatan sewa dan masih dimanfaatkannya BMN oleh penyewa setelah perjanjian sebelumnya berakhir, maka terjadi pendapatan kurang ditagihkan dari sewa menyewa dengan PT BB, DWP Kominfo, dan PT DMT sekurang-kurangnya sebesar Rp195.911.167 Pencatatan dan Penatausahaan Kas pada BLU BAKTI Kurang Memadai a. Kas sebesar Rp2.508.099.622 pada tiga rekening kas BLU BAKTI tidak dapat digunakan b. Terdapat pencatatan ganda atas transaksi pembayara Bendahara BLU BAKTI c. Dana RPATA BLU sebesar Rp233.032.943.495 tidak diungkap dan disajikan secara memadai dalam Laporan Keuangan Keterlambatan Penyetoran Pajak Sebesar Rp6.973.556.824 atas Transaksi Belanja Melalui Uang Persediaan/Tambahan Uang Persediaan (UP/TUP) a. Terdapat penyetoran pajak sebesar Rp6.973.556.824 atas belanja negara melalui mekanisme UP/TUP yang melewati batas waktu tujuh hari sejak dilakukannya pemungutan/pemotongan pajak. Atas keterlambatan penyetoran pajak tersebut dapat dikenakan sanksi administrasi berupa bunga sebesar Rp153.085.76
 b. Terdapat peraturan tentang batas waktu menyetorkan pajak yang berasal dari belanja melalui mekanisme UP/TUP paling lambat tujuh hari sejak tanggal pemungutan pajak. Penggunaan dan Pemanfaatan Aset Tetap Tanah Kementerian Komunikasi dan Informatika Kurang Optimal Kementerian Komminfo memiliki aset tanah yang dikuasai, tetapi kurang produktif dan kurang optimal pemanfaatannya dan sebagian terindikasi sebagai asset idle. Ketidakoptimalan tersebut berdampak pada beban yang harus ditanggung berupa biaya pemeliharaan dan biaya pengamanan. Penyajian Belanja Dibayar Di Muka, Aset Tetap Peralatan dan Mesin dan Konstruksi Dalam Pengerjaan BTS 4G BAKTI Belum Dapat Diyakini Kewajarannya a. Pengelolaan Aset Perangkat BTS 4G yang Masih Berada pada MOA Belum Sepenuhnya Sesuai dengan Ketentuan b. Terdapat Perbedaan Perhitungan Nilai Aset BTS dengan Data Pendukungnya c. Perubahan Merek Komponen BTS 4G Tidak Disertai Dengan Perbandingan Harga d Pembayaran SITAC belum didukung dengan dokumen yang memadai e. Pertambahan Nilai Manfaat Aset yang Belum Diakui f. Nilai Aset yang Terdampak Putusan yang Belum Inkracht Pelaksanaan Jamina Pengambil Alih Risiko Tidak Sesuai Ketentuan a. Penindakan Konten Ilegal pada platform media sosial maupun website belum optimal b. Komponen Jaminan Pengambil Alih Risiko dalam Pengadaan TKPPSE 2021 dan P3KJT 2022 tidak memiliki dasar hukum c. Jangka waktu pemanfaatan Jaminan Pengambil Alih Risiko tidak diatur dalam dokumen kontrak d. Tidak adanya Prosedur Operasional Standar/Panduan atas mekanisme penggunaan dan mekanisme pemantauan dana atas Jaminan Pengambil Alih Risiko di rekening rekanane. Aset TKPPSE dan P3KJT tidak dicatat berdasarkan kondisi senyatanya dan konsisten dalam mengatribusikan nilai perolehannya f. Biaya Jasa Instalasi, Pengiriman dan Pengujian pada penggunaan dana Jaminan Pengambil Alih Resiko tidak dibayarkan Secara at co Pemanfaatan Aset Pusat Monitoring Telekomunikasi pada Ditjen PPI Kurang Optimal a. Data monitoring infrastruktur telekomunikasi pada dashboard PMT belum dapat menampilkan data infrastruktur dan ketersediaan layanan secara real time dari seluruh operator seluler b. Aplikasi Sigmon belum cukup dikenal oleh masyarakat Pengamanan Barang Milik Negara (BMN) di Kementerian Komunikasi dan Informatika Tidak Optimal Kepala Satuan Kerja terkait selaku Kuasa Pengguna Barang (KPB) tidak optimal dalam menjalankan kewajibannya untuk melakukan pengamanan BMN yang berada dalam penguasaannya. Pembayaran Jasa Site Acquisition (SITAC) Sebesar Rp156.903.742.470 Belum Didukung dengan Dokumen yang Dipersyaratkan a. Pembayaran Jasa SITAC Sampai Dengan 31 Desember 2022 pada 4.386 Lokasi Site Sebesar Rp156.903.742.470 Belum Didukung dengan Dokumen yang Dipersyaratkan b. Lahan BTS 4G yang telah BAUP dengan Status Lahan APL sebanyak 2.595 site belum didukung dengan Akta Hibah c. Lahan BTS 4G yang telah BAUP dengan Status Kawasan Hutan sebanyak 1224 site belum didukung dengan Perjanjian Kerja Sama (PKS)</t>
  </si>
  <si>
    <t>Pengelolaan PNBP atas Layanan Penyediaan Jaringan Serat Optik Palapa Ring Kurang Memadai a. Proses penagihan, rekonsiliasi dan pembayaran belum memanfaatkan aplikasi yang tersedia b. Penerbitan tagihan penyediaan layanan kepada pelanggan terlambat dan tidak sesuai dengan tanggal jatuh tempo
 c. Klausul penagihan dalam kontrak layanan dark fiber atas tiga pelanggan tidak sesuai dengan SOP yang berlaku d. Prosedur pengenaan denda, pengisoliran dan pencabutan tidak dilakukan terhadap keterlambatan pelunasan tagihan e. Tagihan layanan sebesar Rp1.320.348.387 berpotensi tidak tertagih f. Perangkat milik pelanggan yang telah berakhir masa kontrak/layanannya belum dibongkar Penyelesaian Penetapan Besaran PNBP Terutang Tahun 2022 oleh Ditjen PPI dan BAKTI atas BHP Telekomunikasi dan Kontribusi KPU/USO dari 17 Wajib Bayar/ Penyelenggara Jasa Telekomunikasi Berlarut-Larut a. Jenis layanan baru telekomunikasi belum diatur dalam Permenkominfo Nomor 5 Tahun 2021 tentang Penyelenggaraan Telekomunikasi b. Penetapan PNBP terutang atas pendapatan Availibility Payment (AP) KPBU Palapa Ring berlarut-larut</t>
  </si>
  <si>
    <t>Pengendalian dan Penatausahaan Kas BLU BAKTI Tidak Optimal dan Berpotensi Kehilangan Kas atas Penerimaan Jasa Giro dari BJB
 a. Penyajian Saldo Kas pada BLU Unaudited Berdasarkan Surat Direktur Akuntansi dan Pelaporan (APK) Ditjen Perbendaharaan Kemenkeu Tidak Sesuai Dengan Standar Akuntansi Pemerintahan
 b. Sita Eksekusi Kas oleh PN Jakarta Pusat Sebesar Rp718.272.706.758 Tidak Sesuai Dengan Ketentuan tentang Keuangan Negara c. Pemerintah Belum Memiliki Kebijakan Akuntansi dan Pengelolaan Keuangan Negara terkait Kejadian Pencairan Kas yang Dilakukan oleh Pihak di Luar Entitas Penatausahaan Mutasi Piutang dari Kegiatan Non Operasional BLU BAKTI yang Telah Dieksekusi Pengadilan Belum Optimal a. Penyajian nilai Piutang dari Kegiatan Non Operasional BLU per 31 Desember 2021 tidak sesuai dengan keadaan sebenarnya sebesar Rp125.914.787.403b. Terdapat ketidaksesuaian eksekusi penyitaan dengan nilai wajar hasil pemeriksaan BPK atas klaim dua penyedia total sebesar Rp48.790.220.849. c. Terdapat ketidaksesuaian nilai eksekusi dengan hasil putusan BANI dengan total selisih sebesar Rp32.584.611.586. Pengelolaan dan Penyelesaian Piutang pada BAKTI Belum Memadai dan Berlarut-Larut a. Dukungan Kelembagaan dan Pedoman Teknis dalam Pengelolaan Piutang Belum Memadai b. Penagihan Piutang Belum Dilaksanakan Sesuai Ketentuan</t>
  </si>
  <si>
    <t>Kebijakan Akuntansi Pendapatan-LO BHP Frekuensi Radio Kemkominfo belum selaras dengan Kebijakan Akuntansi Pusat dan SAP a. Kebijakan Akuntansi pengakuan pendapatan-LO terkait perizinan yang diterapkan Kemenkominfo melalui Pedoman Menteri Kominfo Nomor 2 Tahun 2020 tentang Kebijakan Akuntansi Penyusunan Laporan Keuangan Kemenkominfo menganut penerapan ganda dan tidak konsisten serta selaras dengan SAP maupun Kebijakan Akuntansi Pemerintah Pusat b. Terdapat kekurangan pengakuan pendapatan-LO dan kelebihan pengakuan Pendapatan Diterima Di Muka (PDDM) untuk PNBP BHP Frekuensi dan PNBP IPP (Penyiaran) pada Laporan Keuangan Kemenkominfo TA 2020 Kebijakan Akuntansi Kemkominfo atas Beban Penyisihan Piutang Tidak Tertagih Tidak Sesuai SAP a. BPPTT kurang disajikan sebesar Rp48.695.987.160b. PLL-LO kurang diakui sebesar Rp45.872.398.503. Bendahara Pengeluaran dan Bendahara Pengeluaran Pembantu pada Ditjen SDPPI Belum Sepenuhnya Mematuhi Ketentuan Terkait Pengendalian atas Penggunaan TUP
 a. Pengendalian atas Penatausahaan TUP Kurang Memadai b. Perencanaan dan Penggunaan TUP Belum Memadai Pengelolaan dan Penatausahaan Keuangan pada BAKTI Tidak Tertib dan Tidak Sesuai Ketentuan a. Penatausahaan Keuangan yang Bersumber dari Kas BLU Belum Tertib dan Belum Memanfaatkan Teknologi Informasi Secara Optimal b. Pencatatan Transaksi Kas dalam BKU Tidak Tertib c. Pencatatan Pemotongan dan Pemungutan Pajak pada Bendahara Tidak Tertib d. Terdapat Transaksi-Transaksi yang Belum Didukung dengan Pencatatan Kewajiban Perpajakan pada Desember 2020 Pengelolaan Penghapusan dan Pembatalan Piutang pada Ditjen SDPPI Belum Memadai
 a. Usulan SK Penghapusan Tidak Melalui Proses Verifikasi yang Memadai b. Prosedur Pembatalan Pengakuan Piutang Belum Memadai</t>
  </si>
  <si>
    <t>Penyebab (uraikan secara ringkas penyebab tiap butir temuan dalam Buku II LHP
 BPK-RI)</t>
  </si>
  <si>
    <t>Pengelolaan PNBP Pengujian Alat Telekomunikasi dan/atau Perangkat Telekomunikasi dan Kalibrasi Alat Ukur Belum Memadai 1. Kepala BBPPT belum menyusun kebijakan terkait PNBP Pengujian APT yang dilaksanakan di lapangan secara memadai. 2. Kepala BBPPT belum menyusun kebijakan serta klausul perjanjian yang jelas terkait barang uji yang belum diambil oleh pemohon. 3. Bendahara pengeluaran belum melakukan pembukuan atas transaksi melalui RPL. Potensi Pendapatan dari Kerja Sama BTS 4G Tidak Diterima atas BTS 4G dengan Status BAUP Namun Belum BAPL pada BLU BAKTI. Direktur Infrastruktur dan Direktur Layanan TI Badan Usaha BLU BAKTI tidak segera mengambil tindakan yang diperlukan terkait dengan pemrosesan BTS yang telah BAUP menjadi BAPL. Penatausahaan PNBP pada Ditjen Aptika Belum Memadai Direktur Tata Kelola dan Direktur Pengendalian Aplikasi Informatika Ditjen Aptika tidak segera memungut PNBP atas PSrE dan UGC dan belum menyusun standar operasional atau peraturan pendukung terkait pelaksanaan PNBP tersebut. Terdapat Aset Base Transceiver Station 4G (BTS 4G) yang Tercatat dalam Akun Aset
 Lain-Lain yang Belum Sepenuhnya Ditindaklanjuti Permasalahannya oleh BLU BAKTI a. Direktur Utama BLU BAKTI belum optimal dalam melakukan pengendalian dan koordinasi dalam melaksanakan tindak lanjut atas permasalahan tahun sebelumnya terkait penyajian aset BTS 4G. b. Direktur Keuangan belum optimal dalam mendorong pelaksanaan tindak lanjut atas permasalahan tahun sebelumnya terkait penyajian aset BTS 4G dalam laporan keuangan BLU BAKTI. Penatausahaan Aset Tetap Peralatan dan Mesin Berupa Kendaraan di Lingkungan Sekretariat Jenderal, PPI, dan BLU BAKTI Kementerian Komunikasi dan Informatika Belum Sepenuhnya Sesuai Ketentuan a. Kuasa Pengguna Barang pada Sekretariat Jenderal, Ditjen PPI, dan BLU BAKTI kurang cermat dalam melakukan pengawasan, penatausahaan dan inventarisasi aset tetap peralatan dan mesin dalam penguasaanyab. Kepala Biro Keuangan dan BMN belum optimal dalam menyelesaikan permasalahan terkait keberadaan kendaraan beroda dua dan empat, penggunaan, pencatatan dan penyajian aset tetapc. PIC Pengelolaan BMN Kesekjenan dan Pengurus Barang pada Setjen dan Ditjen PPI belum aktif melakukan pemantauan dan penertiban terhadap penggunaan, pemanfaatan, pemindahtanganan, penatausahaan, pemeliharaan, dan pengamanan BMN yang berada di bawah penguasaannyad. Pengurus Barang pada Setjen, Ditjen PPI dan BLU BAKTI belum optimal dalam melakukan penatausahaan aset perangkat Akses Internet serta belum cermat melakukan pemutakhiran data BMN pada aplikasi SIMANe. PIC Pengelolaan BMN dan Pengurus Barang pada Setjen dan Ditjen PPI belum aktif melakukan pemantauan dan penertiban terhadap pembayaran PKBf. Masing-masing Kepala Satker pada Ditjen PPI selaku pihak yang menunjang tugas Sekretaris Direktur Jenderal Penyelenggaraan Pos dan Informatika Kemenkominfo kurang maksimal dalam menyelesaikan permasalahan- permasalahan terkait pengamanan, penggunaan, pencatatan dan penyajian aset tetap Pengelolaan Piutang dengan Pengesahan Perdamaian (Homologasi) pada BLU BAKTI Belum Memadai Kepala Divisi Pengelolaan Pendapatan belum sepenuhnya memperhatikan ketentuan dalam pelaksanaan penagihan piutang.</t>
  </si>
  <si>
    <t>Penatausahaan PNBP pada Ditjen PPI serta Monitoring Dokumen Pencocokan dan Penelitian pada BAKTI dan Ditjen PPI Kurang Memadai a. Bendahara Penerimaan Ditjen PPI kurang cermat dalam memahami waktu penyetoran PNBPb. Aplikasi pengelolaan PNBP Satuan Kerja belum terintegrasi dengan SIMPONIc. Tim Pencocokan dan Penelitian BAKTI dan Ditjen PPI kurang optimal dalam melakukan sosialisasi kepada wajib bayar Pengelolaan PNBP dari BHP Izin Pita Frekuensi Radio (BHP IPFR) SDPPI Kurang Memadai a. Ketua Tim Kerja Ekonomi Spektrum Frekuensi Radio dan Orbit Satelit tidak cermat dalam melakukan perhitungan besaran BHP IPFR dengan menggunakan formulab. Direktur Penataan Sumber Daya SDPPI tidak cermat dalam mengawasi kinerja dari Tim Kerja Ekonomi Spektrum Frekuensi Radio dan Orbit Satelitc. Belum adanya SOP yang mengakomodir ketentuan yang ada pada PMK Nomor 155/PMK.02/2021 sebagaimana diubah dengan PMK Nomor 58 Tahun 2023, tentang Tata Cara Pengelolaan Penerimaan Negara Bukan Pajak terutama terkait dengan batasan waktu penyetoran PNBPd. Terdapat kendala integrasi antara aplikasi SIMS dengan Simponi Penatausahaaan Kerja Sam BTS 4G BAKTI Tidak Optimal Direktur Infrastruktur dan Direktur Layanan TI Badan Usaha tidak segera mengambil tindakan yang diperlukan terkait dengan penagihan imbalan atas BTS yang telah BAPL dan pemrosesan BTS yang telah BAUP menjadi BAPL. Pemanfaatan Berupa Sewa BMN pada Sekretariat Jenderal Kemenkominfo Tahun 2023 Belum Ditetapkan Dalam Perjanjian a. Kurang optimal dalam mengelola dan menatausahakan pemanfaatan BMN yang berada dalam penguasaannyab. Kurang memastikan setiap BMN yang dalam status pemanfaatan oleh pihak lain telah didukung perjanjian dan telah dilakukan pembayarannyac. Tidak secara aktif mengkomunikasikan dan memperbaharui perjanjian atas jangka waktu sewa yang seharusnya sudah habis kepada mitra yang menyewa BMN Pencatatan dan Penatausahaan Kas pada BLU BAKTI Kurang Memadai a. Direktur Utama BLU BAKTI kurang kurang komperhensif dalam menyusun pedoman penggunaan RPATA khusus dana BLU khususnya terkait pencatatan akuntansinya, serta kurang optimal dalam melakukan pengawasan terhadap pelaksanaan dan pelaporan kegiatan yang menggunakan mekanisme Dana RPATA BLUb. Kepala Divisi Anggaran da Akuntansi BLU BAKTI sebagai penyusun laporan keuangan tingkat UAKPA dan Kepala Biro Keuangan Kemenkominfo sebagai penyusun laporan keuangan tingkat UAPA kurang tepat dan cermat dalam menyusun dan menyajikan kegiatan yang menggunakan mekanisme Dana RPATA BLU dalam laporan keuangan Kemenkominfoc. Bendahara Pengeluaran kurang teliti dalam melakukan transfer dan pencatatan atas transaksi yang sudah diinput ke BKU, serta kurang optimal mengendalikan tata kelola dana yang bersumber dari Dana RPATA BLU Keterlambatan Penyetoran Pajak Sebesar Rp6.973.556.824 atas Transaksi Belanja Melalui Uang Persediaan/Tambahan Uang Persediaan (UP/TUP) Bendahara Pengeluaran dan BPP mengumpulkan pajak sampai waktunya periode revolving GUP atau PTUP sebelum disetorkan ke kas negara dan tidak memanfaatkan fasilitas penyetoran pajak secara online. Penggunaan dan Pemanfaatan Aset Tetap Tanah Kementerian Komunikasi dan Informatika Kurang Optimal a. Kuasa Pengguna Barang (KPB) Sekretariat Jenderal dan BAKTI optimal dalam melakukan penggunaan atau pemanfaatan atas aset tanah yang menganggur (idle); dan KPB Sekretariat Jenderal belum berkoordinasi secara optimal dengan Kementerian PUPR dan Kementerian Keuangan terkait pencatatan Aset Tetap Tanah yang dikelola dan dikuasai oleh Kementerian PUPR. Penyajian Belanja Dibayar Di Muka, Aset Tetap Peralatan dan Mesin dan Konstruksi Dalam Pengerjaan BTS 4G BAKTI Belum Dapat Diyakini Kewajarannya a. Direktur Utama BAKTI tidak cermat dalam melakukan pengendalian dan koordinasi dalam penyusunan laporan keuangan; b. Kepala Divisi Akuntansi BAKTI tidak cermat dalam menyusun laporan keuangan; c. Direktur Keuangan BAKTI tidak cermat dalam melakukan pengendalian penyusunan laporan keuangan; dan d. PPK tidak cermat dalam pengendalian atas MOA yang dicatat sebagai BDDM Pelaksanaan Jaminan Pengambil Alih Risiko Tidak Sesuai Ketentuan a. PPK Pengadaan: 1) Salah menggunakan metode asuransi/pengambil alih resiko untuk JAR;2) Menyusun klausul-klausul penggunaan JAR tidak secara jelas; 3) Tidak menyusun dan memasukkan dalam dokumen pemilihan atas Prosedur Operasional Standar/Petunjuk Teknis pengajuan klaim JAR; 4) Tidak cermat dalam melakukan pendetailan nilai barang sebagai bahan penginputan dalam BMN; dan5) Tidak memeriksa keberadaan masing-masing aset di lokasi/site; b. PPK 2023/2024 selaku PPK Pengganti: 1) Tidak memantau dan melaporkan secara berkala penggunaan dana JAR; 2) Tidak melaporkan penambahan atas aset hasil klaim atas JAR untuk direviu Inspektorat Jenderal Kemenkominfo; dan 3) Menyetujui klaim/BAST dengan PPK belum menetapkan target kualitas prestasi dalam perjanjian. Pemanfaatan Aset Pusat Monitoring Telekomunikasi pada Ditjen PPI Kurang Optimal a. Belum adanya ketentuan teknis yang mengatur sistem monitoring yang menghubungkan Kemenkominfo dengan operator; dan b. Kemenkominfo kurang dalam melakukan sosialisasi terhadap aplikasi Sigmon kepada masyarakat. Pengamanan Barang Milik Negara (BMN) di Kementerian Komunikasi dan Informatika Tidak Optimal a. Petugas BMN belum melakukan evaluasi secara berkala untuk memastikan keberadaan BMN terutama berkoordinasi dengan pemakai BMN yang berada dalam penguasaanny
 b. KPB tidak langsung menindaklanjuti hasil evaluasi berkala atas keberadaan BMN yang berada dalam penguasaannya; dan c. KPB tidak memperbarui data status barang secara berkala untuk memastikan keberadaannya termasuk status pemrosesan untuk barang yang telah dinyatakan hilang PPK belum menetapkan target kualitas prestasi dalam perjanjian. Pembayaran Jasa Site Acquisition (SITAC) Sebesar Rp156.903.742.470 Belum Didukung dengan Dokumen yang Dipersyaratkan a. Tim SITAC dan Perijinan PMO tidak cermat dalam melakukan pengawasan pekerjaan tim SITAC lapangan dalam memenuhi dokumen yang dipersyaratkan dalam kontrak; b. PPK tidak cermat dalam menerima hasil pekerjaan yang belum memenuhi persyaratan kontrak; dan c. Penyedia tidak melaksanakan pekerjaan sesuai dengan ketentuan dalam kontrak yaitu dalam melaksanakan pekerjaan jasa SITAC tidak memprioritaskan penyelesaian sampai dengan kepemilikan Pemda/Pemdes yang berkekuatan hukum atas lahan tersebut PPK belum menetapkan target kualitas prestasi dalam perjanjian.</t>
  </si>
  <si>
    <t>Pengelolaan PNBP atas Layanan Penyediaan Jaringan Serat Optik Palapa Ring Kurang Memadai 1. Aplikasi e-PNBP belum dimanfaatkan secara optimal dalam penerbitan tagihan layanan jaringan serat optik palapa ring; 2. SOP belum mengatur mekanisme tagihan atas layanan yang diterima melalui aplikasi dan mekanisme penetapan kurang dan lebih bayar atas hasil rekonsiliasi; 3. Divisi Badan Usaha BAKTI dan BUP kurang cermat dalam menyusun klausul dalam kontrak penyediaan layanan; 4.
 BAKTI tidak menjalankan SOP dan klausul kontrak yang telah ditetapkan terutama terkait penagihan dan pengenaan sanksi serta pembongkaran perangkat milik pelanggan. Penyelesaian Penetapan Besaran PNBP Terutang Tahun 2022 oleh Ditjen PPI dan BAKTI atas BHP Telekomunikasi dan Kontribusi KPU/USO dari 17 Wajib Bayar/ Penyelenggara Jasa Telekomunikasi Berlarut-Larut 1. Ditjen PPI belum melakukan penyesuaian regulasi perizinan penyelenggaraan telekomunikasi untuk menjamin keberlangsungan inovasi dan pengembangan teknologi dalam industri telekomunikasi; 2. Ditjen PPI dan BAKTI belum menetapkan ketentuan teknis pemeriksaan BHP Telekomunikasi dan Kontribusi KPU/USO oleh Instansi Pemeriksa atas proses coklit yang tidak disepakati.</t>
  </si>
  <si>
    <t>Pengendalian dan Penatausahaan Kas BLU BAKTI Tidak Optimal dan Berpotensi Kehilangan Kas atas Penerimaan Jasa Giro dari BJB
 1. PN Jakarta Pusat melakukan eksekusi sita atas Kas BLU BAKTI yang ditempatkan pada Bank Mandiri, BJB, dan BNI berdasarkan putusan inkrah BANI yang belum selaras dengan ketentuan pengelolaan keuangan negara. 2. Direktur Utama BAKTI tidak optimal dalam berkoordinasi dengan Pengadilan Negeri dan Kementerian Keuangan dhi. Direktorat Jenderal Anggaran dan Direktorat Jenderal Perbendaharaan untuk menyelesaikan permasalahan terkait putusan inkrah BANI dan menyelesaikan permasalahan status sisa dana eksekusi yang masih tertahan di rekening penampungan BJB. 3. Kepala Divisi Hukum tidak optimal dalam melaksanakan tugas dan fungsinya terkait penyiapan perencanaan, pelaksanaan, monitoring dan evaluasi di bidang kerja sama dan pemberian pertimbangan dan penanganan hukum. 4.
 Bank Mandiri, BNI, dan BJB tidak mengikuti ketentuan
 perundang-undangan pengelolaan keuangan dan perbendaharaan negara. 5. Pemerintah belum memiliki kebijakan akuntansi dan pengelolaan keuangan negara terkait kejadian pencairan kas yang dilakukan oleh pihak di luar entitas. Penatausahaan Mutasi Piutang dari Kegiatan Non Operasional BLU BAKTI yang Telah Dieksekusi Pengadilan Belum Optimal 1. Adanya sita eksekusi dana BLU BAKTI sebagai dampak penghentian proyek tahun jamak KPU/USO.
 2. Penatausahaan pencatatan dan mutasi piutang kontraktual atas uang muka program KPU/USO belum dilaksanakan secara optimal. Pengelolaan dan Penyelesaian Piutang pada BAKTI Belum Memadai dan Berlarut-Larut 1. Direktur Keuangan BAKTI belum membuat penugasan unit pengelola piutang dan belum menetapkan pedoman teknis pengelolaan piutang serta SOP yang memadai terkait pengelolaan piutang selain Piutang PNBP KPU/USO, mekanisme dan fungsi pemantauan atas penyampaian surat tagihan kepada debitur, pengaturan batas waktu pelaksanaan tindak lanjut dan penetapan BA Verifikasi, serta prosedur tindak lanjut dan koordinasi antara BAKTI dengan PUPN dalam rangka penyelesaian piutang macet. 2. Kepala Divisi Pengelolaan Pendapatan belum sepenuhnya memperhatikan ketentuan dalam pelaksanaan penagihan piutang.</t>
  </si>
  <si>
    <t>Kebijakan Akuntansi Pendapatan-LO BHP Frekuensi Radio Kemkominfo belum selaras dengan Kebijakan Akuntansi Pusat dan SAP Kebijakan Akuntansi Kemkominfo belum selaras dengen Kebijakan Akuntansi Pemerintah Pusat dan tidak secara konsisten diterapkan berdasarkan SAP. Kebijakan Akuntansi Kemkominfo atas Beban Penyisihan Piutang Tidak Tertagih Tidak Sesuai SAP Kebijakan Akuntansi Kemkominfo dan Pemerintah Pusat tidak sesuai dengan SAP Bendahara Pengeluaran dan Bendahara Pengeluaran Pembantu pada Ditjen SDPPI Belum Sepenuhnya Mematuhi Ketentuan Terkait Pengendalian atas Penggunaan TUP BP dan BPP tidak cermat dalam menatausahakan pengelolaan kas di bendahara sesuai ketentuan peraturan perundang- undangan yang berlaku terkait pengelolaan kas. Pengelolaan dan Penatausahaan Keuangan pada BAKTI Tidak Tertib dan Tidak Sesuai Ketentuan 1. Bendahara Pengeluaran tidak cermat dalam melakukan pengelolaan dan penatausahaan keuangan yang menjadi wewenang dan tanggung jawabnya. 2. Pemegang Uang Muka tidak tertib dalam mempertanggungjawabkan uang muka yang diserahkan secara tepat waktu dan sesuai dengan ketentuan. 3.
 PPK tidak tertib mempertanggungjawabkan dan mengajukan pembayaran atas tagihan pihak ketiga/penyedia dan tagihan lainnya sesuai dengan batas waktu sesuai ketentuan. 4. SAP belum menghasilkan dokumen, catatan, dan laporan sesuai ketentuan pengelolaan keuangan negara dan belum terintegrasi dengan aplikasi lain. Pengelolaan Penghapusan dan Pembatalan Piutang pada Ditjen SDPPI Belum Memadai 1. Kelemahan pengendalian atas penggunaan dan otorisasi pada aplikasi SIMS. 2. Rekonsiliasi data piutang secara internal belum dilakukan memadai. 3. Ditjen SDPPI dalam mengusulkan penghapusan piutang tidak melakukan verifikasi</t>
  </si>
  <si>
    <t>Analisis:
 Berdasarkan hasil Laporan Hasil Pemeriksaan BPK Tahun 2020 sampai dengan 2024, terdapat temuan berulang sebagai berikut :1. Pencatatan dan Penatausahaan Kas pada BLU BAKTI yang disebabkan karena ketidakcermatan bendahara dan kurang optimal mengendalikan tata kelola dana yang bersumber dari Dana RPATA BLU, Belum adanya Kebijakan Akuntansi dan Pengelolaan Keuangan Negara terkait Kejadian Pencairan Kas yang Dilakukan oleh Pihak di Luar Entitas, dan Pencata Transaksi Kas dalam BKU Tidak Tertib, serta penyajian aset BTS 4G dalam laporan keuangan BLU BAKTI terjadi di tahun 2024, 2023,2021,dan 2020 2. Penatausahaan PNBP kurang memadai disebabkan karena ketidakcermatan dalam memperhitungkan PNBP, Aplikasi pengelolaan PNBP Satuan Kerja belum terintegrasi dengan SIMPONI, Belum adanya SOP yang mengakomodir ketentuan dan Tim Pencocokan dan Penelitian BAKTI dan Ditjen PPI kurang optimal dalam melakukan sosialisa kepada wajib bayar, dan SOP belum mengatur mekanisme tagihan atas layanan yang diterima melalui aplikasi dan mekanisme penetapan kurang dan lebih bayar atas hasil rekonsiliasi terjadi di tahun 2024, 2023 dan 20223. Pengelolaan dan Penyelesaian Piutang Belum Memadai karena penagihan piutang belum dilaksanakan sesuai ketentuan dan Prosedur Pembatalan Pengakuan Piutang Belum Memadai terjadi di tahun 2024, 2021 dan 2020</t>
  </si>
  <si>
    <t>Simpulan:
 Kementerian Komunikasi dan Digital memperoleh opini WTP di Laporan Keuangan tahun 2024 sehingga mendapatkan nilai C. Terdapat catatan yang perlu diperhatikan dalam pelaporan keuangan dimana pada periode tersebut terdapat temuan yang signifikan terkait aset tetap peralatan mesin hasil penyediaan BTS 4G dan aset konstruksi dalam pengerjaan hasil penyediaan BTS 4G. Di samping hal tersebut masih terdapat temuan berulang disebabkan belum memadainya kebijakan akuntans Kemkomdigi dan Kebijakan terkait Pengendalian serta penatausahaan pengelolaan PNBP. Subunsur SPIP yang terkait dengan penyebab temuan di atas adalah subunsur 1.1, 2.2, 3.4, 3.10, 5.1</t>
  </si>
  <si>
    <t>Capaian komponen Pencapaian Tujuan Keandalan Pelaporan Keuangan adalah:</t>
  </si>
  <si>
    <t>Gradasi</t>
  </si>
  <si>
    <t>WTP minimal 5 kali berturut-turut tanpa temuan berulang pada 5 tahun terakhir</t>
  </si>
  <si>
    <t>WTP minimal 3 kali berturut-turut tanpa temuan berulang pada 3 tahun terakhir.</t>
  </si>
  <si>
    <t>WTP minimal 1 kali pada tahun terakhir.</t>
  </si>
  <si>
    <t>WDP/WTP Dengan Paragraf Penjelas pada tahun terakhir.</t>
  </si>
  <si>
    <t>Tidak Memberikan Pendapat/Tidak Wajar pada tahun terakhir.</t>
  </si>
  <si>
    <t>KERTAS KERJA PENILAIAN PENCAPAIAN TUJUAN SPIP TUJUAN 3: PENGAMANAN ASET NEGARA/DAERAH
KK 7 - PENILAIAN PENCAPAIAN TUJUAN PENGAMANAN ASET NEGARA/DAERAH</t>
  </si>
  <si>
    <t>Parameter</t>
  </si>
  <si>
    <t>T-1</t>
  </si>
  <si>
    <t>T-2</t>
  </si>
  <si>
    <t>T-3</t>
  </si>
  <si>
    <t>T-4</t>
  </si>
  <si>
    <t>T-5</t>
  </si>
  <si>
    <t>I</t>
  </si>
  <si>
    <t>Opini (WTP/WTP
 DPP/WDP/Tidak Wajar/TMP)</t>
  </si>
  <si>
    <t>Wajar Tanpa Pengecualian</t>
  </si>
  <si>
    <t>Wajar Dengan Pengecualian</t>
  </si>
  <si>
    <t>Catatan Terkait pengamanan aset dan kategori pengamanan aset (Keamanan administrasi/fisik/hukum)</t>
  </si>
  <si>
    <t>Keamanan Asset</t>
  </si>
  <si>
    <t>Keamanan Administrasi</t>
  </si>
  <si>
    <t>1. Terdapat Aset Base Transceiver Station 4G (BTS 4G) yang Tercatat dalam Akun Aset Lain-Lain yang Belum Sepenuhnya Ditindaklanjuti Permasalahannya oleh BLU BAKTI</t>
  </si>
  <si>
    <t>1. Pencatatan dan Penatausahaan Kas pada BLU BAKTI Kurang Memadai2.Keterlambatan Penyetoran Pajak Sebesar Rp6.973.556.824 atas Transaksi Belanja Melalui Uang Persediaan/Tambahan Uang Persediaan (UP/TUP)3. Penyajian Belanja Dibayar Di Muka, Aset Tetap Peralatan dan Mesin dan Konstruksi Dalam Pengerjaan BTS 4G BAKTI Belum Dapat Diyakini Kewajarannya4. Pelaksanaan Jaminan Pengambil Alih Risiko Tidak Sesuai Ketentuan5. Pembayaran Jasa Site Acquisition (SITAC) Sebesar Rp156.903.742.470 Belum Didukung dengan Dokumen yang Dipersyaratkan</t>
  </si>
  <si>
    <t>1. Pengelolaan Kas pada Badan Penelitian dan Pengembangan Sumber Daya Manusia Belum Sepenuhnya Tertib2. Pengelolaan Kas pada Badan Aksesibilitas Telekomunik dan Informasi Belum Sepenuhnya Tertib3. Pengelolaan Pengeluaran Kas pada Direktorat Jenderal Aplikasi Informatika Belum Memadai4. Penatausahaan Persediaan pada Sekolah Tinggi Multi Media (STMM) Yogyakarta Belum Tertib5. Penyajian Saldo Akun Aset Tetap Peralatan dan Mesin dan Konstruksi Dalam Pengerjaan yang Terkait Pembangunan Base Transceiver Station (BTS) 4G pada Laporan Keuangan Kemenkominfo Tahun 2022 Tidak Dapat Diyakini Kewajarannya6. Penatausahaan Aset Konsesi Jasa dan Kewajiban Konsesi Jasa pada Proyek Palapa Ring di BAKTI Kemenkominfo Belum Memadai</t>
  </si>
  <si>
    <t>Pelaksanaan dan Pencatatan Aset atas Proyek Penyediaan Infrastrukur Base Transceiver Station (BTS) 4G dan Infrastruktur Pendukungnya Tidak Sepenuhnya Sesuai Ketentuan</t>
  </si>
  <si>
    <t>1. Penatausahaan dan pencatatan persediaan pada Sekretariat Jenderal dan Sekolah Tinggi Multi Media (STMM) Yogyakarta belum tertib2. Penatausahaan Aset tetap Peralatan dan Mesin pada Balitbang SDM dan Setjen Kemkominfo belum optimal</t>
  </si>
  <si>
    <t>Keamanan Hukum</t>
  </si>
  <si>
    <t>Keamanan Fisik</t>
  </si>
  <si>
    <t>1. Penatausahaan Aset Tetap Peralatan dan Mesin Berupa Kendaraan di Lingkungan Sekretariat Jenderal, PPI, dan BLU BAKTI Kementerian Komunikasi dan Informatika Belum Sepenuhnya Sesuai Ketentuan</t>
  </si>
  <si>
    <t>1. Penggunaan dan Pemanfaatan Aset Tetap Tanah Kementerian Komunikasi dan Informatika Kurang Optimal2. Pemanfaatan Aset Pusat Monitoring Telekomunikasi pada Ditjen PPI Kurang Optimal3. Pengamanan Barang Milik Negara (BMN) di Kementeria Komunikasi dan Informatika Tidak Optimal</t>
  </si>
  <si>
    <t>Pengendalian atas Aset Hasil Kegiatan Penyediaan Belanja Modal VSAT Remote Terminal Ground Segment Akses Internet Tahun 2021 Belum Memadai dan Denda Keterlambatan atas Pengadaan Akses Internet Belum Dikenakan Sebesar Rp1.912.427.661</t>
  </si>
  <si>
    <t>1. Pengamanan administrasi dan fisik tanah seluas 1750 Meter persegi pada Kelurahan Pancoran Jakarta Selatan belum memadai</t>
  </si>
  <si>
    <t>Simpulan:
 Berdasarkan dokumen Laporan Hasil Pemeriksaan BPK Tahun 2020 hingga tahun 2024, masih terdapat catatan dalam temuan hasil pemeriksaan mengenai pengelolaan aset yaitu kelemahan dalam pengendalian atas aset dan pencatatan aset sesuai dengan ketentuan dimana terdapat temuan Penyajian Belanja Dibayar Di Muka, Aset Tetap Peralatan dan Mesin dan Konstruksi Dalam Pengerjaan BTS 4G BAKTI Belum Dapat Diyakini Kewajarannya. Meskipun demikian, Kemkomdigi mendapatkan opini WTP di Tahun 2024 sehingga mendapatkan score C</t>
  </si>
  <si>
    <t>Capaian komponen pencapaian tujuan Pengamanan Barang Milik Negara/Daerah adalah:</t>
  </si>
  <si>
    <t>WTP minimal 5 kali berturut-turut dan tidak ada catatan pengamanan BMN/D selama 3 tahun terakhir</t>
  </si>
  <si>
    <t>WTP minimal 3 kali berturut-turut pada 3 tahun terakhir dan tidak ada catatan pengamanan BMN/D pada 1 tahun terakhir</t>
  </si>
  <si>
    <t>WTP pada tahun terakhir, tetapi masih ada catatan pengamanan BMN/D</t>
  </si>
  <si>
    <t>WTP-DPP/WDP pada tahun terakhir</t>
  </si>
  <si>
    <t>Tidak Memberikan Pendapat/Tidak Wajar pada tahun terakhir</t>
  </si>
  <si>
    <t>KERTAS KERJA PENILAIAN PENCAPAIAN TUJUAN SPIP
TUJUAN 4: KETAATAN PADA PERATURAN PERUNDANG-UNDANGAN
KK 8 - PENILAIAN PENCAPAIAN TUJUAN KETAATAN PADA PERATURAN PERUNDANG-UNDANGAN</t>
  </si>
  <si>
    <t>T-1 
(2023)</t>
  </si>
  <si>
    <t>T-2 
(2022)</t>
  </si>
  <si>
    <t>T-3 
(2021)</t>
  </si>
  <si>
    <t>T-4
 (2020)</t>
  </si>
  <si>
    <t>T-5
(2019)</t>
  </si>
  <si>
    <r>
      <rPr>
        <rFont val="Arial"/>
        <b/>
        <color theme="1"/>
        <sz val="12.0"/>
      </rPr>
      <t xml:space="preserve">Opini
</t>
    </r>
    <r>
      <rPr>
        <rFont val="Arial"/>
        <b val="0"/>
        <color theme="1"/>
        <sz val="12.0"/>
      </rPr>
      <t>(WTP/WTP DPP/WDP/Tidak Wajar/TMP)</t>
    </r>
  </si>
  <si>
    <r>
      <rPr>
        <rFont val="Arial"/>
        <b/>
        <color theme="1"/>
        <sz val="11.0"/>
      </rPr>
      <t>Jumlah Temuan per LHP</t>
    </r>
    <r>
      <rPr>
        <rFont val="Arial"/>
        <i/>
        <color theme="1"/>
        <sz val="11.0"/>
      </rPr>
      <t xml:space="preserve">
</t>
    </r>
  </si>
  <si>
    <t>Keterjadian Tindak Pidana Korupsi pada Periode Penilaian:</t>
  </si>
  <si>
    <t>Tidak</t>
  </si>
  <si>
    <r>
      <rPr>
        <rFont val="Arial"/>
        <b/>
        <color theme="1"/>
        <sz val="11.0"/>
      </rPr>
      <t xml:space="preserve">Penjelasan: </t>
    </r>
    <r>
      <rPr>
        <rFont val="Arial"/>
        <b val="0"/>
        <color theme="1"/>
        <sz val="11.0"/>
      </rPr>
      <t xml:space="preserve">
Kemkomdigi telah mendapat Opini WTP atas LK TA 2024</t>
    </r>
  </si>
  <si>
    <t>Simpulan PM</t>
  </si>
  <si>
    <t>Jumlah temuan BPK atas kepatuhan terhadap peraturan perundang-undangan dalam 5 tahun terakhir meliputi temuan Belanja Pengadaan Barang dan Jasa dengan rata-rata berjumlah 16 temuan</t>
  </si>
  <si>
    <t>Capaian komponen pencapaian tujuan Ketaatan terhadap Perundang-undangan adalah:</t>
  </si>
  <si>
    <t>Simpulan PK</t>
  </si>
  <si>
    <t>Berdasarkan hasil analisis dokumen, Laporan Keuangan Kementerian Komunikasi pada tahun 2022 mendapatkan opini Wajar Dengan  Pengecualian (WDP). Selanjutnya terdapat keterjadian tindak pidana korupsi dalam periode penilaian yang dilaporkan di Kementerian Komunikasi dan Informatika terkait dengan pembangunan infrastruktur Base Transceiver Station (BTS) 4G yang sampai saat laporan ini disusun sudah masuk kedalam tahap persidangan. Adapun penilaian atas ketaatan terhadap peraturan perundang-undangan berada pada grade “E” dengan nilai 1.</t>
  </si>
  <si>
    <t>Opini WTP dan jumlah temuan per LHP ≤10 selama 5 tahun terakhir</t>
  </si>
  <si>
    <t>Opini WTP dan jumlah temuan per LHP ≤10 selama 3 tahun terakhir</t>
  </si>
  <si>
    <t>Opini WTP dan jumlah temuan ≤10 pada tahun terakhir</t>
  </si>
  <si>
    <t>Opini WTP dan jumlah temuan &gt;10 pada tahun terakhir</t>
  </si>
  <si>
    <t>Tidak mendapatkan Opini WTP pada tahun terakhir</t>
  </si>
  <si>
    <t>KKQA</t>
  </si>
  <si>
    <t>LL PK BPKP</t>
  </si>
  <si>
    <t>3.75%</t>
  </si>
  <si>
    <t>10.00%</t>
  </si>
  <si>
    <t>2.27%</t>
  </si>
  <si>
    <t>5.00%</t>
  </si>
  <si>
    <t>7.50%</t>
  </si>
  <si>
    <t>30.00%</t>
  </si>
  <si>
    <t>KK 2.2 - PENILAIAN PENETAPAN TUJUAN - SASARAN KEGIATAN</t>
  </si>
  <si>
    <t>SASARAN PERANGKAT DAERAH</t>
  </si>
  <si>
    <t>INDIKATOR KINERJA KEGIATAN</t>
  </si>
  <si>
    <t>URAIAN SASARAN OPD</t>
  </si>
  <si>
    <t>SASARAN OPD RELEVAN DENGAN SASTRA PEMDA DAN MENGGAMBARKAN TUGAS DAN FUNGSI</t>
  </si>
  <si>
    <t>SASARAN PROGRAM RELEVAN DENGAN SASTRA OPD DAN MENGGAMBARKAN TUGAS DAN FUNGSI</t>
  </si>
  <si>
    <t>SASARAN KEGIATAN
BERORIENTASI HASIL</t>
  </si>
  <si>
    <t>SASARAN KEGIATAN RELEVAN DENGAN SASARAN PROGRAM DAN MENGGAMBARKAN TUGAS DAN FUNGSI</t>
  </si>
  <si>
    <t>DITJEN SDPPI</t>
  </si>
  <si>
    <t>Meningkatnya Pemanfaatan Spektrum Frekuensi Radio dan Kualitas Pengelolaan Layanan Publik bidang Pos, Telekomunikasi dan Informatika</t>
  </si>
  <si>
    <t>Terwujudnya Optimalisasi Pemanfaatan Spektrum Frekuensi Radio</t>
  </si>
  <si>
    <t>Farming dan Refarming Spektrum Frekuensi Radio</t>
  </si>
  <si>
    <t>Terwujudnya Optimalisasi
 dalam Rangka Penambahan
 Alokasi Frekuensi untuk Pita Lebar</t>
  </si>
  <si>
    <t>Jumlah rekomendasi Kebijakan yang Mendukung Peningkatan Kapasitas Satelit Nasional</t>
  </si>
  <si>
    <t>Jumlah rekomendasi kebijakan yang mendukung optimalisasi penambahan spektrum frekuensi radio untuk layanan mobile broadband</t>
  </si>
  <si>
    <t>Terwujudnya Optimalisasi dan Penyediaan Pita Frekuensi Radio untuk public service</t>
  </si>
  <si>
    <t>Jumlah rekomendasi Kebijakan yang Mendukung Optimalisasi Penyediaan Spektrum Frekuensi Radio untuk Public Service</t>
  </si>
  <si>
    <t>Terwujudnya optimalisasi pemanfaatan spektrum frekuensi radio untuk keperluan
 digitalisasi penyiaran</t>
  </si>
  <si>
    <t>Jumlah masterplan spektrum frekuensi radio untuk keperluan penyiaran digital</t>
  </si>
  <si>
    <t>1 Masterplan</t>
  </si>
  <si>
    <t>Pengembangan Insfrastruktur Manajemen Spektrum Frekuensi Radio untuk Peningkatan Kualitas Pelayanan Publik</t>
  </si>
  <si>
    <t>Monitoring dan Pengendalian Spektrum Frekuensi Radio</t>
  </si>
  <si>
    <t>Terwujudnya Penanganan
 Gangguan Frekuensi Radio untuk Keselamatan</t>
  </si>
  <si>
    <t>Jumlah Layanan Penanganan Gangguan Frekuensi Radio</t>
  </si>
  <si>
    <t>Jumlah Layanan Penanganan Pelanggaran Standar Perangkat Telekomunikasi</t>
  </si>
  <si>
    <t>Jumlah Unit Aplikasi Monitoring, Evaluasi dan Penertiban Spektrum Frekuensi Radio</t>
  </si>
  <si>
    <t>11 Unit</t>
  </si>
  <si>
    <t>Jumlah Unit Pemeliharaan Aplikasi Monitoring, Evaluasi dan Penertiban Spektrum Frekuensi Radio</t>
  </si>
  <si>
    <t>Jumlah Unit Pemeliharaan Aplikasi Monitoring, Evaluasi dan Penertiban Alat dan Perangkat Telekomunikasi</t>
  </si>
  <si>
    <t>Terwujudnya Infrastruktur
 Monitoring dan Manajemen Spektrum Frekuensi Radio</t>
  </si>
  <si>
    <t>Jumlah Unit Pemeliharaan Aplikasi dan Infrastruktur SIMS</t>
  </si>
  <si>
    <t>Jumlah Unit Pemeliharaan Perangkat SMFR</t>
  </si>
  <si>
    <t>Jumlah penyediaan perangkat untuk pengembangan infrastruktur manajemen spektrum frekuensi radio</t>
  </si>
  <si>
    <t>41 Unit</t>
  </si>
  <si>
    <t>Pengembangan infrastruktur digital licensing dalam mendukung smart service layanan publik Ditjen SDPPI</t>
  </si>
  <si>
    <t>Meningkatnya Kualitas Penyelenggaraan Layanan dan Pengelolaan PNBP</t>
  </si>
  <si>
    <t>Penyelenggaraan Layanan Publik Bidang Frekuensi dan Perangkat TIK</t>
  </si>
  <si>
    <t>Meningkatnya kualitas layanan publik bidang sumber daya perangkat pos dan
 informatika</t>
  </si>
  <si>
    <t>Jumlah Layanan Perizinan Spektrum Frekuensi Radio Maritim dan Sertifikasi Operator Radio bagi Nelayan</t>
  </si>
  <si>
    <t>indikator kinerja belum diisi</t>
  </si>
  <si>
    <t>Jumlah Layanan Sistem dan Data PNBP, SFR, dan SOR</t>
  </si>
  <si>
    <t>Jumlah Target PNBP BHP Frekuensi Radio</t>
  </si>
  <si>
    <t>Indikator kinerja kegiatan belum secara langsung menunjukkan relevansinya dalam mendukung sasaran kegiatan. Belum terlihat hubungan pencapaian target PNBP BHP Frekuensi dengan peningkatan kualitas pelayanan publik karena dengan tercapainya target PNBP BHP ini dianggap bahwa pelayanan publik yang diberikan sudah baik.</t>
  </si>
  <si>
    <t>Meningkatkan Pengembangan Ekosistem Industri Perangkat TIK</t>
  </si>
  <si>
    <t>Terwujudnya Balai Besar Pengujian Perangkat Telekomunikasi menjadi
 Laboratorium Pusat Pengujian Perangkat
 TIK</t>
  </si>
  <si>
    <t>Persentase Penyelesaian Mobilisasi Laboratorium SAR BBPPT-Bintara ke BBPPT-Tapos dan Pengelolaan Data dan Informasi BBPPT</t>
  </si>
  <si>
    <t>Sesuai, (satker sudah menyesuaikan indikator menjadi dalam bentuk persentase)</t>
  </si>
  <si>
    <t>Meningkatnya kualitas layanan publik
 bidang sumber daya perangkat pos dan
 informatika</t>
  </si>
  <si>
    <t>Jumlah Dokumen Rekomendasi Peningkatan Layanan BBPPT</t>
  </si>
  <si>
    <t>4 Dokumen</t>
  </si>
  <si>
    <t>- Pelaksanaan forum diskusi untuk setiap layanan dilakukan setiap tahun, guna memastikan pengguna layanan mendapatkan informasi layanan secara tepat, penyampaian tindak lanjut terhadap inovasi layanan, dan media penerimaan saran masukan. Mengingat kebutuhan dan keinginan pengguna layanan bersifat dinamis, hal ini menjadi salah satu langkah membangun customer relationship yang ditunjukkan melalui IKM. 
  - Analisis layanan publik bertujuan untuk meningkatkan layanan publik melalui evaluasi kebijakan pelayanan sebagai dasar dalam pemberian layanan kepada pengguna. Aspek penunjang seperti sarana prasarana dan sistem informasi, serta media konsultasi dan pengaduan dikelola mekanismenya sebagai pendukung terbentuknya sistem pengawasan internal terhadap kualitas layanan. Selain itu, kinerja SDM yang terlibat langsung dalam pemberian layanan dievaluasi secara rutin dan diberikan pelatihan untuk peningkatan kompetensi. Upaya yang dilakukan untuk memastikan layanan diberikan secara konsisten, akuntabel, dan berintegritas, yang ditunjukkan melalui IIPP.
  - Pengendalian proses bisnis layanan BBPPT dilakukan melalui evaluasi SOP terhadap utilitas sumber daya yang ada, hal ini bertujuan untuk memastikan mutu baku yang diimplementasikan sesuai dengan standar yang telah disepakati berdasarkan kebutuhan dan keinginan pada stakeholder, termasuk pengguna layanan. Selain itu, dilakukan rekonsiliasi dan evaluasi secara rutin dalam rangka memastikan ketercapaian target PNBP. Pengendalian yang dilakukan bertujuan untuk meminimalisir risiko yang akan timbul agar dapat ditindaklanjuti.</t>
  </si>
  <si>
    <t>Meningkatkan daya saing dan kualitas
 laboratorium BBPPT sesuai standar
 Internasional</t>
  </si>
  <si>
    <t>Jumlah Dokumen Standar Mutu ISO pada Laboratorium BBPPT</t>
  </si>
  <si>
    <t>Target Pemenuhan Standar Mutu ISO sesuai dengan dokumen Rencana Strategis SDPPI Kominfo Tahun 2024 - 2024:
  a. Penambahan 2 ruang lingkup ISO 17025 dan terakreditasi ISO 17043
  b. Penambahan 3 ruang lingkup ISO 17025 dan terakreditasi ISO 17043
  c. Penambahan 4 ruang lingkup ISO 17025 dan terakreditasi ISO 17043
  d. Penambahan 4 ruang lingkup ISO 17025 dan penambahan 1 ruang lingkup ISO 17043
  e. Penambahan 4 ruang lingkup ISO dan terakreditasi ISO 17043
  Pada tahun 2022, telah dilakukan penambahan 10 ruang lingkup akreditasi ISO 17025 pengujian. Sedangkan pada tahun 2024, sedang dilakukan pengajuan penambahan 7 ruang lingkup akreditasi ISO 17025 pengujian dan penambahan 1 ruang lingkup ISO 17025 kalibrasi. Sehingga, total ruang lingkup akreditasi ISO 17025 pada tahun 2024 adalah sebanyak 38 ruang lingkup pengujian dan 14 ruang lingkup kalibrasi.
  Untuk ISO 17043, pada tahun 2022 telah dilakukan penambahan 1 ruang lingkup akreditasi. Sedangkan pada tahun 2024, sedang dilakukan pengajuan penambahan 1 ruang lingkup akreditasi ISO 17043. Sehingga, total ruang lingkup akreditasi ISO 17043 pada tahun 2024 adalah sebanyak 4 ruang lingkup akreditasi.
  Untuk masing-masing jenis akreditasi (ISO 17025 pengujian, ISO 17025 kalibrasi, ISO 17043) didapatkan 1 dokumen sertifikat akreditasi dengan 1 lampiran ruang lingkup. Sehingga untuk 3 jenis akreditasi, didapatkan total 3 dokumen sertifikat akreditasi dan 3 dokumen lampiran ruang lingkup. Perolehan 3 dokumen sertifikat akreditasi ISO beserta lampirannya tersebut merupakan langkah strategis dan teknis untuk meningkatkan daya saing dan kualitas laboratorium BBPPT sesuai standar Internasional.</t>
  </si>
  <si>
    <t>Jumlah Dokumen Kerja Sama dengan Organisasi yang Terakreditasi</t>
  </si>
  <si>
    <t>Jumlah Dokumen Laporan Hasil Uji</t>
  </si>
  <si>
    <t>Belum terlihat relevansi antara RO Laporan Hasil Uji dengan Sasaran Kegiatan. Laporan Hasil Uji adalah output dari pelayanan pengujian dari BBPPT</t>
  </si>
  <si>
    <t>Jumlah Unit Kalibrasi Perangkat Alat Ukur</t>
  </si>
  <si>
    <t>85 Unit</t>
  </si>
  <si>
    <t>Dengan dilakukannya kegiatan Kalibrasi Alat Ukur, akan berdampak pada jaminan mutu hasil pengujian perangkat telekomunikasi dan menjadikan kalibrasi alat ukur yang tertelusur (tracebility) sesuai dengan sistem Satuan Internasional (SI). Dengan melakukan kalibrasi alat ke laboratorium yang terakreditasi ISO/IEC 17025, dapat meningkatkan kinerja alat ukur dalam pengujian dan kalibrasi</t>
  </si>
  <si>
    <t>Jumlah Unit Pemeliharaan dan Kalibrasi Alat Ukur Perangkat TIK BBPPT</t>
  </si>
  <si>
    <t>48 Unit</t>
  </si>
  <si>
    <t>Terciptanya Standardisasi Alat dan Perangkat Komunikasi</t>
  </si>
  <si>
    <t>Jumlah rekomendasi Kebijakan dan atau Regulasi Perangkat Pos dan Informatika</t>
  </si>
  <si>
    <t>9 Rekomendasi Kebijakan</t>
  </si>
  <si>
    <t>Jumlah Layanan Sertifikasi Perangkat Pos dan Informatika</t>
  </si>
  <si>
    <t>Persentase (%) keberhasilan pengelolaan data IMEI di dalam sistem CEIR</t>
  </si>
  <si>
    <t>90 %</t>
  </si>
  <si>
    <t>indikator ini belum menggambarkan atau mendukung sasaran kegiatan "Terciptanya standardisasi alat dan perangkat komunikasi"
 tidak relevan karena pengelolaan IMEI bukan tusi Dit.Standardisasi dan sistem CEIR dikelola oleh Instansi lain</t>
  </si>
  <si>
    <t>Terwujudnya harmonisasi regulasi untuk mendukung peningkatan
 konektivitas pita lebar</t>
  </si>
  <si>
    <t>Jumlah Layanan Hukum</t>
  </si>
  <si>
    <t>Meningkatnya kualitas tata kelola internal Ditjen SDPPI</t>
  </si>
  <si>
    <t>Jumlah Unit Infrastruktur dan Internet Perkantoran</t>
  </si>
  <si>
    <t>Jumlah Layanan Organisasi dan Tata Kelola Internal</t>
  </si>
  <si>
    <t>40 Layanan</t>
  </si>
  <si>
    <t>Jumlah Layanan Umum</t>
  </si>
  <si>
    <t>Jumlah Layanan Data dan Informasi</t>
  </si>
  <si>
    <t>Jumlah Layanan Perkantoran</t>
  </si>
  <si>
    <t>74 Layanan</t>
  </si>
  <si>
    <t>Jumlah Unit Layanan Sarana Internal</t>
  </si>
  <si>
    <t>612 Unit</t>
  </si>
  <si>
    <t>Jumlah Layanan Manajemen SDM</t>
  </si>
  <si>
    <t>Jumlah Dokumen Layanan Perencanaan dan Penganggaran</t>
  </si>
  <si>
    <t>Jumlah Dokumen Layanan Pemantauan dan Evaluasi</t>
  </si>
  <si>
    <t>Jumlah Dokumen Layanan Manajemen Keuangan</t>
  </si>
  <si>
    <t>BAKTI</t>
  </si>
  <si>
    <t>Terwujudnya tata kelola pemerintahan yang baik</t>
  </si>
  <si>
    <t>Meningkatnya kualitas tata kelola birokrasi yang efektif dan efisien</t>
  </si>
  <si>
    <t>Pengelolaan Rencana Strategis, Keuangan, Hukum dan Sumber Daya</t>
  </si>
  <si>
    <t>12 Layanan</t>
  </si>
  <si>
    <t>0.7</t>
  </si>
  <si>
    <t>Meningkatnya cakupan jaringan pita lebar yang cepat dan terjangkau</t>
  </si>
  <si>
    <t>Layanan Tata Kelola Audit</t>
  </si>
  <si>
    <t>uji coba</t>
  </si>
  <si>
    <t>Pemenuhan Komitmen Pembayaran Availability Payment (AP) Proyek Kerjasama Pemerintah Badan Usaha Satelit Multifungsi 1 (SATRIA-1)</t>
  </si>
  <si>
    <t>Bersifat Kumulatif</t>
  </si>
  <si>
    <t>Jumlah lokasi yang memperoleh sinyal telekomunikasi bergerak seluler (base transceiver station / lastmile) BTS 4G di wilayah Pelayanan Universial Telekomunikasi</t>
  </si>
  <si>
    <t>2826
 Lokasi</t>
  </si>
  <si>
    <t>nilanya berbeda dengan KRISNA.
 Dari 2826 menjadi 2902</t>
  </si>
  <si>
    <t>57 Unit</t>
  </si>
  <si>
    <t>RO dan Indikator Kinerja tidak menggambarkan cascading terhadap sasaran kegiatan
 target kinerja "unit", akan lebih tepat jika "kota/titik/lokasi"
 hasil pengecekkan di KRISNA menunjukkan bahwa satuan yg digunakan adalah "kota"
 target kinerja bernilai 0 karena ada masalah pada aplikasi. Telah diperbaiki berdasarkan data dari krisna</t>
  </si>
  <si>
    <t>OM BTS 4G /Lastmile Papua dan Papua Barat</t>
  </si>
  <si>
    <t>2141
 Titik/Lokasi</t>
  </si>
  <si>
    <t>RO dan Indikator Kinerja tidak menggambarkan cascading terhadap sasaran kegiatan
 nilanya berbeda dengna KRISNA
 dari 2141 menjad i2153
 target kinerja bernilai 0 karena ada masalah pada aplikasi. Telah diperbaiki berdasarkan data dari krisna</t>
  </si>
  <si>
    <t>4981
 Titik/Lokasi</t>
  </si>
  <si>
    <t>RO dan Indikator Kinerja tidak menggambarkan cascading terhadap sasaran kegiatan
 target kinerja bernilai 0 karena ada masalah pada aplikasi. Telah diperbaiki berdasarkan data dari krisna</t>
  </si>
  <si>
    <t>OM Penyediaan Kapasitas Satelit</t>
  </si>
  <si>
    <t>19 Unit</t>
  </si>
  <si>
    <t>RO dan Indikator Kinerja Kembar
 RO dan Indikator Kinerja tidak menggambarkan cascading terhadap sasaran kegiatan
 target kinerja bernilai 0 karena ada masalah pada aplikasi. Telah diperbaiki berdasarkan data dari krisna</t>
  </si>
  <si>
    <t>17728
 Titik/Lokasi</t>
  </si>
  <si>
    <t>Akses Internet</t>
  </si>
  <si>
    <t>30
 Titik/Lokasi</t>
  </si>
  <si>
    <t>RO dan Indikator Kinerja Kembar
 RO dan Indikator Kinerja tidak menggambarkan cascading terhadap sasaran kegiatan
 target kinerja bernilai 0 karena ada masalah pada aplikasi. Telah diperbaiki berdasarkan data dari krisna
 Terlaksananya penyediaan dan pengelolaan layanan telekomunikasi dan informasi untuk badan usaha memiliki 2 indikator namun RO hanya mencakup 1 indikator</t>
  </si>
  <si>
    <t>RO dan Indikator Kinerja tidak menggambarkan cascading terhadap sasaran kegiatan
 akibatnya, target kinerja tidak dapat dinilai keselarasannya dengan saskeg, RO dan, Indikator kinerja
 target kinerja bernilai 0 karena ada masalah pada aplikasi. Telah diperbaiki berdasarkan data dari krisna</t>
  </si>
  <si>
    <t>DJPPI</t>
  </si>
  <si>
    <t>01 - Meningkatnya cakupan dan kualitas layanan broadband di wilayah komersial</t>
  </si>
  <si>
    <t xml:space="preserve">Kegiatan: 4501 - Pengembangan jaringan fixed broadband dan mobile broadband
</t>
  </si>
  <si>
    <t xml:space="preserve">01 - Meningkatnya kualitas layanan pos, telekomunikasi dan penyiaran yang diterima masyarakat
</t>
  </si>
  <si>
    <t xml:space="preserve">- Jumlah perangkat pengukuran QoS 5G 
- Pusat Monitoring Pos, Telekomunikasi, dan Penyiaran
</t>
  </si>
  <si>
    <t>- 3 perangkat
- 1 unit</t>
  </si>
  <si>
    <t>RO ini merupakan Prioritas Nasional, namun indikator dan target RO tidak dicantumkan di KRISNA. 
 Indikator dan target RO yang diinput di Kertas Kerja ini berdasarkan TOR dan KRO yang ada di KRISNA.</t>
  </si>
  <si>
    <t>Pusat Monitoring Pos, Telekomunikasi dan Penyiaran</t>
  </si>
  <si>
    <t xml:space="preserve">02 - Meningkatnya Cakupan Konektivitas Jaringan Pitalebar di Wilayah Komersial
</t>
  </si>
  <si>
    <t>Jumlah rekomendasi kebijakan kemudahan akses jaringan telekomunikasi ke gedung</t>
  </si>
  <si>
    <t>1 rekomendasi kebijakan</t>
  </si>
  <si>
    <t>RO ini non-PN, sehingga indikator kinerja dan targetnya tidak dicantumkan di KRISNA karena bersifat opsional. 
 Indikator dan target RO yang diinput di Kertas Kerja ini berdasarkan KRO yang ada di KRISNA.</t>
  </si>
  <si>
    <t xml:space="preserve">Jumlah Rekomendasi Kebijakan untuk Peningkatan dan Percepatan Penetrasi Fixed Broadband	</t>
  </si>
  <si>
    <t xml:space="preserve">Jumlah titik/lokasi yang terhubung dengan Jaringan Tetap Pita Lebar	</t>
  </si>
  <si>
    <t xml:space="preserve">Jumlah Kabupaten Kota yang difasilitasi Menerapkan Infrastruktur Pasif Bersama	</t>
  </si>
  <si>
    <t xml:space="preserve">Jumlah Kabupaten/Kota yang Difasilitasi Penggelaran Fiber Optik	</t>
  </si>
  <si>
    <t xml:space="preserve">Jumlah Pilot Project penyediaan fiber optik di Kabupaten/Kota DPSP	</t>
  </si>
  <si>
    <t xml:space="preserve">03 - Meningkatnya cakupan konektivitas jaringan bergerak seluler di wilayah komersial
</t>
  </si>
  <si>
    <t xml:space="preserve">Kajian pemetaan Desa/Kelurahan di wilayah non 3T di Indonesia bagian Barat untuk peningkatan kualitas layanan seluler 4G	</t>
  </si>
  <si>
    <t xml:space="preserve">04 - Terwujudnya industri telekomunikasi yang sehat dan berkelanjutan
</t>
  </si>
  <si>
    <t xml:space="preserve">Rekomendasi Kebijakan terkait Penyelenggaraan Jasa Multimedia	</t>
  </si>
  <si>
    <t xml:space="preserve">Jumlah Rekomendasi Kebijakan terkait teknis penyelenggaraan telekomunikasi	</t>
  </si>
  <si>
    <t xml:space="preserve">Penyusunan Rancangan Regulasi Rencana Dasar Teknis (Fundamental Technical Plan) Nasional Pada Penyelenggaraan Telekomunikasi	</t>
  </si>
  <si>
    <t xml:space="preserve">Jumlah Dokumen Hasil Pengawasan dan Evaluasi Penerapan Pentarifan dan Penomoran Telekomunikasi	</t>
  </si>
  <si>
    <t xml:space="preserve">Jumlah lembaga yang telah mengimplementasikan IPv6	</t>
  </si>
  <si>
    <t>02 - Meningkatnya cakupan wilayah yang terlayani penyiaran digital</t>
  </si>
  <si>
    <t xml:space="preserve">Kegiatan: 4504 - Digitalisasi penyiaran
</t>
  </si>
  <si>
    <t xml:space="preserve">01 - Meningkatnya infrastruktur penyiaran digital dalam rangka mendukung ASO
</t>
  </si>
  <si>
    <t xml:space="preserve">Jumlah Dukungan Infrastruktur Digital Broadcasting System (DBS)	</t>
  </si>
  <si>
    <t xml:space="preserve">Jumlah Bantuan Pemerintah berupa Set Top Box untuk Rumah Tangga Miskin	</t>
  </si>
  <si>
    <t xml:space="preserve">02 - Terlaksananya migrasi TV terestrial digital dan implementasi radio terrestrial digital
</t>
  </si>
  <si>
    <t xml:space="preserve">Jumlah rekomendasi kebijakan terkait tv digital dan radio digital	</t>
  </si>
  <si>
    <t>03 - Meningkatnya konektivitas layanan pos</t>
  </si>
  <si>
    <t>03 - Meningkatnya cakupan dan kualitas layanan pos</t>
  </si>
  <si>
    <t xml:space="preserve">Kegiatan: 4512 - Konektivitas layanan pos
</t>
  </si>
  <si>
    <t xml:space="preserve">01 - Meningkatnya pemerataan layanan dan pengembangan industri pos universal
</t>
  </si>
  <si>
    <t xml:space="preserve">Jumlah Kantor Penyelenggara Pos yang difasilitasi bantuan operasional Layanan Pos Universal	</t>
  </si>
  <si>
    <t xml:space="preserve">Jumlah Materi terkait kebencanan dan layanan transaksi keuangan di sektor pos	</t>
  </si>
  <si>
    <t xml:space="preserve">Jumlah penyelenggara pos (nasional) yang menerapkan sistem track and trace	</t>
  </si>
  <si>
    <t xml:space="preserve">02 - Terwujudnya industri pos yang sehat dan berkelanjutan
</t>
  </si>
  <si>
    <t xml:space="preserve">Jumlah Desain Seri Perangko Yang Diterbitkan	</t>
  </si>
  <si>
    <t xml:space="preserve">Jumlah Rekomendasi Kebijakan untuk Revisi Peraturan Menteri Kominfo Nomor 1 Tahun 2012 dan Peraturan Menteri Kominfo Nomor 4 Tahun 2021	</t>
  </si>
  <si>
    <t>04 - Terwujudnya Konektivitas Next Generation Nasional</t>
  </si>
  <si>
    <t>04 - Terwujudnya pengembangan High speed Mobile Broadband</t>
  </si>
  <si>
    <t xml:space="preserve">Kegiatan: 4506 - Pengembangan akses next generation broadband
</t>
  </si>
  <si>
    <t xml:space="preserve">01 - Terwujudnya Pengembangan High Speed Mobile Broadband
</t>
  </si>
  <si>
    <t xml:space="preserve">Jumlah Kajian Desain Jaringan Telekomunikasi di IKN KIPP 1A. 2	</t>
  </si>
  <si>
    <t xml:space="preserve">Penyelenggara jaringan telekomunikasi mengimplementasikan 5G	</t>
  </si>
  <si>
    <t xml:space="preserve">Jumlah penyelenggara jasa telekomunikasi menyediakan layanan IoT	</t>
  </si>
  <si>
    <t>05 - Meningkatnya pemanfaatan spektrum frekuensi radio dan kualitas pengelolaan layanan publik bidang pos, telekomunikasi dan informatika</t>
  </si>
  <si>
    <t>03 - Meningkatnya Kualitas Penyelenggaraan Layanan dan Pengelolaan PNBP</t>
  </si>
  <si>
    <t xml:space="preserve">Kegiatan: 4503 - Penyelenggaraan Layanan Publik Bidang Pos, Telekomunikasi dan Penyiaran
</t>
  </si>
  <si>
    <t xml:space="preserve">01 - Meningkatnya kepatuhan penyelenggaraan telekomunikasi, pos dan penyiaran
</t>
  </si>
  <si>
    <t xml:space="preserve">- Jumlah lembaga pos, telekomunikasi, dan penyiaran yang memenuhi ketentuan peraturan perundang-undangan
- Capaian target PNBP BHP Telekomunikasi dan Kontribusi Penyelenggaraan Layanan Pos Universal (KPLPU) yang ditetapkan setiap tahun </t>
  </si>
  <si>
    <t>- 4.611 lembaga
- Rp.1.165.009.540.000</t>
  </si>
  <si>
    <t xml:space="preserve">02 - Meningkatnya Kualitas Layanan Perizinan Bidang Pos, Telekomunikasi dan Penyiaran
</t>
  </si>
  <si>
    <t>Persentase penanganan pengajuan proses perizinan telekomunikasi</t>
  </si>
  <si>
    <t xml:space="preserve">Persentase penanganan pengajuan proses perizinan penyiaran	</t>
  </si>
  <si>
    <t xml:space="preserve">Persentase penanganan pengajuan proses perizinan pos	</t>
  </si>
  <si>
    <t>08 - Dukungan Implementasi Digitalisasi Pemerintahan</t>
  </si>
  <si>
    <t>03 - Terwujudnya digitalisasi pemerintahan pusat dan daerah</t>
  </si>
  <si>
    <t xml:space="preserve">Kegiatan: 4517 - Penerapan sistem informasi kebencanaan di smart city
</t>
  </si>
  <si>
    <t xml:space="preserve">01 - Terwujudnya Penyelenggaraan Sistem dan Layanan Telekomunikasi untuk Keperluan Kedaruratan dan Kebencanaan
</t>
  </si>
  <si>
    <t xml:space="preserve">Jumlah Lembaga Penyiaran Swasta yang baru Terintegrasi Sistem Informasi Kebencanaan	</t>
  </si>
  <si>
    <t xml:space="preserve">Jumlah Kab/ Kota Yang Difasilitasi Implementasi Penyelenggaraan Sistem Dan Layanan Telekomunikasi Untuk Keperluan Kedaruratan	</t>
  </si>
  <si>
    <t xml:space="preserve">Jumlah Kab/Kota yang Terlayani Penyebaran Sistem Informasi Kebencanaan Melalui Pelanggan Telekomunikasi dan Penyiaran	</t>
  </si>
  <si>
    <t xml:space="preserve">Jumlah Rancangan Perpres tentang Penerapan Jaringan Bergerak Pitalebar untuk Pelindungan Publik dan Penanggulangan Bencana (PPDR)	</t>
  </si>
  <si>
    <t>10 - Terwujudnya tata kelola pemerintahan yang baik</t>
  </si>
  <si>
    <t>01 - Meningkatnya kualitas tata kelola birokrasi yang efektif dan efisien</t>
  </si>
  <si>
    <t xml:space="preserve">Kegiatan: 4488 - Pengelolaan Keuangan, BMN dan Umum Direktorat Jenderal Penyelenggaraan Pos dan Informatika
</t>
  </si>
  <si>
    <t xml:space="preserve">02 - Meningkatnya kualitas tata kelola Ditjen PPI yang transparan,akuntabel, bersih dan efisien
</t>
  </si>
  <si>
    <t>Jumlah dokumen layanan perkantoran</t>
  </si>
  <si>
    <t>1 dokumen</t>
  </si>
  <si>
    <t>RO ini non-PN, sehingga indikator kinerja dan targetnya tidak dicantumkan di KRISNA karena bersifat opsional. 
 Indikator dan target RO yang diinput di Kertas Kerja ini berdasarkan KRO yang ada di TOR.</t>
  </si>
  <si>
    <t>- Penyusunan rancangan peraturan perundang-undangan dan/atau instrumen hukum lainnya
- Penelaahan dan penanganan masalah hukum
- Dukungan kerja sama baik dalam negeri maupun luar negeri</t>
  </si>
  <si>
    <t>Jumlah layanan dukungan manajemen internal</t>
  </si>
  <si>
    <t>Jumlah layanan data dan informasi</t>
  </si>
  <si>
    <t>Jumlah layanan sarana dan prasarana internal</t>
  </si>
  <si>
    <t>1 unit</t>
  </si>
  <si>
    <t>119 unit</t>
  </si>
  <si>
    <t>Jumlah layanan manajemen SDM internal</t>
  </si>
  <si>
    <t>Dokumen layanan perencanaan dan penganggaran</t>
  </si>
  <si>
    <t>2 dokumen</t>
  </si>
  <si>
    <t>Jumlah layanan pemantauan dan evaluasi</t>
  </si>
  <si>
    <t>6 dokumen</t>
  </si>
  <si>
    <t>Jumlah dokumen layanan manajemen kinerja internal</t>
  </si>
  <si>
    <t>Sekretariat Jenderal</t>
  </si>
  <si>
    <t>Inspektorat Jenderal</t>
  </si>
  <si>
    <t>Ditjen SDPPI</t>
  </si>
  <si>
    <t>Ditjen Aptika</t>
  </si>
  <si>
    <t xml:space="preserve"> Ditjen PPI</t>
  </si>
  <si>
    <t>Badan Litbang</t>
  </si>
  <si>
    <t>IKP</t>
  </si>
  <si>
    <r>
      <rPr>
        <rFont val="Arial"/>
        <color theme="1"/>
        <sz val="12.0"/>
      </rPr>
      <t xml:space="preserve">Penegakan integritas dan nilai etika telah diperbaiki secara berkelanjutan yang diimplementasikan dalam penilaian SKP pegawai secara berjenjang dan peningkatan nilai Reformasi Birokrasi sehingga mampu mendorong penerapan nilai-nilai organisasi dan mendukung pencapaian kinerja Setjen.
</t>
    </r>
    <r>
      <rPr>
        <rFont val="Arial"/>
        <color rgb="FFFF0000"/>
        <sz val="12.0"/>
      </rPr>
      <t>1. Penilaian Integritas dan nilai etika dalam SKP Tahun 2022 (screen shot) (A)</t>
    </r>
    <r>
      <rPr>
        <rFont val="Arial"/>
        <color rgb="FF0000FF"/>
        <sz val="12.0"/>
      </rPr>
      <t xml:space="preserve">
</t>
    </r>
    <r>
      <rPr>
        <rFont val="Arial"/>
        <color rgb="FFFF0000"/>
        <sz val="12.0"/>
      </rPr>
      <t>2. Hasil nilai Reformasi Birokrasi Tahun 2022 (A) 
3. Surat Edaran terkait Presensi Tahun 2022 dan 2023 yang menunjukan adanya perbaikan berkelanjutan (A)
4. Rekapitulasi yang menunjukan bahwa pegawai yang dijatuhi hukuman disiplin menurun dari Tahun 2021 ke 2022 (A)</t>
    </r>
    <r>
      <rPr>
        <rFont val="Arial"/>
        <color rgb="FF0000FF"/>
        <sz val="12.0"/>
      </rPr>
      <t xml:space="preserve">
</t>
    </r>
    <r>
      <rPr>
        <rFont val="Arial"/>
        <color rgb="FFFF0000"/>
        <sz val="12.0"/>
      </rPr>
      <t>5. Notulensi Rapat pembahasan disiplin pegawai, ASN berprestasi Tahun 2022 (B) 
6. Laporan Pembinaan etika dan disiplin ASN Komenterian Kominfo Tahun 2022 dan 2023 (B)</t>
    </r>
    <r>
      <rPr>
        <rFont val="Arial"/>
        <color rgb="FF0000FF"/>
        <sz val="12.0"/>
      </rPr>
      <t xml:space="preserve">
7. Notulen Audit SDM/Laporan Hasil Audit SDM (B)
</t>
    </r>
    <r>
      <rPr>
        <rFont val="Arial"/>
        <color rgb="FFFF00FF"/>
        <sz val="12.0"/>
      </rPr>
      <t>8. Keputusan Menkominfo Nomor 315 tanggal 13 April 2015 tentang Nilai Nilai Kementerian Komunikasi dan Informatika (C)  &gt; Apakah ada versi terbarunya?</t>
    </r>
    <r>
      <rPr>
        <rFont val="Arial"/>
        <color rgb="FF0000FF"/>
        <sz val="12.0"/>
      </rPr>
      <t xml:space="preserve">
9.Surat Teguran terkait pelanggaran dispilin (C)
10. Berita Acara/SuratPenetapan Penganugerahan BMN proaktif (C) 
11. Berita Acara/Nodin Penatapan ASN Berprestasi (C)
</t>
    </r>
    <r>
      <rPr>
        <rFont val="Arial"/>
        <color rgb="FFFF0000"/>
        <sz val="12.0"/>
      </rPr>
      <t>12. Pakta Integritas Pejabat dan ASN Tahun 2022/2023 (C)</t>
    </r>
    <r>
      <rPr>
        <rFont val="Arial"/>
        <color rgb="FF0000FF"/>
        <sz val="12.0"/>
      </rPr>
      <t xml:space="preserve">
13. Telah diunggah melalui  website JDIH kemkominfo yang dapat diakses oleh seluruh pegawai Kominfo melalui link </t>
    </r>
    <r>
      <rPr>
        <rFont val="Arial"/>
        <color rgb="FF0000FF"/>
        <sz val="12.0"/>
        <u/>
      </rPr>
      <t>https://jdih.kominfo.go.id/produk_hukum/view/id/317/t/peraturan+menteri+komunikasi+dan+informatika+nomor+25permkominfo122011+tanggal+20+desember+2011</t>
    </r>
    <r>
      <rPr>
        <rFont val="Arial"/>
        <color rgb="FF0000FF"/>
        <sz val="12.0"/>
      </rPr>
      <t xml:space="preserve"> (D)
14. Internalisasi kebijakan dimaksud kepada CPNS melalui paparan oleh Kepala Biro Kepegawaian dan Organisasi dan Komisi Pemberantasan Korupsi (dilampirkan paparannya) (D) 
15. Peraturan Menkominfo Nomor 25 Tahun 2011 Tentang Kode Etik Pegawai di lingkungan Kemkominfo (E)  
</t>
    </r>
    <r>
      <rPr>
        <rFont val="Arial"/>
        <color rgb="FFFF00FF"/>
        <sz val="12.0"/>
      </rPr>
      <t>16. Peraturan tentang Disiplin pegawai, punisment dan reward (SOP Penanganan Disiplin Pegawai) (E)</t>
    </r>
    <r>
      <rPr>
        <rFont val="Arial"/>
        <color rgb="FF0000FF"/>
        <sz val="12.0"/>
      </rPr>
      <t xml:space="preserve">
17. Kebijakan yang mendasari pemberlakukan ASN berprestasi (SE nomor 14 Tahun 2020) (E)
18. Permenkominfo tentang penegakan disiplin PNS (Peraturan Menteri Kominfo Nomor 1 Tahun 2017 tentang Pelaksanaan Pemberian Tunjangan Kinerja Bagi Pegawai di Lingkungan Kementerian Komunikasi dan Informatika Pasal 20) (E)</t>
    </r>
  </si>
  <si>
    <t>Penegakan integritas dan nilai etika telah diperbaiki secara berkelanjutan dengan melakukan penilaian pegawai setiap tahun yang dibuktikan dengan hasil penilaian SKP pegawai setiap tahunnya yang menjadi dasar perbaikan kinerja pegawai tahun berikutnya yang berdampak pada kinerja organisasi, sehingga tercipta suasana kerja organisasi yang kondusif dan mendorong kinerja pegawai secara optimal dibuktikan dengan dokumen SKP 2022 berdasarkan PP 30 Tahun 2019 dan PermenPAN Nomor 6 Tahun 2022 (A)
List Dokumen Pendukung;
-  Laporan Analisa Disiplin Pegawai dan Laporan Evaluasi Disiplin Pegawai Tahun 2022 (B)
- Laporan Evaluasi Disiplin Pegawai (C)
- Laporan Tindak Lanjut atas Evaluasi Disiplin Pegawai (C)
- Laporan kegiatan rapat koordinasi penanaman nilai etika (C)
- Penandatangan Pakta Integritas (C)
- SS JDIH PM KOMINFO No 25 Tahun 2011.PNG (D)
- Peraturan Menteri Kominfo Nomor 25 Tahun 2011 (E)
- Kode Etik Auditor Intern Pemerintah Indonesia (AAIPI) (E)</t>
  </si>
  <si>
    <t>Bahwa Penegakan integritas dan nilai etika telah diperbaiki secara berkelanjutan sehingga tercipta suasana kerja organisasi yang kondusif yang dapat mendorong kinerja para pegawai secara optimal dibuktikan dengan pembangunan zona integritas di unit kerja dilingkungan Ditjen SDPPI dan monev kinerja organisasi dan evaluasi penilaian SKP pegawai yang dilaksanakan secara berkala.
Bukti dukung :
1. Predikat WBBM, WBK &amp; pelayanan prima (A)
2. Perkuatan Sharing Session UPT meraih WBK (A)
3. Sosialisasi Zona Integritas dan SPI (D)
4. Usulan WBK Tahun 2023 (B)
5. Evaluasi ZI tahun 2022 dan 2023 (B)
6. Penghargaan RB di 16 unit kerja Ditjen SDPPI (A)
7. ND Monev SKP Pegawai Tahun 2022 (B)
8. Pembinaan Jabatan Fungsional (D)
9. Pakta Integritas (C)
10. Perpres 7 Tahun 2016 (E)
11. PP No 50 Tahun 2018 (E)
12. Permenkominfo No. 9 Tahun 2021 tentang Kamus Kompetensi Teknis Bidang Komunikasi dan Informatika (E)
13. PP 94 Tahun 2021 tentang Disiplin Pegawai Negeri Sipil (E) 
14. PM Kominfo NOMOR : 25/PER/M.KOMINFO/12/2011 tentang Kode Etik Pegawai Kemkominfo (E)
15. PM Kominfo No 41 Tahun 2014 tentang Pedoman Kehadiran Pegawai Kemkominfo (E)
16. PM Kominfo No 1 Tahun 2017 tentang Pelaksanaan Pemberian Tunkin bagi Pegawai Kemkominfo, yang mengatur pemberian tunkin dan pengurangan tunkin bagi pelanggar kedisiplinan dan kinerja. (E)
17. Maklumat, Standar Pelayanan, Etika Pelayanan Dit. Standardisasi (A)
18. Maklumat, Etika Pelayanan, Hak Kewajiban (SOP ZI), dan Standar Pelayanan pada Dit. Operasi Sumber Daya (A)
19. Maklumat, Etika Pelayanan, dan Standar Pelayanan pada BBPPT (A)
20. SK Hukdis Pegawai (A)
21. Hasil evaluasi ZI 2023 dan bukti dukung tindaklanjutnya (B)
22. Laporan SKP Triwulan I Tahun 2023 (A)</t>
  </si>
  <si>
    <t>Bahwa Ditjen Aptika telah menerapkan penegakan integritas dan nilai etika ke seluruh pegawai, dan diperbaiki secara berkelanjutan sehingga tercipta suasana kerja organisasi yang kondusif yang dapat mendorong kinerja para pegawai secara optimal
1. Laporan Tindak Lanjut Budaya Kerja ASN Kominfo di Lingkungan Ditjen Aptika
2. SKP 2022
3. SKP 2023
4. Tindak lanjut hukuman disiplin 2023
5. Tindak lanjut hukuman disiplin 2022
6. Nota Dinas Monitoring Absensi Elektronik ASN Ditjen Aptika Bulan Januari - April 2023
7. SK KEPUTUSAN HUKUMAN DISIPLIN NOMOR: 286/DJAI.1/KP.06.03/06/2023
8. Nota Dinas Penyampaian Daftar Usulan Penerima Tanda Kehormatan Tahun 2023 di lingkungan Ditjen Aptika
9. Und Peserta Sosialisasi Core Value ASN BerAKHLAK
10. Undangan Persiapan Pembinaan Pegawai Setditjen Aptika
11. Undangan Peserta Bimtek disiplin 13 desember 2022</t>
  </si>
  <si>
    <t xml:space="preserve">Bahwa Penegakan integritas dan nilai etika di Ditjen PPI telah diperbaiki secara berkelanjutan sehingga tercipta suasana kerja organisasi yang kondusif yang dapat mendorong kinerja para pegawai secara optimal melalui :
- Penilaian e-kinerja pegawai 
- Penandatanganan pakta integritas
- Rekap Pemotongan Tunkin
- Penjatuhan SK Disiplin"
- Kode Etik Pegawai 
- Nodin terkait Implementasi BerAKHLAK
</t>
  </si>
  <si>
    <t>Bahwa di Badan Litbang SDM  telah Terdapat kebijakan penegakan integritas dan nilai etika untuk seluruh pegawai dalam organisasi yang dimana Kebijakan penegakan integritas dan nilai etika organisasi telah dipahami oleh seluruh pegawai dan dilaksanakan oleh pegawai dalam pelaksanaan tugas dan fungsinya dalam organisasi. hal ini dibuktikan dengan adanya : 
1. Penerapan hukuman disiplin (E)
2. Adanya tindak lanjut terkait monitoring kinerja pegawai (B)
3. Evaluasi Zona integritas 2022 (E)
4. Kegiatan keagamaan seperti siraman rohani sebelum bulan Ramadhan (C)
5.Pengusulan ASN Berprestasi dan Satyalacana (D)
6. Pengamanan BMN yang dipakai oleh pegawai yang bersangkutan (E)
7. Surat Undangan Sosialisasi Peraturan Pemerintah Nomor 94 Tahun 2021 (E) 
8. LHE RB dan ZI Tahun 2022 (D)</t>
  </si>
  <si>
    <t>Bahwa penegakan integritas dan nilai etika telah dilaksanakan oleh pegawai dalam pelaksanaan tugas dan fungsinya dalam organisasi dengan pelaksanaan monitoring tingkat kedisiplinan pegawai (pemberian tunkin dan hukuman dinas), dan pendataan kompetensi pegawai namun belum seluruh pegawai menjadi SDM Fungsional dengan penetapan kompetensi tertentu</t>
  </si>
  <si>
    <t>- Bahwa BAKTI telah memiiki kebijakan penegakan integritas, nilai etika, penegakan disiplin, pemberian reward and punishment dan penegakan integritas dalam Permen Kominfo No.3/2018 dan Perdirut No.5/2019
'- Bahwa BAKTI telah melakukan sosialisasi kode etik melalui BAKTI Anti Fraud
- Bahwa berdasarkan dokumen potongan remunerasi telah terdapat praktik penegakan disiplin
'- Bahwa Bakti telah melakukan perbaikan atas aturan kepegawaian (yang didalamnya juga mengatur prilaku). Perdirut BP3TI No. 3 Th 2018 menjadi Perdirut BAKTI No. 5 Tahun 2019. Perubahan ketentuan tersebut tertuang di Pasal 1 Perdirut BAKTI No. 5 tahun 2019.
'- Bahwa Bakti telah memiiliki dan menggunakan aplikasi baik itu E-SKP dan SAP untuk data kepegawaian</t>
  </si>
  <si>
    <r>
      <rPr>
        <rFont val="Arial"/>
        <color rgb="FF000000"/>
        <sz val="12.0"/>
      </rPr>
      <t xml:space="preserve">Setiap posisi dalam organisasi telah diisi oleh SDM sesuai dengan standar kompetensinya dan standar kompetensi telah diperbaiki secara berkelanjutan dan diterapkan dengan baik melalui pelaksanaan bimbingan teknis/pelatihan dalam rangka meningkatkan kompetensi SDM sehingga mendukung pencapaian tujuan organisasi 
</t>
    </r>
    <r>
      <rPr>
        <rFont val="Arial"/>
        <color rgb="FFFF0000"/>
        <sz val="12.0"/>
      </rPr>
      <t xml:space="preserve">1. Nota dinas Karowai ke Satker terkait pengisian pelatihan yang dibutuhkan sesuai standar kompetensi yang dibutuhkan Tahun 2022 (A)
2. Hasil inventarisasi Diklat/pelatihan/bimbingan teknis yang akan dan telah dilaksanakan dalam rangka peningkatan kompetensi SDM Tahun 2022 (A)
3.Laporan Pelaksanaan Tugas penyelenggaraan Bimtek Bidang Keuangan untuk peningkatan kompetensi secara berkelanjutan Tahun 2022 (A) 
4. Satndar Kompetensi Jabatan (A)
5. Pencapaian Nilai Reformasi Birokrasi Tahun 2022 (A)  </t>
    </r>
    <r>
      <rPr>
        <rFont val="Arial"/>
        <color rgb="FF0000FF"/>
        <sz val="12.0"/>
      </rPr>
      <t xml:space="preserve">
6. Notulensi rapat pembahasan standar kompetensi Tahun 2022 (B)
7. Perbaikan SOP Pelaksanaan Asesmen untuk promosi yang dilakuan Tahun 2022 (B) 
8. Keputusan Menteri tentang Standar Kompetensi (C)
9. SOP pelaksanaan asesmen pegawai (C)
</t>
    </r>
    <r>
      <rPr>
        <rFont val="Arial"/>
        <color rgb="FFFF0000"/>
        <sz val="12.0"/>
      </rPr>
      <t xml:space="preserve">10. Pengumuman rekrutmen jabatan Pimpinan Tinggi atau jabatan Administrasi Tahun 2022 (C) </t>
    </r>
    <r>
      <rPr>
        <rFont val="Arial"/>
        <color rgb="FF0000FF"/>
        <sz val="12.0"/>
      </rPr>
      <t xml:space="preserve">
11. Nota Dinas Penyampaian Standar Kompentensi/ Laporan hasil Sosialisasi Penyampaian Standar Kompetensi (D)
12. Peraturan Menteri Kominfo Nomor 9 Tahun 2021 tentang Kamus Kompetensi Teknis bidang Komunikasi dan informatika (E)
13. Standar kompetensi Jabatan Pimpinan Tinggi di Lingkungan Kementerian Kominfo. Standar kompetensi jabatan telah mencakup Kompetensi manajerial, sosial kultural, dan teknis (E)</t>
    </r>
  </si>
  <si>
    <t>Standar kompetensi organisasi dan implementasi/pemanfaatannya telah dievaluasi untuk mengetahui efektivitasnya, dibuktikan dengan Laporan Evaluasi Analisis Jabatan dan Analisis Beban Kerja di Lingkupan Inspektorat Jenderal (B)
List Dokumen Pendukung;
- SOP Pendataan Kompetensi Inspektorat Jenderal (C)
- SOP Peningkatan dan Pengembangan Kompetensi Pegawai Inspektorat Jenderal (C)
- Standar Kompetensi Pelatihan HDCP (C)
- GAP Kompetensi (C)
- Diskrepansi (C)
- aplikasi SIMJAB (D)
- nota dinas penyampaian Standar Kompetensi Pelatihan HCDP (D)
- sosialisasi Kepmen Kominfo Nomor 63 Tahun 2022 melalui JDIH Kominfo (D)
- Kepmen Kominfo Nomor 63 Tahun 2022 untuk Standar Kompetensi JPT (E) 
- Kamus Kompetensi Jabatan Pelaksana Inspektorat Jenderal (E) 
- Peta Jabatan (E)
-  Dokumen Anjab ABK (E)
- Standar Kompetensi Pelatihan HCDP (E)</t>
  </si>
  <si>
    <t>Bahwa Ditjen SDPPI telah menerapkan standar kompetensi dan telah berhasil meningkatkan kinerja yang memberikan dampak bagi pencapaian tujuan organisasi, Keberhasilan pencapaian kinerja organisasi dapat dihubungkan dengan kompetensi SDM-nya, dan setiap posisi dalam organisasi telah diisi oleh SDM sesuai dengan standar kompetensinya
Bukti dukung :
1. Pemetaan Kompetensi (C)
2. usulan pengembangan kompetensi tahun 2023 (A)
3. Laporan Hasil Pelatihan dan pengembangan kompetensi dan pengembangan pendidikan (B)
4. Standar kompetensi pegawai Tahun 2022 (C)
5. Dokumen Pemetaan Jabatan (C)
6. Pembinaan Jabatan Fungsional (D)
7. Sertifikat telah mengikuti Pelatihan MR tahun 2022 (C)
8. Laporan Bimtek Petugas GLP &amp; Komitmen TA 2022 (C)
9.Perpres 7 Tahun 2016 (E)
10. PP No 50 Tahun 2018 (E)
11. Permenkominfo No. 9 Tahun 2021 tentang Kamus Kompetensi Teknis Bidang Komunikasi dan Informatika (E)
12. Anjab Jabatan Pelaksana update (B)
13. Usulan PPPK untuk tahun 2023 (A)
14. Usulan CPNS tahun 2023 (A)
15. Data pembinaan kompetensi pegawai tahun 2020-2023 (A)</t>
  </si>
  <si>
    <t>Bahwa Ditjen Aptika telah mengimplementasikan standar kompetensi dalam pengelolaan SDM organisasi dan telah diperbaiki secara berkelanjutan dan secara optimal mampu mendukung pencapaian tujuan organisasi
1. Keputusan Menteri Komunikasi Dan Informatika Republik Indonesia Nomor 63 Tahun 2022 Tentang Standar Kompetensi Jabatan Pimpinan Tinggi Di Lingkungan Kementerian Komunikasi Dan Informatika
2. Tabel Kesesuaian Jabatan Direktur
3. Kompetensi Jabatan Tinggi Pratama Direktur
4. Informasi Jabatan Direktur
5. Kompetensi Jabatan Tinggi Pratama Direktur
6. Standar Kompetensi Jabatan Pimpinan Tinggi Pratama 
7. SK TIM
8. Laporan Kelompok Assessment Pegawai Ditjen Aptika
9. Hasil Assessment</t>
  </si>
  <si>
    <r>
      <rPr>
        <rFont val="Arial"/>
        <color rgb="FF000000"/>
        <sz val="12.0"/>
      </rPr>
      <t xml:space="preserve">Bahwa Standar kompetensi telah diimplementasikan/dimanfaatkan dalam pengelolaan/pembinaan SDM di lingkungan Ditjen PPI
- Rekrutmen JPT eselon I dan 2
- Dokumen identifikasi kebutuhan Diklat
- Dokumen Penetapan pelaksanaan Diklat Kementerian Kominfo 
- Laporan Rapat Penyusunan Tabel Rancang Bangun dan Naskah Akademik Kurikulum Pendidikan dan Pelatihan Dasar – Dasar Teknis Bidang Pos, Telekomunikasi, dan Penyiaran
- Laporan kegiatan penyusunan Standar Kompetensi
- permenpan RB No. 38/2017  ttg standar kompetensi Jabatan ASN
- telah disusun draf final standar kompetensi teknis JPT Ditjen PPI
- kamus kompetensi telah ditetapkan Permen No 9 Tahun 2021 tentang Kamus Kompetensi di Lingkungan Kominfo
- Pemetaan Nomenklatur Jabatan Pelaksana dan Pembahasan Manajemen Jabatan Pelaksana"
- Surat Pemanggilan Tes CAT 
- Pemanggilan Uji Kompetensi Kenaikan Jenjang JF Analis Kebijakan
- SK Penetapan Jabatan Dirjen PPI
- Berita Acara Pelantikan Dirjen PPI
- Pakta Integritas </t>
    </r>
    <r>
      <rPr>
        <rFont val="Arial"/>
        <color rgb="FFFF0000"/>
        <sz val="12.0"/>
      </rPr>
      <t xml:space="preserve">
</t>
    </r>
    <r>
      <rPr>
        <rFont val="Arial"/>
        <color rgb="FF000000"/>
        <sz val="12.0"/>
      </rPr>
      <t xml:space="preserve">
</t>
    </r>
  </si>
  <si>
    <t>Bahwa di Badan Litbang SDM  telah terdapat Kompetensi yang jelas untuk seluruh jabatan dan posisi dalam organisasi dan Standar kompetensi telah dikomunikasikan dan dipahami oleh seluruh pegawai organisasi yang dimana standar komoetnesi tersebut telah diimplementasikan/dimanfaatkan dalam pengelolaan/pembinaan SDM organisasi, yang dibuktikan dalam
1. Standar Kompetensi Jabatan di Lingkugnan Badan Litbang SDM (C)</t>
  </si>
  <si>
    <t xml:space="preserve">Bahwa terdapat Standar Kompetensi Jabatan Struktural, Fungsioanal, dan Pelaksana yang dimanfaatkan untuk menganalisis kompetensi, rekrutmen dan pengembangan SDM dan dasar pertimbangan pengisian jabatan serta dokumen tersebut telah diyakini implementasinya sesuai dengan ketentuan yaitu Stankom JPT Madya yang telah ditte Eselon 1 Dirjen IKP atas ketentuan dalam Kepmenkominfo no. 63 tahun 2022 ttg Stankom JPT </t>
  </si>
  <si>
    <t>- Bahwa BAKTI telah melakukan kompetansi SDM sesuai standar dan job desk dalam organisasi maupun pegawai di BAKTI
'- Bahwa Bakti telah melakukan pemberitahuan uraian dan standar tugas melalui email ke pegawai BAKTI dan pelahitan sesuai dengan kompetensi pegawai.
'- Bahwa Bakti telah melakukan pengembangan SDM yaitu sertifikasi auditor di SPI
'- Bahwa BAKTI telah melakukan evaluasi atas implementasi kinerja sudah dilakukan secara berkala menggunakan IACM
'- Bahwa Bakti telah melakukan Keberhasilan pencapaian kinerja melalui aplikasi E-SKP pada portal Kominfo</t>
  </si>
  <si>
    <r>
      <rPr>
        <rFont val="Arial"/>
        <color rgb="FF000000"/>
        <sz val="12.0"/>
      </rPr>
      <t xml:space="preserve">Setjen telah menerapkan manajemen kinerja, majamemen pengelolaan BMN, majamemen SDM sehingga dapat meningkatkan efektifitas dan efisiensi kinerja. dibuktikan dengan capaian yang diperoleh diantaranya
</t>
    </r>
    <r>
      <rPr>
        <rFont val="Arial"/>
        <color rgb="FFFF0000"/>
        <sz val="12.0"/>
      </rPr>
      <t xml:space="preserve">1. Hasil Penilaian RB Tahun 2022 (A) </t>
    </r>
    <r>
      <rPr>
        <rFont val="Arial"/>
        <color rgb="FF0000FF"/>
        <sz val="12.0"/>
      </rPr>
      <t xml:space="preserve">
2 Penghargaan (Piagam/Sertifikat) atas capaian e-Klinik (A)
3. Pengharagaan atas Capaian Opini WTP Kemkominfo 5 Tahun berturut (A)
</t>
    </r>
    <r>
      <rPr>
        <rFont val="Arial"/>
        <color rgb="FFFF0000"/>
        <sz val="12.0"/>
      </rPr>
      <t>4.Capaian Nilai Kinerja Anggaran Tahun 2022 (A)
5. Nodin ke Satker mengenai permohonan masukan untuk Revisi Pedoman PA Tahun 2023 (B)
6. Rekapitulasi Capaian SKP Tahun 2022 (B)
7. Laporan Kinerja Interm Kominfo Tahun 2022 (B)
8. Hasil survey kepuasan layanan umum Tahun 2022 (B)
9. Hasil survey kepuasan layanan kepegawaian Tahun 2022 (B)
10. Hasil survey kepuasan layanan BMN Tahun 2022 (B)
11. Hasil survey kepuasan layanan keuangan Tahun 2022 (B)</t>
    </r>
    <r>
      <rPr>
        <rFont val="Arial"/>
        <color rgb="FF0000FF"/>
        <sz val="12.0"/>
      </rPr>
      <t xml:space="preserve">
12. Screenshot Absensi Pegawai (C)
13. Nota Dinas izin penyelenggaraan kegiatan (C)
14. Surat Perintah Membayar kepada pihak ketiga (C)
</t>
    </r>
    <r>
      <rPr>
        <rFont val="Arial"/>
        <color rgb="FFFF0000"/>
        <sz val="12.0"/>
      </rPr>
      <t>15. Piagam Manajemen Resiko Setjen Tahun 2022 (C) 
16. Pakta Integritas Sekjen tahun 2022 (C)
17. Undangan Rapim Kemkominfo Tahun 2023 (D)
18. Foto Rapim Tahun 2023 (D)
19. Berita Acara Triratit atas penyusunan LK dan BMN yang ditandatangani Sekjen/Pimpinan tahun 2022 (D)
20. SK Pengelola Keuangan (KPA, PPK, PP SPM) di lingkungan Kemkominfo Tahun 2023 (D)</t>
    </r>
    <r>
      <rPr>
        <rFont val="Arial"/>
        <color rgb="FF0000FF"/>
        <sz val="12.0"/>
      </rPr>
      <t xml:space="preserve">
</t>
    </r>
    <r>
      <rPr>
        <rFont val="Arial"/>
        <color rgb="FFFF0000"/>
        <sz val="12.0"/>
      </rPr>
      <t>21. Dokumentasi Pembahasan Rapat Perjanjian Kinerja Tahun 2023 dengan Ibu Sekretaris Jenderal (D)</t>
    </r>
    <r>
      <rPr>
        <rFont val="Arial"/>
        <color rgb="FF0000FF"/>
        <sz val="12.0"/>
      </rPr>
      <t xml:space="preserve">
22. Foto pelaksanaan upacara bendera (D)
</t>
    </r>
    <r>
      <rPr>
        <rFont val="Arial"/>
        <color rgb="FFFF0000"/>
        <sz val="12.0"/>
      </rPr>
      <t>23. Nodin Permohonan Tandatangan Pedoman Pelaksanaan Anggaran Tahun 2023 (E)
24. Nodin permohonan tanda tangan SK Pengeola Keuangan (KPA, PPK, PP SPM) di lingkungan Kemkominfo Tahun 2022 (E) 
25. Nodin Permohonan tanda tangan Kebijakan Akuntansi Kementerian Kominfo Tahun 2022 (E)
26. Pedoman Pelaksanaan Anggaran Kementerian Kominfo Tahun 2023 (E)
27. SK Pengeola Keuangan (KPA, PPK, PP SPM) di lingkungan Kemkominfo Tahun 2023 (E) 
28.  Kebijakan Akuntansi Kementerian Kominfo Tahun 2022 (E)</t>
    </r>
    <r>
      <rPr>
        <rFont val="Arial"/>
        <color rgb="FF0000FF"/>
        <sz val="12.0"/>
      </rPr>
      <t xml:space="preserve">
29. Permenkominfo Nomor 13 Tahun 2015 tentang Pedoman Penyelenggaraan Sistem Akuntabilitas Kinerja Instansi Pemerintah pada Kementerian Kominfo (E)
30. Pedoman Menteri Kominfo Nomor 6 Tahun 2017 tentang Manajemen Risiko di Lingkungan Kementerian Kominfo (E)</t>
    </r>
  </si>
  <si>
    <t>Pimpinan organisasi melaksanakan evaluasi berkala dibuktikan dengan adanya Laporan Monev RKT (B). Hal ini untuk mendorong berjalannya kebijakan pengendalian intern dalam upaya mengatasi permasalahan yang berkaitan dengan lingkungan pengendalian yang kondusif.
List Dokumen Pendukung;
- Dokumen LAKIP (Laporan Kinerja Pemerintah) tahun 2022 (C)
- Laporan Kegiatan Inspektorat Jenderal 2021 (E - D)</t>
  </si>
  <si>
    <t>Bahwa Ditjen SDPPI telah menerapkan  manajemen kinerja, pengelolaan keuangan, manajemen SDM, serta manajemen risiko dapat meningkatkan efektivitas dan efisiensi kinerja seluruh level pimpinan dan pegawai sehingga capaian kinerja memenuhi target sesuai Laporan Kinerja Tahun 2022
Bukti dukung :
1. Bahan Rapat Pimpinan mingguan (B)
2. Laporan Capaian Kinerja Ditjen SDPPI (LAKIP, SAKIP, PK, PANTAU) (A)
3. Laporan Penilaian Pengendalian Intern Pelaporan Keuangan (PIPK) (A)
4. MR Eselon I dan Laporan Evaluasi MR (B)
5. Sosialisasi ZI dan SPI di lingkungan Ditjen SDPPI (C)
6. Sosialisasi Peningkatan Pelayanan Publik dan Efektivitas Sistem Pengendalian Internal (C)
7. Perdirjen SDPPI No 06 Tahun 2021 tentang Juknis Pelaksanaan Anggaran di lingkungan Ditjen SDPPI (E) 
8. Draft Pedoman Menkominfo tentang Evaluasi SAKIP di lingkungan Kemkominfo (E)
9. SOP LAKIP (E)
10. Pemantauan MR TW I Ditjen SDPPI (A)</t>
  </si>
  <si>
    <t>Bahwa Ditjen Aptika telah menerapkan manajemen kinerja pengelolaan keuangan, manajemen SDM, serta manajemen risiko dapat meningkatkan efektivitas dan efisiensi kinerja seluruh level pimpinan dan pegawai
1. SOP Monev Prioritas
2. SOP Kepegawaian
3. Risk Register
4. Laporan Monitoring Capaian Anggaran dan Kinerja
5. Laporan Pemantauan Manajemen Risiko TWI
6. Laporan Kinerja TA 2022
7. Piagam MR
8. Form I-IV MR</t>
  </si>
  <si>
    <r>
      <rPr>
        <rFont val="Arial"/>
        <color theme="1"/>
        <sz val="12.0"/>
      </rPr>
      <t>Bahwa Penerapan manajemen kinerja, pengelolaan keuangan, manajemen SDM, serta manajemen risiko dapat meningkatkan efektivitas dan efisiensi kinerja seluruh level pimpinan dan pegawai di lingkungan Ditjen PPI:
 - Monitoring kinerja pegawai melalui aplikasi e-Kinerja secara berkala
 - SOP
 - Rapat monev permasalahan pegawai 
 - Menerapkan MR di lingkungan Ditjen PPI. (</t>
    </r>
    <r>
      <rPr>
        <rFont val="Arial"/>
        <color rgb="FFFF0000"/>
        <sz val="12.0"/>
      </rPr>
      <t>piagam MR, Dokumen Manajemen Risiko, Laporan Monitoring dan Evaluasi MR Triwulanan)</t>
    </r>
    <r>
      <rPr>
        <rFont val="Arial"/>
        <color theme="1"/>
        <sz val="12.0"/>
      </rPr>
      <t xml:space="preserve">
 - Daftar hadir pimpinan dan nilai SKP pimpinan. (diupload SKP Tahun 2022 yang sudah ditandatangan)
 - Rapat manajemen SDM dan Organisasi melalui fisik maupun daring
 - Interaksi Informal (WA) melalui grup pengelola kepegawaian 
 - Surat Izin Kegiatan
</t>
    </r>
    <r>
      <rPr>
        <rFont val="Arial"/>
        <color rgb="FFFF0000"/>
        <sz val="12.0"/>
      </rPr>
      <t xml:space="preserve"> </t>
    </r>
    <r>
      <rPr>
        <rFont val="Arial"/>
        <color theme="1"/>
        <sz val="12.0"/>
      </rPr>
      <t>- Nota Dinas Validasi Proses Bisnis SOP dan Tugas Fungsi Ditjen PPI</t>
    </r>
    <r>
      <rPr>
        <rFont val="Arial"/>
        <color rgb="FFFF0000"/>
        <sz val="12.0"/>
      </rPr>
      <t xml:space="preserve">
</t>
    </r>
    <r>
      <rPr>
        <rFont val="Arial"/>
        <color theme="1"/>
        <sz val="12.0"/>
      </rPr>
      <t xml:space="preserve"> - Penilaian Kinerja PPNPN Ditjen PPI Triwulan I 2023</t>
    </r>
    <r>
      <rPr>
        <rFont val="Arial"/>
        <color rgb="FFFF0000"/>
        <sz val="12.0"/>
      </rPr>
      <t xml:space="preserve">
 - Surat Undangan Rapat IKPA 
</t>
    </r>
    <r>
      <rPr>
        <rFont val="Arial"/>
        <color theme="1"/>
        <sz val="12.0"/>
      </rPr>
      <t xml:space="preserve"> - Surat Undangan Rapat Penyusunan ABK JF Analis Kebijakan dan Pranata Komputer</t>
    </r>
    <r>
      <rPr>
        <rFont val="Arial"/>
        <color rgb="FFFF0000"/>
        <sz val="12.0"/>
      </rPr>
      <t xml:space="preserve">
 - Kegiatan Evaluasi Kebutuhan Persediaan di Lingkungan Ditjen PPI
 - Rapat RKBMN
 - Rapim Ditjen PPI secara berkala</t>
    </r>
  </si>
  <si>
    <t>Bahwa di Badan Litbang SDM telah terdapat implementasi  Pimpinan organisasi terlibat dalam penyusunan dan penetapkan kebijakan yang mendukung penciptaan lingkungan kerja yang kondusif untuk pencapaian tujuan organisasi serta Pimpinan organisasi terlibat dalam penyusunan dan penetapkan kebijakan yang mendukung penciptaan lingkungan kerja yang kondusif untuk pencapaian tujuan organisasi serta memahami substansi kebijakan pengendalian intern dan mendorong penerapan kebijakan dalam berbagai interaksi kepada jajaran di bawahnya dan melaksanakan kebijakan dan didukung dengan SDM yang bekerja sesuai dengan kebijakan yang ditetapkan
 Hal ini dibuktikan dengan. 
'- Pimpinan organisasi menerapkan manajemen berbasis kinerja dengan melakukan monitoring pengisian SKP pegawai. (D)
- Piagam Kinerja 2023 (C)
- Piagam Komitmen RB (C)
- SK Nomor 03 Tahun 2022 tentang Penunjukan Susunan Kelompok Kerja Satuan Kerja Pusat (C)</t>
  </si>
  <si>
    <t>Bahwa terdapat kegiatan dan dokumen yang menunjukkan adanya evaluasi berkala yang ditindaklanjuti melalui rapat koordinasi atau rapat Eselon I dan II yang diikuti oleh perwakilan dari pejabat dan pegawai Ditjen IKP untuk mendapatkan masukan terhadap program kegiatan yang telah dan akan dilaksanakan</t>
  </si>
  <si>
    <t>- Bahwa BAKTI telah membuat Kepdirut dan Permen Kominfo terkait ketentuan dan tata cara penilaian kinerja mulai dari pejabat sampai pegawai untuk pencapaian tujuan organisasi.
'- Bahwa BAKTI telah memenuhi sosialisasi aturan dilakukan dengan menggunakan portal JDIH.
'- Bahwa BAKTI telah melibatkan Management Risiko dalam BOD meeting
'- Bahwa BAKTI telah melakukan rapat rutin melalui Management Risiko dengan seluruh Direktorat untuk menangani residual risk.
'- Bahwa BAKTI telah melakukan meeting secara rutin melalui BOD meeting melibatkan seluruh direktorat untuk evaluasi kinerja.</t>
  </si>
  <si>
    <r>
      <rPr>
        <rFont val="Arial"/>
        <color rgb="FF000000"/>
        <sz val="12.0"/>
      </rPr>
      <t>Bahwa Kementerian Kominfo telah mengalokasikan sumber daya secara memadai untuk penerapan manajemen risiko pada tingkat operasional unit kerja dan strategis unit kerja dengan menganggarkan dana implementasi manajemen risiko pada tingkat operasional unit kerja seperti rapat terkait manajemen risiko, identifikasi dan analisis risiko, penyusunan profil risiko, implementasi RTP, kegiatan monev rencana kerja/DIPA dan dalam implementasi manajemen risiko tidak terkendala kekurangan dana ditingkat operasional dan strategis unit kerja.</t>
    </r>
    <r>
      <rPr>
        <rFont val="Arial"/>
        <color rgb="FF0000FF"/>
        <sz val="12.0"/>
      </rPr>
      <t xml:space="preserve">
Dengan bukti dukung:
1. RKA /KL Tahun 2023 terkait dengan Rincian Output/ Komponen Manajemen Risiko (E-C)
2. Screenshot atau exercise Matriks Renja terkait Rincian Output/ komponen Manajemen Risiko Tahun 2023 (E-C)
3. Laporan tugas terkait pemantauan/ hasil asistensi Manajemen Risiko (E-C)
4. SK UPR (Eselon II, Eselon I, dan Kementerian) dan perlu ditambahkan dengan sertifikat pelatihan (E-C)
5. Dokumen Manajemen Risiko (Profil dan Peta risiko) (E-C)</t>
    </r>
  </si>
  <si>
    <t>Bahwa Kementerian Kominfo telah mengalokasikan sumber daya secara memadai untuk penerapan manajemen risiko pada tingkat operasional unit kerja dan strategis unit kerja dengan menganggarkan dana implementasi manajemen risiko pada tingkat operasional unit kerja seperti rapat terkait manajemen risiko, identifikasi dan analisis risiko, penyusunan profil risiko, implementasi RTP, kegiatan monev rencana kerja/DIPA dan dalam implementasi manajemen risiko tidak terkendala kekurangan dana ditingkat operasional dan strategis unit kerja.
Dengan bukti dukung:
1. RKA /KL Tahun 2023 terkait dengan Rincian Output/ Komponen Manajemen Risiko (E-C)
2. Screenshot atau exercise Matriks Renja terkait Rincian Output/ komponen Manajemen Risiko Tahun 2023 (E-C)
3. Laporan tugas terkait pemantauan/ hasil asistensi Manajemen Risiko (E-C)
4. SK UPR (Eselon II, Eselon I, dan Kementerian) dan perlu ditambahkan dengan sertifikat pelatihan (E-C)
5. Dokumen Manajemen Risiko (Profil dan Peta risiko) (E-C)</t>
  </si>
  <si>
    <r>
      <rPr>
        <rFont val="Arial"/>
        <color theme="1"/>
        <sz val="12.0"/>
      </rPr>
      <t xml:space="preserve">Bahwa Kementerian Kominfo telah mengalokasikan sumber daya secara memadai untuk penerapan manajemen risiko pada tingkat operasional unit kerja dan strategis unit kerja dengan menganggarkan dana implementasi manajemen risiko pada tingkat operasional unit kerja seperti rapat terkait manajemen risiko, identifikasi dan analisis risiko, penyusunan profil risiko, implementasi RTP, kegiatan monev rencana kerja/DIPA dan dalam implementasi manajemen risiko tidak terkendala kekurangan dana ditingkat operasional dan strategis unit kerja.
 Dengan bukti dukung:
</t>
    </r>
    <r>
      <rPr>
        <rFont val="Arial"/>
        <color rgb="FFFF0000"/>
        <sz val="12.0"/>
      </rPr>
      <t xml:space="preserve"> 1. RKA /KL Tahun 2023 terkait dengan Rincian Output/ Komponen Manajemen Risiko (E-C)
 2. Screenshot atau exercise Matriks Renja terkait Rincian Output/ komponen Manajemen Risiko Tahun 2023 (E-C)
 </t>
    </r>
    <r>
      <rPr>
        <rFont val="Arial"/>
        <color rgb="FF4A86E8"/>
        <sz val="12.0"/>
      </rPr>
      <t>3. Laporan tugas terkait pemantauan/ hasil asistensi Manajemen Risiko (E-C)</t>
    </r>
    <r>
      <rPr>
        <rFont val="Arial"/>
        <color rgb="FFFF0000"/>
        <sz val="12.0"/>
      </rPr>
      <t xml:space="preserve">
</t>
    </r>
    <r>
      <rPr>
        <rFont val="Arial"/>
        <color rgb="FF4A86E8"/>
        <sz val="12.0"/>
      </rPr>
      <t xml:space="preserve"> 4. SK UPR (Eselon II, Eselon I,</t>
    </r>
    <r>
      <rPr>
        <rFont val="Arial"/>
        <color rgb="FFFF0000"/>
        <sz val="12.0"/>
      </rPr>
      <t xml:space="preserve"> dan Kementerian) </t>
    </r>
    <r>
      <rPr>
        <rFont val="Arial"/>
        <color rgb="FF4A86E8"/>
        <sz val="12.0"/>
      </rPr>
      <t>dan perlu ditambahkan dengan sertifikat pelatihan (E-C)</t>
    </r>
    <r>
      <rPr>
        <rFont val="Arial"/>
        <color rgb="FFFF0000"/>
        <sz val="12.0"/>
      </rPr>
      <t xml:space="preserve">
</t>
    </r>
    <r>
      <rPr>
        <rFont val="Arial"/>
        <color rgb="FF4A86E8"/>
        <sz val="12.0"/>
      </rPr>
      <t xml:space="preserve"> 5. Dokumen Manajemen Risiko (Profil dan Peta risiko) (E-C)</t>
    </r>
  </si>
  <si>
    <t>Bahwa Ditjen Aptika telah mengalokasikan sumber daya secara memadai untuk penerapan manajemen risiko pada tingkat operasional unit kerja dan strategis unit kerja yang sudah dijabarkan pada dokumen perencanaan
Dengan bukti dukung:
1. RKA /KL Tahun 2023 terkait dengan Rincian Output/ Komponen Manajemen Risiko
2. Screenshot atau exercise Matriks Renja terkait Rincian Output/ komponen Manajemen Risiko Tahun 2023
3. Laporan tugas terkait pemantauan/ hasil asistemsi Manajemen Risiko
4. SK UPR (Eselon II, Eselon I, dan Kementerian) dan perlu ditambahkan dengan sertifikat pelatihan
5. Dokumen Manajemen Risiko (Profil dan Peta risiko)</t>
  </si>
  <si>
    <t xml:space="preserve">Bahwa Kementerian Kominfo telah mengalokasikan sumber daya secara memadai untuk penerapan manajemen risiko pada tingkat operasional unit kerja dan strategis unit kerja dengan menganggarkan dana implementasi manajemen risiko pada tingkat operasional unit kerja seperti rapat terkait manajemen risiko, identifikasi dan analisis risiko, penyusunan profil risiko, implementasi RTP, kegiatan monev rencana kerja/DIPA dan dalam implementasi manajemen risiko tidak terkendala kekurangan dana ditingkat operasional dan strategis unit kerja.
Dengan bukti dukung:
1. RKA /KL Tahun 2023 terkait dengan Rincian Output/ Komponen Manajemen Risiko (E-C)
2. Screenshot atau exercise Matriks Renja terkait Rincian Output/ komponen Manajemen Risiko Tahun 2023 (E-C)
3. Laporan tugas terkait pemantauan/ hasil asistensi Manajemen Risiko (E-C)
4. SK UPR (Eselon II, Eselon I, dan Kementerian) dan perlu ditambahkan dengan sertifikat pelatihan (E-C)
5. Dokumen Manajemen Risiko (Profil dan Peta risiko) (E-C) </t>
  </si>
  <si>
    <r>
      <rPr>
        <rFont val="Arial"/>
        <color rgb="FF434343"/>
        <sz val="12.0"/>
      </rPr>
      <t xml:space="preserve">Bahwa seluruh pengambilan keputusan operasional unit kerja di Kementerian Kominfo telah mempertimbangkan risiko. Hal tersebut berawal dari informasi risiko dalam peta risiko yang dihasilkan kemudian digunakan untuk menyusun rencana/mitigasi tindak pengendalian dan melakukan rencana aksi untuk mengurangi risiko yang mungkin terjadi.
</t>
    </r>
    <r>
      <rPr>
        <rFont val="Arial"/>
        <color rgb="FF0000FF"/>
        <sz val="12.0"/>
      </rPr>
      <t>Dengan bukti dukung:
1. TOR Satuan Kerja atau level eselon II terkait Output Manajemen Risiko pada Renja Tahun 2023.(E-D)
2. Dokumen MR (Piagam risiko, SK UPR, Formulir 1-4) yang sudah ditandatangani oleh pimpinan (E-D)</t>
    </r>
  </si>
  <si>
    <t>Bahwa seluruh pengambilan keputusan operasional unit kerja di Kementerian Kominfo telah mempertimbangkan risiko. Hal tersebut berawal dari informasi risiko dalam peta risiko yang dihasilkan kemudian digunakan untuk menyusun rencana/mitigasi tindak pengendalian dan melakukan rencana aksi untuk mengurangi risiko yang mungkin terjadi.
Dengan bukti dukung:
1. TOR Satuan Kerja atau level eselon II terkait Output Manajemen Risiko pada Renja Tahun 2023 (E-D)
2. Dokumen MR (Piagam risiko, SK UPR, Formulir 1-4) yang sudah ditandatangani oleh pimpinan (E-D)
3. Dokumen RKT 2023
4. Laporan Evaluasi Pelaksanaan MR 2022</t>
  </si>
  <si>
    <r>
      <rPr>
        <rFont val="Arial"/>
        <color theme="1"/>
        <sz val="12.0"/>
      </rPr>
      <t xml:space="preserve">Bahwa seluruh pengambilan keputusan operasional unit kerja di Kementerian Kominfo telah mempertimbangkan risiko. Hal tersebut berawal dari informasi risiko dalam peta risiko yang dihasilkan kemudian digunakan untuk menyusun rencana/mitigasi tindak pengendalian dan melakukan rencana aksi untuk mengurangi risiko yang mungkin terjadi.
 Dengan bukti dukung:
</t>
    </r>
    <r>
      <rPr>
        <rFont val="Arial"/>
        <color rgb="FF4A86E8"/>
        <sz val="12.0"/>
      </rPr>
      <t xml:space="preserve"> 1. TOR Satuan Kerja atau level eselon II terkait Output Manajemen Risiko pada Renja Tahun 2023.(E-D)
 2. Dokumen MR (Piagam risiko, SK UPR, Formulir 1-4) yang sudah ditandatangani oleh pimpinan (E-D)</t>
    </r>
  </si>
  <si>
    <t>Bahwa seluruh pengambilan keputusan operasional Ditjen Aptika telah mempertimbangkan risiko. Hal tersebut berawal dari informasi risiko dalam peta risiko yang dihasilkan kemudian digunakan untuk menyusun rencana/mitigasi tindak pengendalian dan melakukan rencana aksi untuk mengurangi risiko yang mungkin terjadi.
Dengan bukti dukung:
1. TOR Satuan Kerja atau level eselon II terkait Output Manajemen Risiko pada Renja Tahun 2023.
2. Dokumen MR (Piagam risiko, SK UPR, Formulir 1-4) yang sudah ditandatangani oleh pimpinan.</t>
  </si>
  <si>
    <t>Bahwa seluruh pengambilan keputusan operasional unit kerja di Kementerian Kominfo telah mempertimbangkan risiko. Hal tersebut berawal dari informasi risiko dalam peta risiko yang dihasilkan kemudian digunakan untuk menyusun rencana/mitigasi tindak pengendalian dan melakukan rencana aksi untuk mengurangi risiko yang mungkin terjadi.
Dengan bukti dukung:
1. TOR Satuan Kerja atau level eselon II terkait Output Manajemen Risiko pada Renja Tahun 2023.(E-D)
2. Dokumen MR (Piagam risiko, SK UPR, Formulir 1-4) yang sudah ditandatangani oleh pimpinan (E-D)</t>
  </si>
  <si>
    <r>
      <rPr>
        <rFont val="Arial"/>
        <color rgb="FF000000"/>
        <sz val="12.0"/>
      </rPr>
      <t xml:space="preserve">Bahwa seluruh pengambilan keputusan operasional unit kerja di Kementerian Kominfo telah mempertimbangkan risiko. Hal tersebut berawal dari informasi risiko dalam peta risiko yang dihasilkan kemudian digunakan untuk menyusun rencana/mitigasi tindak pengendalian dan melakukan rencana aksi untuk mengurangi risiko yang mungkin terjadi.
Dengan bukti dukung:
</t>
    </r>
    <r>
      <rPr>
        <rFont val="Arial"/>
        <color rgb="FF4A86E8"/>
        <sz val="12.0"/>
      </rPr>
      <t xml:space="preserve">1. TOR Satuan Kerja atau level eselon II terkait Output Manajemen Risiko pada Renja Tahun 2023.(E-D)
2. Dokumen MR (Piagam risiko, SK UPR, Formulir 1-4) yang sudah ditandatangani oleh pimpinan </t>
    </r>
    <r>
      <rPr>
        <rFont val="Arial"/>
        <color rgb="FF000000"/>
        <sz val="12.0"/>
      </rPr>
      <t>(E-D)</t>
    </r>
  </si>
  <si>
    <r>
      <rPr>
        <rFont val="Arial"/>
        <color rgb="FF000000"/>
        <sz val="12.0"/>
      </rPr>
      <t xml:space="preserve">Bahwa kinerja penerapan manajemen risiko di Kementerian Kominfo telah digunakan sebagai dasar penilaian kinerja pada seluruh UPR tingkatan operasional unit kerja dan seluruh UPR tingkatan strategis unit kerja secara memadai. Hal tersebut dibuktikan dengan dicantumkannya penjabaran mengenai Manajemen Risiko yang ada di dalam dokumen ToR Unit Kerja dan Satuan kerja dan adanya komitmen oleh pimpinan untuk menjalankan pakta integritas. </t>
    </r>
    <r>
      <rPr>
        <rFont val="Arial"/>
        <color rgb="FF0000FF"/>
        <sz val="12.0"/>
      </rPr>
      <t xml:space="preserve">
Dengan bukti dukung:
1. Laporan hasil evaluasi Manajemen Risiko terhadap masing-masing UPR (jika ada) (E-D)
2. SKP eselon II dan anggota UPR tahun 2023 (E-D)
3. TOR Satuan kerja terkait rincian output/ komponen Manajemen Risiko pada Rencana Kerja Tahun 2023 (E-D)
4. Piagam Manajemen Risiko (E-D)
5. SK Tim UPR (E-D)</t>
    </r>
  </si>
  <si>
    <t>Bahwa kinerja penerapan manajemen risiko di Kementerian Kominfo telah digunakan sebagai dasar penilaian kinerja pada seluruh UPR tingkatan operasional unit kerja dan seluruh UPR tingkatan strategis unit kerja secara memadai. Hal tersebut dibuktikan dengan dicantumkannya penjabaran mengenai Manajemen Risiko yang ada di dalam dokumen ToR Unit Kerja dan Satuan kerja dan adanya komitmen oleh pimpinan untuk menjalankan pakta integritas. 
Dengan bukti dukung:
1. Laporan hasil evaluasi Manajemen Risiko (E-D)
2. SKP eselon II dan anggota UPR tahun 2023 (E-D)
3. TOR Satuan kerja terkait rincian output/ komponen Manajemen Risiko pada Rencana Kerja Tahun 2023 (E-D)
4. Piagam Manajemen Risiko (E-D)
5. SK Tim UPR (E-D)
6. Pakta Integritas Inspektorat Jendral
7. Dokumen Perjajian Kinerja dan RKT 2023
8. Dokumen Manajemen Risiko TA 2023 (mencakup SK, Piagam dan Lampiran MR)</t>
  </si>
  <si>
    <r>
      <rPr>
        <rFont val="Arial"/>
        <color theme="1"/>
        <sz val="12.0"/>
      </rPr>
      <t xml:space="preserve">Bahwa kinerja penerapan manajemen risiko di Kementerian Kominfo telah digunakan sebagai dasar penilaian kinerja pada seluruh UPR tingkatan operasional unit kerja dan seluruh UPR tingkatan strategis unit kerja secara memadai. Hal tersebut dibuktikan dengan dicantumkannya penjabaran mengenai Manajemen Risiko yang ada di dalam dokumen ToR Unit Kerja dan Satuan kerja dan adanya komitmen oleh pimpinan untuk menjalankan pakta integritas. 
 Dengan bukti dukung:
</t>
    </r>
    <r>
      <rPr>
        <rFont val="Arial"/>
        <color rgb="FF6D9EEB"/>
        <sz val="12.0"/>
      </rPr>
      <t xml:space="preserve"> 1. Laporan hasil evaluasi Manajemen Risiko terhadap masing-masing UPR (jika ada) (E-D)</t>
    </r>
    <r>
      <rPr>
        <rFont val="Arial"/>
        <color rgb="FFFF0000"/>
        <sz val="12.0"/>
      </rPr>
      <t xml:space="preserve">
 2. SKP eselon II dan anggota UPR tahun 2023 (E-D)
</t>
    </r>
    <r>
      <rPr>
        <rFont val="Arial"/>
        <color rgb="FF6D9EEB"/>
        <sz val="12.0"/>
      </rPr>
      <t xml:space="preserve"> 3. TOR Satuan kerja terkait rincian output/ komponen Manajemen Risiko pada Rencana Kerja Tahun 2023 (E-D)
 4. Piagam Manajemen Risiko (E-D)
 5. SK Tim UPR (E-D)</t>
    </r>
  </si>
  <si>
    <t>Bahwa kinerja penerapan manajemen risiko di Ditjen Aptika telah digunakan sebagai dasar penilaian kinerja pada seluruh UPR tingkatan operasional unit kerja dan seluruh UPR tingkatan strategis unit kerja secara memadai. Hal tersebut dibuktikan dengan dicantumkannya penjabaran mengenai Manajemen Risiko yang ada di dalam dokumen ToR Unit Kerja dan Satuan kerja dan adanya komitmen oleh pimpinan untuk menjalankan pakta integritas. 
Dengan bukti dukung:
1. Laporan hasil evaluasi Manajemen Risiko terhadap masing-masing UPR (jika ada)
2. SKP eselon II dan anggota UPR tahun 2023
3. TOR Satuan kerja terkait rincian output/ komponen Manajemen Risiko pada Rencana Kerja Tahun 2023
4. Piagam Manajemen Risiko
5. SK Tim UPR</t>
  </si>
  <si>
    <t>Bahwa kinerja penerapan manajemen risiko di Kementerian Kominfo telah digunakan sebagai dasar penilaian kinerja pada seluruh UPR tingkatan operasional unit kerja dan seluruh UPR tingkatan strategis unit kerja secara memadai. Hal tersebut dibuktikan dengan dicantumkannya penjabaran mengenai Manajemen Risiko yang ada di dalam dokumen ToR Unit Kerja dan Satuan kerja dan adanya komitmen oleh pimpinan untuk menjalankan pakta integritas. 
Dengan bukti dukung:
1. Laporan hasil evaluasi Manajemen Risiko terhadap masing-masing UPR (jika ada) (E-D)
2. SKP eselon II dan anggota UPR tahun 2023 (E-D)
3. TOR Satuan kerja terkait rincian output/ komponen Manajemen Risiko pada Rencana Kerja Tahun 2023 (E-D)
4. Piagam Manajemen Risiko (E-D)
5. SK Tim UPR (E-D)</t>
  </si>
  <si>
    <r>
      <rPr>
        <rFont val="Arial"/>
        <color theme="1"/>
        <sz val="12.0"/>
      </rPr>
      <t xml:space="preserve">Bahwa penyesuaian struktur organisasi di Kementerian Kominfo telah memiliki fleksibilitas dalam rangka mendukung perubahan proses bisnis dan perubahan perencanaan strategis. Perbaikan struktur organisasi didukung teknologi informasi yang terintegrasi untuk mengelola arus data dan informasi dalam menjalankan fungsi-sungsi dalam proses bisnis organisasi yang dibuktikan dengan adanya digitalisasi data kepegawaian melalui aplikasi SIMPATIK yang mendukung perubahan proses bisnis Kementerian menjadi lebih mudah dan cepat.
</t>
    </r>
    <r>
      <rPr>
        <rFont val="Arial"/>
        <color rgb="FF0000FF"/>
        <sz val="12.0"/>
      </rPr>
      <t>Dengan bukti dukung:
1. Perpres No. 22 Tahun 2023 tentang Kementerian Kominfo (E-A)
2. Peraturan Menteri Kominfo No. 12 Tahun 2021  (E)
3. Draf SOTK Kementerian Kominfo yang terbaru  (E-A)
4. Peraturan Menteri No. 3 Tahun 2018 terkait BLU BAKTI  (E)
5. Laporan pembahasan naskah akademik dan proses bisnis yang baru (A)
6. Screenshot aplikasi SIMPATIK untuk perhitungan kenaikan pangkat pegawai (E-A)
7. Screenshot aplikasi APIK (E-A)
8. Rekap Presensi Pegawai untuk perhitungan Tunjangan Kinerja dan Uang Makan dari aplikasi APIK (E-A)
9. Screenshot aplikasi SIMAYA (E-A)</t>
    </r>
  </si>
  <si>
    <t xml:space="preserve">Bahwa penyesuaian struktur organisasi di Kementerian Kominfo telah memiliki fleksibilitas dalam rangka mendukung perubahan proses bisnis dan perubahan perencanaan strategis. Perbaikan struktur organisasi didukung teknologi informasi yang terintegrasi untuk mengelola arus data dan informasi dalam menjalankan fungsi-sungsi dalam proses bisnis organisasi yang dibuktikan dengan adanya digitalisasi data kepegawaian melalui aplikasi SIMPATIK yang mendukung perubahan proses bisnis Kementerian menjadi lebih mudah dan cepat.
Dengan bukti dukung:
1. Perpres No. 22 Tahun 2023 tentang Kementerian Kominfo (E-A)
2. Peraturan Menteri Kominfo No. 12 Tahun 2021  (E)
3. Draf SOTK Kementerian Kominfo yang terbaru  (E-A)
4. Peraturan Menteri No. 3 Tahun 2018 terkait BLU BAKTI  (E)
5. Laporan pembahasan naskah akademik dan proses bisnis yang baru (A)
6. Screenshot aplikasi SIMPATIK untuk perhitungan kenaikan pangkat pegawai (E-A)
7. Screenshot aplikasi APIK (E-A)
8. Rekap Presensi Pegawai untuk perhitungan Tunjangan Kinerja dan Uang Makan dari aplikasi APIK (E-A)
9. Screenshot aplikasi SIMAYA (E-A)
Selain itu,  Perbaikan atas SOP di Lingkungan Inspektorat Jenderal terus berjalan untuk mendukung Pencapaian Organisasi.
List Dokumen Pendukung;
-  naskah akademik OTK dan evaluasi SOP (B)
- peta jabatan dan Dokumen Anjab ABK (C
- Bukti Pelaksanaan SOP yang sudah dilaksanakan (SOP Peningkatan dan Pengembangan Kompetensi (C)
- Bukti Screenshot Upload Permenkominfo Nomor 12 Tahun 2021 di JDIH (D)
- Evaluasi Kelembagaan Tahun 2020-2021 (D)
- Perpres No 54 Tahun 2015 tentang Kementerian Komunikasi dan Informatika  (E)
- Peraturan Menteri Kominfo Nomor 12 Tahun 2021 tentang Organisasi dan Tata Kerja di lingkungan Kementerian Kominfo (E)
- SOP Itjen (E)
</t>
  </si>
  <si>
    <t>Bahwa Ditjen SDPPI telah memiliki fleksibilitas untuk menyesuaikan struktur organisasi dalam rangka mendukung perubahan proses bisnis dan perubahan perencanaan strategis dengan dukungan Teknologi Informasi di bidang Kepegawaian seperti SIMPATIK, APIK.
Selain itu dukungan untuk delegasi wewenang/ disposisi dari Pimpinan (aplikasi SIMAYA dan SINERGI)
Bukti dukung :
1. Screenshot aplikasi SIMPATIK untuk perhitungan Kenaikan pangkat pegawai (B)
2. Screenshot aplikasi APIK (B)
3. Screenshot aplikasi SIMAYA (B)
4. Screenshoot Aplikasi Sinergi (B)
6. Laporan Monev Sinergi (B)
7. Hasil Analisis Beban Kerja Pimpinan (SKP Dirjen) (C) 
8. Hasil Analisis Beban Kerja Pegawai (SKP pegawai) (C)
9. Struktur organisasi dan tugas fungsi unit kerja telah di tetapkan melalui Perpres No 54 Tahun 2015 tentang Kementerian Komunikasi dan Informatika (E)
10. Evaluasi Kelembagaan di laksanakan berdasarkan Peraturan PANRB No 20 tahun 2018 tentang Pedoman Evaluasi Kelembagaan Instansi Pemerintah (E)
11.Peraturan Menteri Kominfo Nomor 12 Tahun 2021 tentang Organisasi dan Tata Kerja di lingkungan Kementerian Kominfo (A)
12. Proses Bisnis Ditjen SDPPI</t>
  </si>
  <si>
    <t>Bahwa penyesuaian struktur organisasi di Ditjen Aptika telah memiliki fleksibilitas dalam rangka mendukung perubahan proses bisnis dan perubahan perencanaan strategis.
Dengan bukti dukung:
1. Perpres No. 22 Tahun 2023 tentang Kementerian Kominfo.
2. Peraturan Menteri Kominfo No. 12 Tahun 2021.
3. Draf SOTK Kementerian Kominfo yang terbaru.
4. Laporan pembahasan naskah akademik dan proses bisnis yang baru.
5. Screenshot aplikasi SIMPATIK untuk perhitungan kenaikan pangkat pegawai
6. Screenshot aplikasi APIK
7. Rekap Presensi Pegawai untuk perhitungan Tunjangan Kinerja dan Uang Makan dari aplikasi APIK
8. Screenshot aplikasi SIMAYA</t>
  </si>
  <si>
    <t>Bahwa penyesuaian struktur organisasi di Kementerian Kominfo telah memiliki fleksibilitas dalam rangka mendukung perubahan proses bisnis dan perubahan perencanaan strategis. Perbaikan struktur organisasi didukung teknologi informasi yang terintegrasi untuk mengelola arus data dan informasi dalam menjalankan fungsi-sungsi dalam proses bisnis organisasi yang dibuktikan dengan adanya digitalisasi data kepegawaian melalui aplikasi SIMPATIK yang mendukung perubahan proses bisnis Kementerian menjadi lebih mudah dan cepat.
Dengan bukti dukung:
1. Perpres No. 22 Tahun 2023 tentang Kementerian Kominfo (E-A)
2. Peraturan Menteri Kominfo No. 12 Tahun 2021  (E)
3. Draf SOTK Kementerian Kominfo yang terbaru  (E-A)
4. Peraturan Menteri No. 3 Tahun 2018 terkait BLU BAKTI  (E)
5. Laporan pembahasan naskah akademik dan proses bisnis yang baru (A)
6. Screenshot aplikasi SIMPATIK untuk perhitungan kenaikan pangkat pegawai (E-A)
7. Screenshot aplikasi APIK (E-A)
8. Rekap Presensi Pegawai untuk perhitungan Tunjangan Kinerja dan Uang Makan dari aplikasi APIK (E-A)
9. Screenshot aplikasi SIMAYA (E-A)</t>
  </si>
  <si>
    <r>
      <rPr>
        <rFont val="Arial"/>
        <color theme="1"/>
        <sz val="12.0"/>
      </rPr>
      <t xml:space="preserve">Terdapat tools untuk memonitor pelaksanaan wewenang dan tanggungjawab secara berjenjang dan memberikan kemudahan akses pimpinan untuk memberikan teguran/arahan dan bagi penerima manfaat memberkan feedback dengan kecepatan respon yang tinggi, dibuktikan dengan adanya aplikasi SIMAYA dan e-SKP
</t>
    </r>
    <r>
      <rPr>
        <rFont val="Arial"/>
        <color rgb="FFFF0000"/>
        <sz val="12.0"/>
      </rPr>
      <t>1. screenshot aplikasi SIMAYA lembar disposisi Tahun 2023 ( A)
2. Screenshot aplikasi SIMAYA respon atas lembar disposisi Tahun 2023 ( A)
3. screenshor aplikasi e-SKP Tahun 2022 ( A)
4. SKP pegawai Tahun 2022 ( A)
5. Naskah Akademik Setjen Tahun 2022 (B) 
6. Undangan pembahasan restrukturisasi organisasi Tahun 2022 atau 2023 (B)</t>
    </r>
    <r>
      <rPr>
        <rFont val="Arial"/>
        <color rgb="FF0000FF"/>
        <sz val="12.0"/>
      </rPr>
      <t xml:space="preserve">
7. Lembar disposisi dari SIMAYA (C)
8. Screenshot aplikasi SIMAYA telah selesai dilaksanakan (C)
9. Surat penugasan Tim (contoh kegiatan panitian Penerimaan CPNS) (C)
10. Laporan pertanggungjawaban penugasan Tim (contoh kegiatan panitian Penerimaan CPNS) (C)
11. Nodin Penyampaian Permenkominfo Nomor 12 Tahun 2021 tentang SOTK Kominfo (D)
12. SS JDIH Permenkominfo Nomor 12 Tahun 2021 tentang SOTK Kominfo (D)
13. Laporan Pelaksanaan tugas sosialisasi aplikasi SIMAYA (D)
14. Lembar disposisi (D)
15.Juknis/SOP Pendelegasian wewenang/disposisi melalui manual/simaya (E)
16.  Surat penugasan Tim (contoh kegiatan panitian Penerimaan CPNS) (E)
17. Laporan pertanggungjawaban penugasan Tim (contoh kegiatan panitian Penerimaan CPNS) (E)</t>
    </r>
  </si>
  <si>
    <t>Inspektorat Jenderal Kemkominfo telah melakukan evaluasi atas kebijakan/prosedur terkait pendelegasian wewenang dan tanggung jawab beserta implementasinya. Hal ini dibuktikan dengan;
1. Laporan Plt. Inspektur Jenderal Pak Hary Budiarto September 2022 s.d Mei 2023 (B)
List Dokumen Pendukung;
- Surat Perintah sebagai Pelaksana Harian/Pelaksana Tugas dan Laporan Pelaksana (C)
- SS web JDIH (D)
- Peraturan Menteri Kominfo Nomor 15 Tahun 2016 (E)
- Keputusan Menkominfo Nomor 1947 Tahun 2017 (E) 
- Surat Edaran BKN Nomor 1/SE/I/2021 tentang Kewenangan Pelaksana Harian dan Pelaksana Tugas dalam Aspek Kepegawaian (E)</t>
  </si>
  <si>
    <t>Bahwa Pimpinan Ditjen SDPPI telah memiliki akses untuk melihat proses pendelegasian wewenang dan tanggungjawab yang diberikan dan memonitor pelaksanaan tugas fungsi yang dijalankan untuk menjamin tujuan percepatan yang diharapkan dan mendukung perbaikan secara berkelanjutan dibuktikan dengan adanya aplikasi yang dapat digunakan pimpinan untuk memonitor progres pelaksanaan anggaran dan melakukan pendelegasian wewenang kepada bawahannya, se
Bukti dukung :
1. Excecutive Dashboard (E-Dash) Aplikasi SIREA (A)
2. Aplikasi Sinergi (SS) (C)
3. Aplikasi SIMAYA (SS) (C)
4. Surat Tugas Plt. &amp; Plh (C)
5. Laporan Monev Sinergi (B)
6. Dokumen Evaluasi SOP di Direktorat (B)
7. Bahan Rapat Pimpinan (D)
8. Monev Pelayanan Dit. Ops (B)
9. Laporan Hasil Pelayanan Publik Tahun 2022 (B)
10. PM Kominfo No. 6 Tahun 2018. (E)
11. Perdirjen No.50 Tahun 2018 (E)</t>
  </si>
  <si>
    <t>Bahwa Dirjen Aptika telah memiliki akses untuk melihat proses pendelegasian wewenang dan tanggungjawab yang diberikan dan memonitor pelaksanaan tugas fungsi yang dijalankan untuk menjamin tujuan percepatan yang diharapkan dan mendukung perbaikan secara berkelanjutan.
1. SK Tim
2. Lembar disposisi</t>
  </si>
  <si>
    <t>Bahwa pimpinan organisasi di lingkungan Ditjen PPI memiliki akses untuk melihat proses pendelegasian wewenang dan tanggungjawab yang diberikan dan memonitor pelaksanaan tugas fungsi yang dijalankan untuk menjamin tujuan percepatan yang diharapkan dan mendukung perbaikan secara berkelanjutan
 - SK Menteri Kominfo Nomor 695 Tahun 2020 tentang Penetapan KPA, PPK, PPSPM, Bendahara Penerimaan, dan Bendahara Pengeluaran di Lingkungan Kementerian Komunikasi dan Informatika
 - SK Menteri Kominfo Nomor 574 Tahun 2021 tentang Penetapan KPA, PPK, PPSPM, Bendahara Penerimaan, dan Bendahara Pengeluaran di Lingkungan Kementerian Komunikasi dan Informatika
 - SK KPA Ditjen PPI Nomor 60 Tahun 2022 tentang Penunjukan PPK Digital Broadcasting System Ditjen PPI TA 2022
 - SK Menteri Kominfo Nomor 552 Tahun 2022 tentang Penetapan KPA, PPSPM, Bendahara Penerimaan, dan Bendahara Pengeluaran di Lingkungan Kementerian Komunkasi dan Informatika
 - SK Dirjen PPI Nomor 40 Tahun 2023 tentang Tim Kerja di Lingkungan Direktorat Penyelenggaraan Pos dan Informatika
 - SK Dirjen PPI No 1 Tahun 2023 tentang Tim Penunjukan Staf Kuasa Pengguna Anggaran, Staf Pejabat Pembuat Komitmen, Staf Pejabat Penerbit Surat Perintah Membayar, dan Staf Bendahara Pengeluaran di Lingkungan Ditjen PPI
 - APIK (cuti)
 - e-SKP
 - Aplikasi Simaya
 - SK Dirjen PPI Nomor 167 Tahun 2018 tentang Pemberian Kewenangan Penandatanganan Dok. Bidang PPI
 - Nota Dinas Penyampaian SK Dirjen PPI Nomor 130 Tahun 2020 tentang Perubahan SK Dirjen PPI Nomor 167 Tahun 2018
 - Surat Penugasan Plh dan plt
 - Nodin ttg penerapan SKP
 - Nodin ttg penggunaan aplikasi simaya
 - Undangan Pengembangan Tandatangan Elektronik SIMAYA
 - Nodin permintaan nama untuk pejabat KPA, PPK, PPSPM, Bendahara Penerimaan, dan Bendahara Pengeluaran di lingkungan KemKominfo
 - Sosialisasi tentang SK Dirjen PPI nomor 215 Tahun 2022
 - SK Dirjen PPI Nomor 215 Tahun 2022 tentang Tim Kerja di Lingkungan Direktorat Jenderal PPI
 - Surat Perintah Tugas Tim Kerja di Sekretariat Ditjen PPI</t>
  </si>
  <si>
    <t>Bahwa di Badan Litbang SDM  telah terdapat implementasi Kepemimpinan yang kondusif dan dilaksanakan oleh para pegawai dalam melaksanakan tugas dan fungsinya di Badan Litbang SDM. Hal ini dibuktikan dengan :
1 Terdapat Surat Perintah Pelaksana Tugas pendelegasian wewenang, sesuai Permenkominfo No. 15 Tahun 2016" (E-C)
2. SK TIM KERJA Sekretariat BLSDM (E-C)
3. Hasil Survey Kepuasan Layanan Sekretariat BLSDM (B)</t>
  </si>
  <si>
    <t>Bahwa pelaksanaan tugas dan fungsi yang didelegasikan kepada jenjang di bawahnya dari pimpinan tinggi pratama ke level di bawahnya telah dilaksanakan sesuai dengan prosedur dan juga dikomunikasikan melalui disposisi persuratan serta komunikasi langsung</t>
  </si>
  <si>
    <t>- Bahwa Bakti telah memiliki Permen Kominfo no 3 th 2018 yang mengatur tentang organisasi dan tata kerja
'- Bahwa Bakti telah Sosialisasi aturan dilakukan dengan menggunakan portal JDIH
'- Bahwa BAKTI telah melaksanakan pendelegasian wewenang sebagaimana diatur dalam kebijakan
'- Bahwa Bakti telah memiliki evaluasi atas pendelegasian dan tanggung jawab pekerjaan</t>
  </si>
  <si>
    <r>
      <rPr>
        <rFont val="Arial"/>
        <color theme="1"/>
        <sz val="12.0"/>
      </rPr>
      <t xml:space="preserve">Bahwa pengelolaan SDM telah diperbaiki secara berkelanjutan melalui evaluasi kelembagaan sehingga mampu mendukung pencapaian organisasi, yang dibuktikan dengan
</t>
    </r>
    <r>
      <rPr>
        <rFont val="Arial"/>
        <color rgb="FFFF0000"/>
        <sz val="12.0"/>
      </rPr>
      <t>1. Nilai SKP Pegawai Tahun 2022 (A)
2. SK/Nodin terkait pemberian Penghargaan pegawai teladan Tahun 2022 (A)
3. Capaian Nilai Reformasi Birokrasi Tahun 2022 (A)
4. Hasil Survey Kepuasan atas layanan pengelolaan SDM Tahun 2022 (A)</t>
    </r>
    <r>
      <rPr>
        <rFont val="Arial"/>
        <color rgb="FF0000FF"/>
        <sz val="12.0"/>
      </rPr>
      <t xml:space="preserve">
</t>
    </r>
    <r>
      <rPr>
        <rFont val="Arial"/>
        <color rgb="FFFF00FF"/>
        <sz val="12.0"/>
      </rPr>
      <t xml:space="preserve">5. Revisi Permen Kominfo Nomor 1 tahun 2017 tentang kinerja pegawai (B)  </t>
    </r>
    <r>
      <rPr>
        <rFont val="Arial"/>
        <color rgb="FF0000FF"/>
        <sz val="12.0"/>
      </rPr>
      <t xml:space="preserve">
</t>
    </r>
    <r>
      <rPr>
        <rFont val="Arial"/>
        <color rgb="FFFF0000"/>
        <sz val="12.0"/>
      </rPr>
      <t xml:space="preserve">6. Hasil Evaluasi Kelembagaan Tahun 2022 (B)
7. Dokumen perencanaan diklat/pengembangan kompetensi Tahun 2022 (C) </t>
    </r>
    <r>
      <rPr>
        <rFont val="Arial"/>
        <color rgb="FF0000FF"/>
        <sz val="12.0"/>
      </rPr>
      <t xml:space="preserve">
8. Surat Tugas diklat (C) 
9. Jadwal dan pengumuman rekrutmen pegawai/dokumen terkait penerimaan pegawai baru (C) 
10. foto aplikasi database kepegawaian (SIMPATIK) (C) 
</t>
    </r>
    <r>
      <rPr>
        <rFont val="Arial"/>
        <color rgb="FFFF0000"/>
        <sz val="12.0"/>
      </rPr>
      <t xml:space="preserve">11. pelaksanaan seleksi terbuka melalui pengumuman web seleksi terbuka Tahun 2022 (C)  </t>
    </r>
    <r>
      <rPr>
        <rFont val="Arial"/>
        <color rgb="FF0000FF"/>
        <sz val="12.0"/>
      </rPr>
      <t xml:space="preserve">
12. Nodin Pengusulan formasi untuk kebutuhan ASN telah dilaksanakan sesuai kualifikasi pendidikan pada syarat jabatan (Bukti: penetapan tahun 2021) (C)  
13. Nodin usulan mutasi pegawai (D)
14. Nodin pengajuan/usulan pensiun (D)
</t>
    </r>
    <r>
      <rPr>
        <rFont val="Arial"/>
        <color rgb="FFFF0000"/>
        <sz val="12.0"/>
      </rPr>
      <t xml:space="preserve">15. Nodin usulan pengembangan kompetensi Tahun 2023 (D) </t>
    </r>
    <r>
      <rPr>
        <rFont val="Arial"/>
        <color rgb="FF0000FF"/>
        <sz val="12.0"/>
      </rPr>
      <t xml:space="preserve">
16. Pengumuman seleksi pegawai baru/pengumuman rekrutmen penerimaan pegawai baru (D)
17. SOP Permintaan Pembuatan Kartu BPJS Kesehatan Nomor 074/SJ.2/SOT.02.01/07/2017 (E)
18. SOP Hasil Penilaian Kinerja Pegawai Nomor 049/SJ.2/SOT.02.01/07/2017 (E)
19. SOP Penyelesaian Surat Keputusan Dipekerjakan Pada Instansi Lain Nomor 064/SJ.2/SOT.02.01/07/2017 (E)
20. SOP Penyusunan Program Pengembangan Kompetensi Melalui AKD Nomor 029/SJ.2/SOT.02.01/07/2017 (E)
21. SOP Pemutahiran Data E-Formasi Nomor 027/SJ.2/SOT.02.01/07/2017 (E)</t>
    </r>
  </si>
  <si>
    <t>Kebijakan dan implementasi telah dievaluasi secara berkala sesuai dengan ketentuan yang mana terdapat dalam dokumen Laporan evaluasi disiplin berkala dan laporan analisa disiplin ASN berkala dengan hasil evaluasi telah ditindaklanjuti serta menghasilkan perbaikan kinerja yang lebih baik. Terbukti dengan adanya kebijakan Monitoring disiplin kehadiran, dapat mengendalikan jumlah pelanggaran disiplin dibawah angka 3 pelanggaran pertahun dan tidak ditemukan sanksi hukuman disiplin selama tahun 2021. Oleh karena itu, kegiatan monitoring diplin kehadiran dinilai efektif dan meningkatkan perbaikan kinerja di Lingkungan Inspektorat Jendral. 
List Dokumen Pendukung;
B. Laporan Evaluasi Bangkom 2022
B. Laporan Evaluasi Disiplin Pegawai Semester I &amp; II Tahun 2022 
B. Laporan Tindak Lanjut atas Evaluasi Disiplin Pegawai Semester I Tahun 2022
1. Rekapitulasi penilaian SKP tahun 2021 dan 2022 (C)
2. Dokumen kenaikan pangkat dan jabatan ((C)
3. Dokumen mutasi dari KaRowai menjadi SesItjen (C)
4. Dokumen Penetapan Perhitungan Formasi JFA (C)
5. SS folder database kepegawaian dari Simpatik dan cloud Itjen (C) 
6. Dokumen PKPP yang terkait Rencana Pengembangan SDM (C)
D. SS JDIH terkait PermenKominfo Nomor 8 Tahun 2021
D. 12 30 2022 - In House Training Manajemen Risiko
E.  Penjelasan dalam tambahan lembaran PP 30 Tahun 2019
E.  SOP Pengurusan KGB Itjen
E. Penjelasan atas PP 30 Tahun 2019
E. Permen Kominfo Nomor 8 Tahun 2021 tentang Perubahan atas Permen Kominfo Nomor 18 Tahun 2017 tentang Kelas Jabatan di Ling Kemkominfo
E. Permen Kominfo Nomor 18 Tahun 2017 tentang Kelas Jabatan di Lingkungan Kemkominfo
E. Permen PANRB Nomor  8 Tahun 2021 tentang Sistem Manajemen Kinerja PNS
E. PP Nomor 12 Tahun 2002 tentang Perubahan atas PP Nomor 99 Tahun 2020 tentang KP PNS
E. PP Nomor 30 Tahun 2019 tentang Penilaian Kinerja PNS
E. SOP Monitoring Disiplin Pegawai Itjen
E. SOP Mutasi PNS di Inspektorat Jenderal
E. SOP Pemrosesan Disiplin Pegawai Itjen
E. SOP Peningkatan dan Pengembangan Kompetensi Pegawai Itjen
E. SOP Rotasi Pegawai di Inspektorat Jenderal</t>
  </si>
  <si>
    <t xml:space="preserve">Bahwa Kebijakan dan implementasi pengelolaan SDM terkait pengelolaan SDM Ditjen SDPPI telah dievaluasi sehingga dapat diketahui efektivitasnya dibuktikan dengan sosialisasi dan forum diskusi terkait SDM dengan pegawai di lingkungan Ditjen SDPPI, pengembangan kompetensi, pembinaan pegawai baru, dan selain itu Ditjen SDPPI telah mengevaluasi sasaran kinerja pegawai (SKP) dan menerapkan hukdis bagi pegawai yang melanggaran aturan ASN. 
Bukti dukung :
1. Sosialisasi dan Forum Diskusi Bidang SDM (D)
2. Usulan ASN berprestasi TA 2023 (B)
3. Disiplin pegawai (C)
5. Monev SKP (B)
6. Pengembangan Kompetensi (C) 
7. Laporan Pembinaan CPNS (Orientation Training) (B)
8. Pengelolaan SDM melalui SIMPEG (Laporan Pemeliharaan Sistem Informasi Kepegawaian) (C)
9. Usulan Promosi/Rotasi (B)
10. SKP Individu (B)
11. SOP Bidang Kepegawaian (SOP PPNPN) (E)
12.Permenpan RB No. 8 Tahun 2021 (E)
13.PP 30 Tahun 2019 tentang Penilaian Kinerja PNS (E)
</t>
  </si>
  <si>
    <t>Bahwa Ditjen Aptika telah melakukan pengelolaan SDM sejak rekrutmen sampai dengan pemberhentian pegawai sesuai kebijakan/prosedur yang ditetapkan dan telah diperbaiki secara berkelanjutan, sehingga secara optimal mampu mendukung pencapaian tujuan organisasi.
1. SOP Kepegawaian
2. PP No. 17 Tahun 2020
3. PP No. 30 Tahun 2019
4. Penilaian PP 30 SKP JPT
5.  Laporan Kelompok Assessment Pegawai Ditjen Aptika
6. Hasil Assessment
7. Nota Dinas Usulan Revisi SK Tim Kerja</t>
  </si>
  <si>
    <r>
      <rPr>
        <rFont val="Arial"/>
        <color theme="1"/>
        <sz val="12.0"/>
      </rPr>
      <t xml:space="preserve">Bahwa kebijakan dan implementasi terkait pengelolaan SDM organisasi di Ditjen PPI telah dievaluasi sehingga dapat diketahui efektivitasnya :
 - Penilaian e-kinerja PNS
 - Usulan Formasi tahun 2024 
</t>
    </r>
    <r>
      <rPr>
        <rFont val="Arial"/>
        <color rgb="FFFF0000"/>
        <sz val="12.0"/>
      </rPr>
      <t xml:space="preserve"> </t>
    </r>
    <r>
      <rPr>
        <rFont val="Arial"/>
        <color theme="1"/>
        <sz val="12.0"/>
      </rPr>
      <t>- Pengumuman rekrutment (portal kominfo)
 - Usulan Rotasi pegawai
 - Aplikasi SIMPATIK
 - Sosialisasi KGB Terpusat
 - Sosialisasi BPJS Ketenagakerjaan 
 - Tabel Rekap Pelaksanaan Bimtek Ditjen PPI</t>
    </r>
    <r>
      <rPr>
        <rFont val="Arial"/>
        <color rgb="FFFF0000"/>
        <sz val="12.0"/>
      </rPr>
      <t xml:space="preserve">
 </t>
    </r>
    <r>
      <rPr>
        <rFont val="Arial"/>
        <color theme="1"/>
        <sz val="12.0"/>
      </rPr>
      <t>- Rapat Koordinasi Data Peserta Pemetaan Profil PNS ke BKN
 - Surat Tugas Pemetaan Potensi dan Kompetensi PNS di BKN</t>
    </r>
    <r>
      <rPr>
        <rFont val="Arial"/>
        <color rgb="FFFF0000"/>
        <sz val="12.0"/>
      </rPr>
      <t xml:space="preserve">
</t>
    </r>
    <r>
      <rPr>
        <rFont val="Arial"/>
        <color theme="1"/>
        <sz val="12.0"/>
      </rPr>
      <t xml:space="preserve"> - Pelaksanaan Bimtek (undangan, surat tugas, dan sertifikat)</t>
    </r>
    <r>
      <rPr>
        <rFont val="Arial"/>
        <color rgb="FFFF0000"/>
        <sz val="12.0"/>
      </rPr>
      <t xml:space="preserve">
 </t>
    </r>
    <r>
      <rPr>
        <rFont val="Arial"/>
        <color theme="1"/>
        <sz val="12.0"/>
      </rPr>
      <t>- Sosialiasi PermenPANRB Nomor 1 Tahun 2023 tentang Jabatan Fungsional</t>
    </r>
    <r>
      <rPr>
        <rFont val="Arial"/>
        <color rgb="FFFF0000"/>
        <sz val="12.0"/>
      </rPr>
      <t xml:space="preserve">
</t>
    </r>
    <r>
      <rPr>
        <rFont val="Arial"/>
        <color theme="1"/>
        <sz val="12.0"/>
      </rPr>
      <t xml:space="preserve"> - Laporan Rapat Penyusunan SKP pada aplikasi e-Kinerja</t>
    </r>
  </si>
  <si>
    <t>Bahwa  di Badan Litbang SDM telah Terdapat Kebijakan yang mengatur Pengelolaan SDM sejak rekrutmen sampai dengan Pemberhentian Pegawai yang dimana kebijakan tersebut dipahami oleh pihak yang berkepentingan sesuai kebijakan/prosedur yang ditetapkan , hal tersebut dibuktikan dengan : 
1. Nota Dinas Usulan Formasi Pegawai (D)
2. Nota Dinas Usulan Pensiun (E)
3. ANJAB 2022 (C)</t>
  </si>
  <si>
    <t>Bahwa kebijakan terkait pendelegasian wewenang dan tanggung jawab telah diimplementasikan serta dievaluasi dan dapat menunjukkan perbaikan dalam pencapaian kinerja</t>
  </si>
  <si>
    <t>Bahwa Pengelolaan SDM telah dilaksanakan sejak rekrutmen sampai dengan pemberhentian pegawai sesuai kebijakan/prosedur yang ditetapkan. Bakti telah melakukan evaluasi secara berkala dan terdokumentasi dan menetapkan pemotongan remunerasi atas ketidakdisiplinan pegawainya.
Dengan bukti dukung :
1. Permen Kominfo No 3 Tahun 2018 tentang Organisasi dan Tata Kerja Bakti</t>
  </si>
  <si>
    <r>
      <rPr>
        <rFont val="Arial"/>
        <color rgb="FF000000"/>
        <sz val="12.0"/>
      </rPr>
      <t>Terdapat upaya peningkatan kompetensi dan keterampilan manajemen risiko dan telah ada instruksi dari Sekretaris Inspektorat Jenderal kepada Unit Kerja dan Satker BLU untuk menyelenggarakan pelatihan in house training (dapat berbentuk sosialisasi/bimtek/pelatihan/workshop) dan program pelatihan MR telah diusulkan untuk diselenggarakan di tahun 2022, yang dibuktikan dengan:</t>
    </r>
    <r>
      <rPr>
        <rFont val="Arial"/>
        <color rgb="FFFF0000"/>
        <sz val="12.0"/>
      </rPr>
      <t xml:space="preserve">
</t>
    </r>
    <r>
      <rPr>
        <rFont val="Arial"/>
        <color rgb="FF0000FF"/>
        <sz val="12.0"/>
      </rPr>
      <t>1. Program Pelatihan MR telah disusun oleh Biro Kepegawaian ke LAN yang diajukan Tahun 2022 melalui Surat Menkominfo Nomor B-110/M.KOMINFO/KP.05.01/02/2022 (D-E)
2. Nota Dinas Sekretaris Inspektorat Jenderal ke Unit Kerja dan BLU Nomor 533 tanggal 23 Maret (D-E)</t>
    </r>
    <r>
      <rPr>
        <rFont val="Arial"/>
        <color rgb="FFFF0000"/>
        <sz val="12.0"/>
      </rPr>
      <t xml:space="preserve">
</t>
    </r>
    <r>
      <rPr>
        <rFont val="Arial"/>
        <color rgb="FF0000FF"/>
        <sz val="12.0"/>
      </rPr>
      <t>3.Laporan Pelatihan MR di lingkungan Setjen (D-E)
4. Daftar Peserta Pelatihan Manajemen Risiko (D-E)</t>
    </r>
  </si>
  <si>
    <t>Terdapat upaya peningkatan kompetensi dan keterampilan manajemen risiko di Lingkup Inspektorat Jenderal dan program pelatihan MR telah diusulkan untuk diselenggarakan di tahun 2023, yang dibuktikan dengan:
1. Laporan Pelatihan MR 
2. Sertifikat Pelatihan MR
3. Sertifikasi Keahlian Manajemen Risiko QRMA dan PPBR</t>
  </si>
  <si>
    <t>Bahwa DItjen SDPPI telah melakukan upaya peningkatan kompetensi dan keterampilan terkait manajemen risiko yang memadai dengan cakupan sebagian besar pegawai dibuktikan dengan sosialisasi MR yang telah dilakukan di tahun 2022 yg dihadiri oleh 638 pejabat dan pegawai, dan pelatihan MR BPKP dilaksanakan setiap tahun dari tahun 2022 (35 org) dan tahun 2023 akan dilaksanakan untuk pejabat dan pegawai (35 org)
Bukti dukung :
1. Laporan Sosialisasi MR (B)
2. Laporan Pelatihan MR (B)
3. Sertifikat Sosialisasi dan Pelatihan Manajemen Risiko (B)
4. Penganggaran Pelatihan MR Tahun 2023 (POK) (B)
5. Daftar peserta pelatihan MR Tahun 2023 (B)
6. Laporan rapat koord persiapan MR 2023 (B)</t>
  </si>
  <si>
    <t xml:space="preserve">Bahwa di Ditjen Aptika terdapat upaya peningkatan kompetensi dan keterampilan terkait manajemen risiko yang memadai dengan cakupan sebagian pegawai dengan melaksanakan Bimtek atau pelatihan terkait aplikasi Manajemen Risiko.
Dengan bukti dukung:
1. Sertifikat atau laporan terkait pelatihan Manajemen Risiko.
2. Surat tugas atau undangan terkait Bimtek/ pelatihan Manajemen Risiko.
3. Nota Dinas pemberitahuan atau pemanggilan pegawai untuk mengikuti Bimtek/ pelatihan Manajemen Risiko.
4. Dokumen analisis kebutuhan diklat.
</t>
  </si>
  <si>
    <t>Bahwa di Kementerian Kominfo terdapat upaya peningkatan kompetensi dan keterampilan terkait manajemen risiko yang memadai dengan cakupan sebagian pegawai dengan melaksanakan Bimtek atau pelatihan terkait aplikasi Manajemen Risiko.
Dengan bukti dukung:
1. Sertifikat atau laporan terkait pelatihan Manajemen Risiko (D)
2. Surat tugas atau undangan terkait Bimtek/ pelatihan Manajemen Risiko (D)
3. Nota Dinas pemberitahuan atau pemanggilan pegawai untuk mengikuti Bimtek/ pelatihan Manajemen Risiko (D)
4. Dokumen analisis kebutuhan diklat (D):
5. Laporan dan sertifikat Pelaksanaan pelatihan manajemen resiko
6. Laporan Bimtek Key Risk Indicator
7. Sertifikat Bimtek Key Risk Indicator
8. Sertifikat QRMA
9. Sertifikat Diklat Manajemen Risiko Organisasi Sektor Publik
10. Sertifikat Project Risk Management
11. Nota Dinas Penyampaian Pelaksanaan Bimbingan Teknis atau Pelatihan Manajemen Resiko tahun 2022
12. Nota Dinas Penyampaian Pelaksanaan Bimbingan Teknis atau Pelatihan Manajemen Resiko tahun 2023
13. Pelatihan tentang Manajemen Risiko</t>
  </si>
  <si>
    <t>Bahwa di Badan Litbang SDM terdapat upaya peningkatan kompetensi dan keterampilan terkait manajemen risiko yang memadai dengan cakupan sebagian pegawaii dengan melaksanakan Bimtek atau pelatihan terkait aplikasi Manajemen Risiko.
Dengan bukti dukung:
1. Sertifikat Peserta Pelatihan Awarness Implementasi Manajemen Risiko (D)
2. LaporanTugas Kegiatan Awarness Implementasi Manajemen Risiko (D)</t>
  </si>
  <si>
    <t>Bahwa DJIKP telah  melaksanakan upaya peningkatan kompetensi dan keterampilan manajemen risiko dengan menyelenggarakan sosialisasi MR yang dihadiri oleh &gt;71% pegawai dan pelatihan intensif kepada Tim UPR yang diikuti oleh &gt;71% anggota yang dibuktikan dengan:
1. Program Pelatihan MR telah disusun oleh Biro Kepegawaian ke LAN yang diajukan Tahun 2022 melalui Surat Menkominfo Nomor B-110/M.KOMINFO/KP.05.01/02/2022 
2. Nota Dinas Sekretaris Inspektorat Jenderal ke Unit Kerja dan BLU Nomor 533 tanggal 23 Maret,
yang ditindaklanjuti DJIKP dengan :
1. Sosialisasi dan Pelatihan MR 2023 (Laporan pelaksanaan 17-19 Jan 2023)
2. Sertifikat Pelatihan Manajemen Risiko (anggota Tim UPR DJIKP 2023)</t>
  </si>
  <si>
    <t>Bahwa di Kementerian Kominfo terdapat upaya peningkatan kompetensi dan keterampilan terkait manajemen risiko yang memadai dengan cakupan sebagian pegawai dengan melaksanakan Bimtek atau pelatihan terkait aplikasi Manajemen Risiko.
Dengan bukti dukung:
1. Sertifikat atau laporan terkait pelatihan Manajemen Risiko (D)
2. Surat tugas atau undangan terkait Bimtek/ pelatihan Manajemen Risiko (D)
3. Nota Dinas pemberitahuan atau pemanggilan pegawai untuk mengikuti Bimtek/ pelatihan Manajemen Risiko (D)
4. Dokumen analisis kebutuhan diklat (D)</t>
  </si>
  <si>
    <r>
      <rPr>
        <rFont val="Arial"/>
        <color rgb="FF000000"/>
        <sz val="12.0"/>
        <u/>
      </rPr>
      <t xml:space="preserve">Telah dilakukan survey yang mengukur tingkat pemahaman manajemen risiko dengan sampling responden sebanyak 100 orang dari berbagai Unit Kerja dan Satker BLU di lingkungan Kementerian Kominfo yang dibuktikan dengan :
</t>
    </r>
    <r>
      <rPr>
        <rFont val="Arial"/>
        <color rgb="FF0000FF"/>
        <sz val="12.0"/>
        <u/>
      </rPr>
      <t xml:space="preserve">1. Link survey pemahaman MR : </t>
    </r>
    <r>
      <rPr>
        <rFont val="Arial"/>
        <color rgb="FF1155CC"/>
        <sz val="12.0"/>
        <u/>
      </rPr>
      <t>https://komin.fo/ManajemenRisiko</t>
    </r>
    <r>
      <rPr>
        <rFont val="Arial"/>
        <color rgb="FF0000FF"/>
        <sz val="12.0"/>
        <u/>
      </rPr>
      <t xml:space="preserve"> (B-E)
2. Berita Acara hasil pelaksanaan survey (B-E)
3. sample hasil survey (B-E)</t>
    </r>
  </si>
  <si>
    <t xml:space="preserve">Telah dilakukan survey yang mengukur tingkat pemahaman manajemen risiko dengan sampling responden sebanyak 100 orang dari berbagai Unit Kerja dan Satker BLU di lingkungan Kementerian Kominfo yang dibuktikan dengan :
1. Link survey pemahaman MR : https://komin.fo/SurveyPemahamanManajemenRisiko
2. Berita Acara hasil pelaksanaan survey 
3. Sample hasil survey </t>
  </si>
  <si>
    <t>Telah dilakukan survey yang mengukur tingkat pemahaman manajemen risiko dengan sampling responden sebanyak 54 orang yang dibuktikan dengan :
1. Link survey pemahaman MR : https://bit.ly/SurveyPemahamanMR  (B)
2. Laporan hasil pelaksanaan survey (B)
3. Hasil survey (B)</t>
  </si>
  <si>
    <t xml:space="preserve">Bahwa Ditjen Aptika telah melakukan survey yang mengukur tingkat pemahaman manajemen risiko dengan sampling responden sebanyak 100 orang dari berbagai Unit Kerja dan Satker BLU di lingkungan Kementerian Kominfo.
Dengan bukti dukung:
1. Link survey pemahaman MR : https://komin.fo/ManajemenRisiko
2. Berita Acara hasil pelaksanaan survey
3. Sample hasil survey
</t>
  </si>
  <si>
    <t>Bahwa Kementerian Kominfo telah melakukan survey yang mengukur tingkat pemahaman manajemen risiko dengan sampling responden sebanyak 100 orang dari berbagai Unit Kerja dan Satker BLU di lingkungan Kementerian Kominfo.
Dengan bukti dukung:
1. Link survey pemahaman MR : https://komin.fo/ManajemenRisiko
2. Berita Acara hasil pelaksanaan survey
3. Sample hasil survey
4. nodin penyusunan MR tingkat es 2
5. Pelaksanaan bimtek manajemen resiko
6. Daftar Pegawai yang telah mengikuti pelatihan MR
7. Nota Dinas Penyampaian Pelaksanaan Bimbingan Teknis atau Pelatihan Manajemen Resiko tahun 2022
8. Nota Dinas Penyampaian Pelaksanaan Bimbingan Teknis atau Pelatihan Manajemen Resiko tahun 2023
9. Pelatihan tentang Manajemen Risiko</t>
  </si>
  <si>
    <t>Bahwa Kementerian Kominfo telah melakukan survey yang mengukur tingkat pemahaman manajemen risiko dengan sampling responden sebanyak 100 orang dari berbagai Unit Kerja dan Satker BLU di lingkungan Kementerian Kominfo.
Dengan bukti dukung:
1. Link survey pemahaman MR : https://komin.fo/ManajemenRisiko
2. Berita Acara hasil pelaksanaan survey
3. Sample hasil survey</t>
  </si>
  <si>
    <r>
      <rPr>
        <rFont val="Arial"/>
        <color theme="1"/>
        <sz val="12.0"/>
      </rPr>
      <t xml:space="preserve">Bahwa praktik profesional dan audit internal di Kementerian Kominfo telah ditetapkan secara seragam sehingga dapat memberikan nilai tambah pada perbaikan pengendalian organisasi dengan dibuktikan dengan capaian nilai IACM.
</t>
    </r>
    <r>
      <rPr>
        <rFont val="Arial"/>
        <color rgb="FF0000FF"/>
        <sz val="12.0"/>
      </rPr>
      <t>Dengan bukti dukung:
1. Hasil Nilai IACM Inspektorat Jenderal (C)</t>
    </r>
  </si>
  <si>
    <t>Bahwa praktik profesional dan audit internal telah ditetapkan secara seragam sehingga dapat memberikan nilai tambah pada perbaikan pengendalian organisasi dengan dibuktikan dengan capaian nilai IACM Inspektorat Jenderal yang memperoleh nilai 3 
1. Hasil Nilai IACM Inspektorat Jenderal</t>
  </si>
  <si>
    <t xml:space="preserve">Bahwa praktik profesional dan audit internal di Ditjen Aptika telah ditetapkan secara seragam sehingga dapat memberikan nilai tambah pada perbaikan pengendalian organisasi dengan dibuktikan dengan capaian nilai IACM.
Dengan bukti dukung:
1. Hasil Nilai IACM Inspektorat Jenderal (C)
</t>
  </si>
  <si>
    <t xml:space="preserve">"Bahwa praktik profesional dan audit internal di Kementerian Kominfo telah ditetapkan secara seragam sehingga dapat memberikan nilai tambah pada perbaikan pengendalian organisasi dengan dibuktikan dengan capaian nilai IACM.
Dengan bukti dukung:
1. Hasil Nilai IACM Inspektorat Jenderal (C)
</t>
  </si>
  <si>
    <t>Bahwa praktik profesional dan audit internal di Kementerian Kominfo telah ditetapkan secara seragam sehingga dapat memberikan nilai tambah pada perbaikan pengendalian organisasi dengan dibuktikan dengan capaian nilai IACM.
Dengan bukti dukung:
1. Hasil Nilai IACM Inspektorat Jenderal (C)</t>
  </si>
  <si>
    <t>Bahwa praktik profesional dan audit internal di Kementerian Kominfo telah ditetapkan secara seragam sehingga dapat memberikan nilai tambah pada perbaikan pengendalian organisasi dengan dibuktikan dengan capaian nilai IACM.
Dengan bukti dukung:
1. Hasil Nilai IACM Inspektorat Jenderal</t>
  </si>
  <si>
    <r>
      <rPr>
        <rFont val="Arial"/>
        <color theme="1"/>
        <sz val="12.0"/>
      </rPr>
      <t xml:space="preserve">Pimpinan Kementerian Kominfo telah menjalin hubungan kerja yang baik dengan instansi lain melalui pembagian peran dan ukuran kinerja yang diharapkan dapat saling mendukung kepada tujuan masing-masing. Pembagian peran mendukung pimpinan untuk mengoptimalkan sumber daya yang ada untuk melaksanakan kegiatan sesuai lingkupnya, </t>
    </r>
    <r>
      <rPr>
        <rFont val="Arial"/>
        <color rgb="FFFF00FF"/>
        <sz val="12.0"/>
      </rPr>
      <t xml:space="preserve">sebagai contoh kerjasama kerjasama (MoU) dalam bidang... </t>
    </r>
    <r>
      <rPr>
        <rFont val="Arial"/>
        <color theme="1"/>
        <sz val="12.0"/>
      </rPr>
      <t xml:space="preserve">
</t>
    </r>
    <r>
      <rPr>
        <rFont val="Arial"/>
        <color rgb="FFFF0000"/>
        <sz val="12.0"/>
      </rPr>
      <t xml:space="preserve">
1. Matriks evaluasi MoU Kementerian Kominfo dengan BPIP tentang kesinergisan pelaksanaan pembinaan ideologi pancasila dengan penyelenggaraan bidan komunikasi dan informatika (B-D)
2. Laporan hasil kerjasama dengan Mitra Kerja (Levell B dan C)</t>
    </r>
    <r>
      <rPr>
        <rFont val="Arial"/>
        <color rgb="FF0000FF"/>
        <sz val="12.0"/>
      </rPr>
      <t xml:space="preserve">
</t>
    </r>
    <r>
      <rPr>
        <rFont val="Arial"/>
        <color rgb="FFFF00FF"/>
        <sz val="12.0"/>
      </rPr>
      <t>3. Draf Surat Edaran Sekjen tentang Pedoman Pengelolaan Kerjasama dan Sinergi Program Dalam Negeri di lingkungan Kementerian Kominfo (E)</t>
    </r>
  </si>
  <si>
    <t xml:space="preserve">Inspektorat Jenderal memiliki kerjasama dengan KPK yang tertuang dalam Perjanjian Kerja Sama Pembangunan WBS TPK Terintegrasi Kemkominfo. Pelaksanaan kebijakan kerjasama organisasi dievaluasi secara berkala, dan tertuang dalam Laporan Hasil Monitor dan Evaluasi ke-1 Pembangunan WBS TPK Terintegrasi Kominfo. Selain itu, terdapat Peraturan yang mengatur kerjasama tersebut yang terdapat dalam dokumen perjanjian kerjasama. </t>
  </si>
  <si>
    <t>Bahwa Ditjen SDPPI telah melaksanakan  hubungan kerja yang baik dengan mitra kerjasama organisasi menghasilkan efektivitas pencapaian tujuan organisasi dan efisiensi penggunaan sumberdaya masing-masing instansi dibuktikan dengan melaksanakan koordinasi dengan mitra eksternal terkait pelaporan keuangan, penyelesaian tindak lanjut temuan BPK, dan instansi lain yang mendukung pelaksanaan program di lingkungan Ditjen SDPPI
Bukti Dukung :
1. Risalah FGD Rapat dengan BPK-RI (A)
2. Screenshot aplikasi SIMWAS (A)
3. Surat Hasil Rekonsiliasi dengan KPPN (Laporan Keuangan) (C)
4. PKS dengan Bank untuk pelaksanaan Host to Host PNBP (A)
5. Laporan Evaluasi pelaksanaan Host to Host melalui rekon PNBP (B)
6. Nota Kesepahaman/ PKS dan Laporan hasil koordinasi dengan pihak eksternal (A) 
7. SOP Penyusunan Lapoan Keuangan (E)
8. SOP Tindak Lanjut Temuan (E)
9. Laporan Evaluasi SOP Laporan Keuangan (B)
10. SE Dirjen Perben No.555 Tahun 2020 (E)
11. SOP Penyusunan Lapoan Keuangan TA 2023 (E)
12. SHR untuk bulan Desember 2022 yang dilaksanakan pada Januari 2023 (C)</t>
  </si>
  <si>
    <t>Bahwa Ditjen Aptika telah melaksanakan kegiatan sesuai dengan lingkup kewenangan masing-masing sesuai kebijakan dan ukuran kinerja yang ditetapkan
1. Strategi Nasional
2. Perjanjian Kerja Sama dengan PANDI
3. MoU</t>
  </si>
  <si>
    <r>
      <rPr>
        <rFont val="Arial"/>
        <color theme="1"/>
        <sz val="12.0"/>
      </rPr>
      <t xml:space="preserve">Bahwa Ditjen PPI telah melaksanakan hubungan kerja yang baik dengan mitra kerjasama organisasi menghasilkan efektivitas pencapaian tujuan organisasi dan efisiensi penggunaan sumberdaya masing-masing instansi
 - laporan implementasi kerjasama (dit pos)
 - PKS Kerjasama Ditjen PPI dengan BPJS Ketenagakerjaan
 - Persiapan pemenuhan anggaran BPJS Ketenagakerjaan
 - evaluasi efektifitas program BPJS ketenagakerjaan Ditjen PPI
 - perubahan data pegawai peserta BPJS Ketenagakerjaan
</t>
    </r>
    <r>
      <rPr>
        <rFont val="Arial"/>
        <color rgb="FFFF0000"/>
        <sz val="12.0"/>
      </rPr>
      <t xml:space="preserve"> - Nodin evaluasi pelaksanaan kerjasama ditjen PPI tahun 2022</t>
    </r>
    <r>
      <rPr>
        <rFont val="Arial"/>
        <color theme="1"/>
        <sz val="12.0"/>
      </rPr>
      <t xml:space="preserve"> (bag hukum )
 - nodin informasi kerjasama ke direktorat (bag hukum
 - Sosialisasi BPJS Ketenagakerjaan
 - Sosialisasi Peraturan Direktur Jenderal Perbendaharaan Nomor PER-8/PB/2022
 - PKS dengan BPJS Ketenagakerjaan
 - PKS BOLPU
 - PKS dengan BRI
</t>
    </r>
    <r>
      <rPr>
        <rFont val="Arial"/>
        <color rgb="FFFF0000"/>
        <sz val="12.0"/>
      </rPr>
      <t xml:space="preserve"> - PKS dengan Universitas Padjajaran untuk Pelaksanaan Magang Kampus Merdeka
 - BAST dengan TVRI
 - BAST dengan Masyarakat terkait STB
 - Berita Acara Uji Fisik Pemeriksaan dan Inventarisasi Bersama antara Kominfo dengan LPP TVRI
 - Laporan Hasil Koordinasi Alih Status Penggunaan BMN dengan LPP TVRI
 - Laporan Hasil Koordinasi RB dengan MenPANRB
 - Laporan Hasil Koordinasi Penyusunan Program Kerja dengan Bappenas dan Kementerian Keuangan
</t>
    </r>
    <r>
      <rPr>
        <rFont val="Arial"/>
        <color theme="1"/>
        <sz val="12.0"/>
      </rPr>
      <t xml:space="preserve"> - </t>
    </r>
  </si>
  <si>
    <t xml:space="preserve"> Bahwa di Badan Litbang SDM  telah terdapat menetapkan mekanisme hubungan kerja/tata cara kerjasama dengan instansi lain dan telah mempublikasikan kebijakan kerjasama organisasi kepada pihak yang berkepentingan yang dimana masing-masing pihak melaksanakan kegiatan sesuai dengan lingkup kewenangan masing-masing sesuai kebijakan dan ukuran kinerja yang ditetapkan  Hal ini dibuktikan dengan
1. Terdapat Adanya rapat koordinasi, pertukaran data dan informasi dengan mitra pelaksana kegiatan terkait. (E)
2. Juknis DTS 2023 (C)
3. Juklak DTS 2023 (C)</t>
  </si>
  <si>
    <t>Bahwa dalam menjalankan tugas dan fungsi unit kerja, masing-masing bidang pekerjaan telah terbangun komunikasi dan mampu berkoordinasi dengan baik, mudah dalam melakukan pertukaran data yang saling terkait sehingga mempermudah menjalankan fungsi monitoring. Kejelasan tugas untuk saling berkoordinasi di semua bidang di lembagakan dengan SK KPA untuk beberapa Tim yang melibatkan personil dari berbagai bidang dari masing-masing unit kerja dalam satker</t>
  </si>
  <si>
    <t>Bahwa BAKTI telah melakukan kerjasama antara BAKTI dengan organisasi lain dapat ditunjukkan dengan Keputusan pimpinan Kementerian/Lembaga/ Pemda tentang kegiatan saling uji/ rekonsiliasi data. Kegiatan coklit dilakukan BAKTI secara berkala. 
Dengan bukti dukung :
1. MOU ITB, UI, PEMDA
2. Laporan Kegiatan Coklit</t>
  </si>
  <si>
    <r>
      <rPr>
        <rFont val="Arial"/>
        <color theme="1"/>
        <sz val="12.0"/>
      </rPr>
      <t xml:space="preserve">Kementerian Kominfo belum memiliki kebijakan pengelolaan risiko terkait kemitraan secara eksplisit, namun telah ada Pedoman manajamen risiko yang mengatur secara genaral dan pengelolaan risiko kemitraan telah diterapkan dengan memadai
 </t>
    </r>
    <r>
      <rPr>
        <rFont val="Arial"/>
        <color rgb="FF0000FF"/>
        <sz val="12.0"/>
      </rPr>
      <t xml:space="preserve">
1. Dokumen MR Rokeu yang telah ditambahkan terkait risiko Kemitraan</t>
    </r>
  </si>
  <si>
    <t>Inspektorat Jenderal telah memiliki kebijakan pengelolaan risiko terkait kemitraan lewat Permenkominfo tentang MR, Pendoman MR No 92/IJ, Nodin penyampaian PK generik, draft PK yang memuat para unit. Selain itu, Inspektorat Jenderal juga sudah mengindentifikasi risiko kemitraan yang terdapat dalam dokumen manajemen risiko, atas kerja sama tersebut dievaluasi secara berkala dan dijadikan sebagai bahan pembelajaran.</t>
  </si>
  <si>
    <t>Bahwa Ditjen SDPPI telah memiliki kebijakan pengelolaan risiko terkait kemitraan, penerapannya telah terintegrasi dengan proses bisnis Instansi Pemerintah khususnya terkait pencapaian tujuan organisasi yang melibatkan instansi lain antara lain mitra BPK yang membantu melaksanakan pemantauan dalam penyelesaian hasil pemeriksaan.
Bukti dukung :
1. MR Penyelesaian Tindak Lanjut Temuan (B)
2. Monev MR Tindak Lanjut Temuan (B)
3. Screenshoot SIMWAS Kominfo dan BPK (B)</t>
  </si>
  <si>
    <t>Bahwa Ditjen Aptika telah memiliki kebijakan pengelolaan risiko terkait kemitraan, penerapannya telah terintegrasi dengan proses bisnis Instansi Pemerintah, telah direviu secara berkala dan dijadikan bahan pembelajaran
Form I-IV Manajemen Risiko</t>
  </si>
  <si>
    <r>
      <rPr>
        <rFont val="Arial"/>
        <color theme="1"/>
        <sz val="12.0"/>
      </rPr>
      <t xml:space="preserve">Bahwa Ditjen PPI telah memiliki kebijakan pengelolaan risiko terkait kemitraan
 - Pedoman Menteri Nomor 6 Tahun 2017 tentang Manajemen Resiko di Lingkungan Kementerian Kominfo
</t>
    </r>
    <r>
      <rPr>
        <rFont val="Arial"/>
        <color rgb="FFFF0000"/>
        <sz val="12.0"/>
      </rPr>
      <t>- sedang koordinasi dengan itjen terkait aplikasi MR</t>
    </r>
  </si>
  <si>
    <t>Bahwa di Badan Litbang SDM  telah terdapat kebijakan pengelolaan risiko terkait kemitraan dan Telah diterapkan dengan memadahi, hal ini dibuktikan dengan adanya :
1. Pedoman Menteri No 6 Tahun 2017 tentang Manajemen Risiko (E-C)
2. Juknis DTS 2023 (E-C)
3. Juklak DTS 2023 (E-C)</t>
  </si>
  <si>
    <t>Bahwa satker telah memiliki kebijakan pengelolaan risiko terkait kemitraan dan telah diterapkan dengan memadai</t>
  </si>
  <si>
    <t>BAKTI telah menerapkan secara memadai Kebijakan Manajemen Risiko, terkait Kemitraan (Badan Usaha)</t>
  </si>
  <si>
    <r>
      <rPr>
        <rFont val="Arial"/>
        <color rgb="FF000000"/>
        <sz val="12.0"/>
      </rPr>
      <t xml:space="preserve">Bahwa Kementerian Kominfo telah memiliki Kebijakan Manajemen Risiko yang memadai dan terintegrasi yang dibuktikan dengan penerapan MR melalui aplikasi MR Kominfo 
</t>
    </r>
    <r>
      <rPr>
        <rFont val="Arial"/>
        <color rgb="FFFF0000"/>
        <sz val="12.0"/>
      </rPr>
      <t xml:space="preserve">
</t>
    </r>
    <r>
      <rPr>
        <rFont val="Arial"/>
        <color rgb="FF0000FF"/>
        <sz val="12.0"/>
      </rPr>
      <t>Dengan bukti dukung:
1. Pedoman Menteri Kominfo No 6 Tahun 2017 tentang Manajemen Risiko di lingkungan Kementerian Kominfo (B)
2. Form 1: Penetapan Konteks Manajemen Risiko (B)
3. Form 2: Profil dan Peta Risiko (B)
4. Form 3: Penanganan Risiko (B)
5. Screenshot Aplikasi MR Kominfo (B)</t>
    </r>
  </si>
  <si>
    <t>Bahwa Kementerian Kominfo telah memiliki Kebijakan Manajemen Risiko yang memadai dan terintegrasi yang dibuktikan dengan penerapan MR melalui aplikasi MR Kominfo 
Dengan bukti dukung:
1. Pedoman Menteri Kominfo No 6 Tahun 2017 tentang Manajemen Risiko di lingkungan Kementerian Kominfo (B)
2. Form 1: Penetapan Konteks Manajemen Risiko (B)
3. Form 2: Profil dan Peta Risiko (B)
4. Form 3: Penanganan Risiko (B)
5. Screenshot Aplikasi MR Kominfo (B)
6. Monev RKT dan RKT Inspektorat Jenderal TA 2023
7. TOR Inspektorat Jenderal</t>
  </si>
  <si>
    <t>Bahwa Kebijakan Manjemen risiko telah memadai dan terintegrasi, dibuktikan dengan dalam penerapan/implementasinya memenuhi kriteria manajemen risiko menyatu dikelola dalam aplikasi MR yang telah dibangun dan menjadi pertimbangan dalam proses perencanaan K/L dengan adanya manajemen risiko dalam dokumen TOR dan manajemen risiko dirancang untuk mengelola risiko yang muncul dengan hasil peta risiko dan atas peta risiko tersebut digunakan untuk menyusun langkah mitigasi risiko dan pengambilan keputusan rencana aksi tindak lanjut yang akan dilakukan. Selain itu peran APIP dalam melakukan reviu dan evaluasi MR
Bukti dukung :
1. Dokumen TOR dan Evaluasi TOR (B)
2. Dokumen MR (B)
3. Monev MR (B)
4. Laporan Hasil Reviu MR oleh APIP (B)
5. Piagam MR Unit/Satker (B)
6. SK UPR dan MR (B)
7 Sosialisasi dan Pelatihan MR (B)
8. Pedoman Menteri Kominfo Nomor 6 Tahun 2017 tentang Manajemen Risiko di Lingkungan Kementerian Kominfo (B)
9. Screenshot Aplikasi MR K/L (B)</t>
  </si>
  <si>
    <t>Bahwa Ditjen Aptika telah memiliki Kebijakan Manajemen Risiko yang memadai dan terintegrasi yang dibuktikan dengan penerapan MR melalui aplikasi MR Kominfo 
Dengan bukti dukung:
1. Pedoman Menteri Kominfo No 6 Tahun 2017 tentang Manajemen Risiko di lingkungan Kementerian Kominfo (B)
2. Form 1: Penetapan Konteks Manajemen Risiko (B)
3. Form 2: Profil dan Peta Risiko (B)
4. Form 3: Penanganan Risiko (B)
5. Screenshot Aplikasi MR Kominfo (B)</t>
  </si>
  <si>
    <t>Bahwa Kementerian Kominfo telah memiliki Kebijakan Manajemen Risiko yang memadai dan terintegrasi yang dibuktikan dengan penerapan MR melalui aplikasi MR Kominfo 
Dengan bukti dukung:
1. Pedoman Menteri Kominfo No 6 Tahun 2017 tentang Manajemen Risiko di lingkungan Kementerian Kominfo (B)
2. Form 1: Penetapan Konteks Manajemen Risiko (B)
3. Form 2: Profil dan Peta Risiko (B)
4. Form 3: Penanganan Risiko (B)
5. Screenshot Aplikasi MR Kominfo (B)</t>
  </si>
  <si>
    <t>Bahwa Kementerian Kominfo telah memiliki Kebijakan Manajemen Risiko yang memadai dan terintegrasi yang dibuktikan dengan penerapan MR melalui aplikasi MR Kominfo 
Dengan bukti dukung:
1. Pedoman Menteri Kominfo No 6 Tahun 2017 tentang Manajemen Risiko di lingkungan Kementerian Kominfo (B)
2. Form 1: Penetapan Konteks Manajemen Risiko (B)
3. Form 2: Profil dan Peta Risiko (B)
4. Form 3: Penanganan Risiko (B)
5. Screenshot Aplikasi MR Kominfo (B)</t>
  </si>
  <si>
    <r>
      <rPr>
        <rFont val="Arial"/>
        <color rgb="FF000000"/>
        <sz val="12.0"/>
      </rPr>
      <t xml:space="preserve">Bahwa Kementerian Kominfo telah mempunyai Kualitas identifikasi risiko dan register risiko cukup memadai, dimana:
1. Proses identifikasi risiko telah menghasilkan daftar risiko.
2. Beberapa program dan kegiatan telah ditetapkan dalam penetapan konteks telah diidentifikasi risikonya.
3. Risk register telah memuat: a. uraian tujuan/ sasaran strategi/ kegiatan, b. indikator tujuan/ sasaran strategis/ kegiatan, c. uraian risiko, d. pemilik risiko, e. uraian dan sumber penyebab, f. uraian dan pihak yang terdampak.
</t>
    </r>
    <r>
      <rPr>
        <rFont val="Arial"/>
        <color rgb="FF0000FF"/>
        <sz val="12.0"/>
      </rPr>
      <t xml:space="preserve">
Bukti dukung:
1. Piagam Manajemen Risiko 2022 dan 2023 (contoh: Sekretariat Jenderal Tahun 2023) (C)
2. Formulir Manajemen Risiko Tahun 2022 dan 2023 (contoh : Sekretariat Jenderal Tahun 2022) (C)
3. SK Kepala Satuan/Unit Kerja tentang Struktur Manjemen Risiko (contoh SK Sekjen Nomor 79 Tahun 2020 tentang Struktur Manajamen Risiko Setjen Kominfo dan SK Sekjen Nomor 1445 Tahun 2021 tentang Struktur Manajemen Risiko pada Biro Perencanaan Setjen Kominfo Tahun 2021) (C)
4. TOR di UKE I (C)</t>
    </r>
  </si>
  <si>
    <t>Bahwa Kementerian Kominfo telah mempunyai Kualitas identifikasi risiko dan register risiko cukup memadai, dimana:
1. Proses identifikasi risiko telah menghasilkan daftar risiko.
2. Beberapa program dan kegiatan telah ditetapkan dalam penetapan konteks telah diidentifikasi risikonya.
3. Risk register telah memuat: a. uraian tujuan/ sasaran strategi/ kegiatan, b. indikator tujuan/ sasaran strategis/ kegiatan, c. uraian risiko, d. pemilik risiko, e. uraian dan sumber penyebab, f. uraian dan pihak yang terdampak.
Bukti dukung:
1. Piagam Manajemen Risiko 2022 dan 2023 (contoh: Sekretariat Jenderal Tahun 2023) (C)
2. Formulir Manajemen Risiko Tahun 2022 dan 2023 (contoh : Sekretariat Jenderal Tahun 2022) (C)
3. SK Kepala Satuan/Unit Kerja tentang Struktur Manjemen Risiko (contoh SK Sekjen Nomor 79 Tahun 2020 tentang Struktur Manajamen Risiko Setjen Kominfo dan SK Sekjen Nomor 1445 Tahun 2021 tentang Struktur Manajemen Risiko pada Biro Perencanaan Setjen Kominfo Tahun 2021) (C)
4. TOR di UKE I (C)</t>
  </si>
  <si>
    <r>
      <rPr>
        <rFont val="Arial"/>
        <color theme="1"/>
        <sz val="12.0"/>
      </rPr>
      <t xml:space="preserve">Bahwa Kementerian Kominfo telah mempunyai Kualitas identifikasi risiko dan register risiko cukup memadai, dimana:
 1. Proses identifikasi risiko telah menghasilkan daftar risiko.
 2. Beberapa program dan kegiatan telah ditetapkan dalam penetapan konteks telah diidentifikasi risikonya.
 3. Risk register telah memuat: a. uraian tujuan/ sasaran strategi/ kegiatan, b. indikator tujuan/ sasaran strategis/ kegiatan, c. uraian risiko, d. pemilik risiko, e. uraian dan sumber penyebab, f. uraian dan pihak yang terdampak.
 Bukti dukung:
</t>
    </r>
    <r>
      <rPr>
        <rFont val="Arial"/>
        <color rgb="FF6D9EEB"/>
        <sz val="12.0"/>
      </rPr>
      <t xml:space="preserve"> 1. Piagam Manajemen Risiko 2022 dan 2023 (contoh: Sekretariat Jenderal Tahun 2023) (C)
 2. Formulir Manajemen Risiko Tahun 2022 dan 2023 (contoh : Sekretariat Jenderal Tahun 2022) (C)
 3. SK Kepala Satuan/Unit Kerja tentang Struktur Manjemen Risiko (contoh SK Sekjen Nomor 79 Tahun 2020 tentang Struktur Manajamen Risiko Setjen Kominfo dan SK Sekjen Nomor 1445 Tahun 2021 tentang Struktur Manajemen Risiko pada Biro Perencanaan Setjen Kominfo Tahun 2021) (C)
 4. TOR di UKE I (C)</t>
    </r>
  </si>
  <si>
    <t xml:space="preserve">Bahwa Kementerian Kominfo telah mempunyai Kualitas identifikasi risiko dan register risiko cukup memadai, dimana:
1. Proses identifikasi risiko telah menghasilkan daftar risiko.
2. Beberapa program dan kegiatan telah ditetapkan dalam penetapan konteks telah diidentifikasi risikonya.
3. Risk register telah memuat: a. uraian tujuan/ sasaran strategi/ kegiatan, b. indikator tujuan/ sasaran strategis/ kegiatan, c. uraian risiko, d. pemilik risiko, e. uraian dan sumber penyebab, f. uraian dan pihak yang terdampak.
Bukti dukung:
1. Piagam Manajemen Risiko 2022 dan 2023 (contoh: Sekretariat Jenderal Tahun 2023) (C)
2. Formulir Manajemen Risiko Tahun 2022 dan 2023 (contoh : Sekretariat Jenderal Tahun 2022) (C)
3. SK Kepala Satuan/Unit Kerja tentang Struktur Manjemen Risiko (contoh SK Sekjen Nomor 79 Tahun 2020 tentang Struktur Manajamen Risiko Setjen Kominfo dan SK Sekjen Nomor 1445 Tahun 2021 tentang Struktur Manajemen Risiko pada Biro Perencanaan Setjen Kominfo Tahun 2021) (C)
4. TOR di UKE I (C)
</t>
  </si>
  <si>
    <r>
      <rPr>
        <rFont val="Arial"/>
        <color rgb="FF000000"/>
        <sz val="12.0"/>
      </rPr>
      <t>Bahwa proses manajemen risiko di Kementerian Kominfo telah terintegrasi dengan proses bisnis dan proses perencanaan tingkat operasional unit kerja serta telah diterapkan secara konsisten, dimana manajemen risiko menjadi bagian dalam TOR yang disusun Satuan/Unit Kerja setiap tahunnya.</t>
    </r>
    <r>
      <rPr>
        <rFont val="Arial"/>
        <color rgb="FF0000FF"/>
        <sz val="12.0"/>
      </rPr>
      <t xml:space="preserve">
Dengan bukti dukung:
1. TOR Satuan Kerja terkait rincian output/ komponen Manajemen Risiko pada Renja Tahun 2023 (C)
2. Formulir Manajemen Risiko(C)</t>
    </r>
  </si>
  <si>
    <t>Bahwa proses manajemen risiko di Kementerian Kominfo telah terintegrasi dengan proses bisnis dan proses perencanaan tingkat operasional unit kerja serta telah diterapkan secara konsisten, dimana manajemen risiko menjadi bagian dalam TOR yang disusun Satuan/Unit Kerja setiap tahunnya.
Dengan bukti dukung:
1. TOR Satuan Kerja terkait rincian output/ komponen Manajemen Risiko pada Renja Tahun 2023 (C)
2. Formulir Manajemen Risiko (C)</t>
  </si>
  <si>
    <r>
      <rPr>
        <rFont val="Arial"/>
        <color theme="1"/>
        <sz val="12.0"/>
      </rPr>
      <t xml:space="preserve">Bahwa proses manajemen risiko di Kementerian Kominfo telah terintegrasi dengan proses bisnis dan proses perencanaan tingkat operasional unit kerja serta telah diterapkan secara konsisten, dimana manajemen risiko menjadi bagian dalam TOR yang disusun Satuan/Unit Kerja setiap tahunnya.
 Dengan bukti dukung:
</t>
    </r>
    <r>
      <rPr>
        <rFont val="Arial"/>
        <color rgb="FF6D9EEB"/>
        <sz val="12.0"/>
      </rPr>
      <t xml:space="preserve"> 1. TOR Satuan Kerja terkait rincian output/ komponen Manajemen Risiko pada Renja Tahun 2023 (C)
 2. Formulir Manajemen Risiko(C)</t>
    </r>
  </si>
  <si>
    <t xml:space="preserve">Bahwa proses manajemen risiko di Kementerian Kominfo telah terintegrasi dengan proses bisnis dan proses perencanaan tingkat operasional unit kerja serta telah diterapkan secara konsisten, dimana manajemen risiko menjadi bagian dalam TOR yang disusun Satuan/Unit Kerja setiap tahunnya.
Dengan bukti dukung:
1. TOR Satuan Kerja terkait rincian output/ komponen Manajemen Risiko pada Renja Tahun 2023 (C)
2. Formulir Manajemen Risiko(C)
</t>
  </si>
  <si>
    <t>Bahwa proses manajemen risiko di Kementerian Kominfo telah terintegrasi dengan proses bisnis dan proses perencanaan tingkat operasional unit kerja serta telah diterapkan secara konsisten, dimana manajemen risiko menjadi bagian dalam TOR yang disusun Satuan/Unit Kerja setiap tahunnya.
Dengan bukti dukung:
1. TOR Satuan Kerja terkait rincian output/ komponen Manajemen Risiko pada Renja Tahun 2023 (C)
2. Formulir Manajemen Risiko(C)</t>
  </si>
  <si>
    <r>
      <rPr>
        <rFont val="Arial"/>
        <color rgb="FF000000"/>
        <sz val="12.0"/>
      </rPr>
      <t xml:space="preserve">Bahwa Kementerian Kominfo telah melakukan proses analisis risiko terhadap seluruh risiko operasional unit kerja yang telah diidentifikasi. Namun demikian proses analisis risiko belum dikerjakan secara memadai sesuai dengan 3 kriteria sistematis. </t>
    </r>
    <r>
      <rPr>
        <rFont val="Arial"/>
        <color rgb="FF0000FF"/>
        <sz val="12.0"/>
      </rPr>
      <t xml:space="preserve">
Dengan bukti dukung:
1. Formulir Manajemen Risiko (A)
2. SK Manajemen Risiko (A)
3. Notulensi Rapat reviu Manajemen Risiko (A)
4. Screenshot Aplikasi MR Kominfo tingkat KL (A)</t>
    </r>
  </si>
  <si>
    <t>Bahwa Kementerian Kominfo telah melakukan proses analisis risiko terhadap seluruh risiko operasional unit kerja yang telah diidentifikasi. Namun demikian proses analisis risiko belum dikerjakan secara memadai sesuai dengan 3 kriteria sistematis. 
Dengan bukti dukung:
1. Formulir Manajemen Risiko (A)
2. SK Manajemen Risiko (A)
3. Notulensi Rapat reviu Manajemen Risiko (A)
4. Screenshot Aplikasi MR Kominfo tingkat KL (A)
5. TOR Inspektorat Jenderal</t>
  </si>
  <si>
    <r>
      <rPr>
        <rFont val="Arial"/>
        <color theme="1"/>
        <sz val="12.0"/>
      </rPr>
      <t xml:space="preserve">Bahwa Kementerian Kominfo telah melakukan proses analisis risiko terhadap seluruh risiko operasional unit kerja yang telah diidentifikasi. Namun demikian proses analisis risiko belum dikerjakan secara memadai sesuai dengan 3 kriteria sistematis. 
 Dengan bukti dukung:
</t>
    </r>
    <r>
      <rPr>
        <rFont val="Arial"/>
        <color rgb="FF6D9EEB"/>
        <sz val="12.0"/>
      </rPr>
      <t xml:space="preserve"> 1. Formulir Manajemen Risiko (A)</t>
    </r>
    <r>
      <rPr>
        <rFont val="Arial"/>
        <color rgb="FFFF0000"/>
        <sz val="12.0"/>
      </rPr>
      <t xml:space="preserve">
 2. SK Manajemen Risiko (A)
</t>
    </r>
    <r>
      <rPr>
        <rFont val="Arial"/>
        <color rgb="FF6D9EEB"/>
        <sz val="12.0"/>
      </rPr>
      <t xml:space="preserve"> 3. Notulensi Rapat reviu Manajemen Risiko (A)</t>
    </r>
    <r>
      <rPr>
        <rFont val="Arial"/>
        <color rgb="FFFF0000"/>
        <sz val="12.0"/>
      </rPr>
      <t xml:space="preserve">
</t>
    </r>
    <r>
      <rPr>
        <rFont val="Arial"/>
        <color rgb="FF4A86E8"/>
        <sz val="12.0"/>
      </rPr>
      <t xml:space="preserve"> 4. Screenshot Aplikasi MR Kominfo tingkat KL (A)</t>
    </r>
  </si>
  <si>
    <t xml:space="preserve">Bahwa Kementerian Kominfo telah melakukan proses analisis risiko terhadap seluruh risiko operasional unit kerja yang telah diidentifikasi. Namun demikian proses analisis risiko belum dikerjakan secara memadai sesuai dengan 3 kriteria sistematis. 
Dengan bukti dukung:
1. Formulir Manajemen Risiko (A)
2. SK Manajemen Risiko (A)
3. Notulensi Rapat reviu Manajemen Risiko (A)
4. Screenshot Aplikasi MR Kominfo tingkat KL (A)
</t>
  </si>
  <si>
    <t>Bahwa Kementerian Kominfo telah melakukan proses analisis risiko terhadap seluruh risiko operasional unit kerja yang telah diidentifikasi. Namun demikian proses analisis risiko belum dikerjakan secara memadai sesuai dengan 3 kriteria sistematis. 
Dengan bukti dukung:
1. Formulir Manajemen Risiko (A)
2. SK Manajemen Risiko (A)
3. Notulensi Rapat reviu Manajemen Risiko (A)
4. Screenshot Aplikasi MR Kominfo tingkat KL (A)</t>
  </si>
  <si>
    <r>
      <rPr>
        <rFont val="Arial"/>
        <color rgb="FF000000"/>
        <sz val="12.0"/>
      </rPr>
      <t xml:space="preserve">Bahwa Kementerian Kominfo telah melakukan proses analisis risiko terhadap seluruh risiko operasional unit kerja yang telah diidentifikasi. Namun demikian proses analisis risiko belum dikerjakan secara memadai sesuai dengan 3 kriteria sistematis. 
Dengan bukti dukung:
</t>
    </r>
    <r>
      <rPr>
        <rFont val="Arial"/>
        <color rgb="FF4A86E8"/>
        <sz val="12.0"/>
      </rPr>
      <t xml:space="preserve">1. Formulir Manajemen Risiko (A)
2. SK Manajemen Risiko (A)
3. Notulensi Rapat reviu Manajemen Risiko (A)
4. Screenshot Aplikasi MR Kominfo tingkat KL </t>
    </r>
    <r>
      <rPr>
        <rFont val="Arial"/>
        <color rgb="FF000000"/>
        <sz val="12.0"/>
      </rPr>
      <t>(A)</t>
    </r>
  </si>
  <si>
    <r>
      <rPr>
        <rFont val="Arial"/>
        <color rgb="FF000000"/>
        <sz val="12.0"/>
      </rPr>
      <t>Bahwa Kementerian Kominfo telah menentukan prioritas risiko pada seluruh risiko operasional unit kerja dan strategis unit kerja dengan mengurutkan dari risiko tertinggi sampai dengan terendah.</t>
    </r>
    <r>
      <rPr>
        <rFont val="Arial"/>
        <color rgb="FF0000FF"/>
        <sz val="12.0"/>
      </rPr>
      <t xml:space="preserve">
Dengan data dukung:
1. Formulir II MR level KL UKE I dan level UKE II (A)
2. Piagam MR level UKE I dan level UKE II (A)
3. TOR Satuan Kerja terkait rincian output/ komponen manajemen risiko pada dokumen Renja Tahun 2023 (A)
4. Laporan evaluasi MR masing-masing unit Kerja (A)
5. Screenshot Aplikasi MR Kominfo tingkat KL (A)</t>
    </r>
  </si>
  <si>
    <t>Bahwa Kementerian Kominfo telah menentukan prioritas risiko pada seluruh risiko operasional unit kerja dan strategis unit kerja dengan mengurutkan dari risiko tertinggi sampai dengan terendah.
Dengan data dukung:
1. Formulir II MR level KL UKE I dan level UKE II (A)
2. Piagam MR level UKE I dan level UKE II (A)
3. TOR Satuan Kerja terkait rincian output/ komponen manajemen risiko pada dokumen Renja Tahun 2023 (A)
4. Laporan evaluasi MR masing-masing unit Kerja (A)
5. Screenshot Aplikasi MR Kominfo tingkat KL (A)</t>
  </si>
  <si>
    <r>
      <rPr>
        <rFont val="Arial"/>
        <color theme="1"/>
        <sz val="12.0"/>
      </rPr>
      <t xml:space="preserve">Bahwa Kementerian Kominfo telah menentukan prioritas risiko pada seluruh risiko operasional unit kerja dan strategis unit kerja dengan mengurutkan dari risiko tertinggi sampai dengan terendah.
 Dengan data dukung:
</t>
    </r>
    <r>
      <rPr>
        <rFont val="Arial"/>
        <color rgb="FF6D9EEB"/>
        <sz val="12.0"/>
      </rPr>
      <t xml:space="preserve"> 1. Formulir II MR level KL UKE I dan level UKE II (A)</t>
    </r>
    <r>
      <rPr>
        <rFont val="Arial"/>
        <color rgb="FFFF0000"/>
        <sz val="12.0"/>
      </rPr>
      <t xml:space="preserve">
</t>
    </r>
    <r>
      <rPr>
        <rFont val="Arial"/>
        <color rgb="FF6D9EEB"/>
        <sz val="12.0"/>
      </rPr>
      <t xml:space="preserve"> 2. Piagam MR level UKE I dan level UKE II (A)
 3. TOR Satuan Kerja terkait rincian output/ komponen manajemen risiko pada dokumen Renja Tahun 2023 (A)
 4. Laporan evaluasi MR masing-masing unit Kerja (A)</t>
    </r>
    <r>
      <rPr>
        <rFont val="Arial"/>
        <color rgb="FFFF0000"/>
        <sz val="12.0"/>
      </rPr>
      <t xml:space="preserve">
</t>
    </r>
    <r>
      <rPr>
        <rFont val="Arial"/>
        <color rgb="FF4A86E8"/>
        <sz val="12.0"/>
      </rPr>
      <t xml:space="preserve"> 5. Screenshot Aplikasi MR Kominfo tingkat KL (A)</t>
    </r>
  </si>
  <si>
    <t xml:space="preserve">Bahwa Kementerian Kominfo telah menentukan prioritas risiko pada seluruh risiko operasional unit kerja dan strategis unit kerja dengan mengurutkan dari risiko tertinggi sampai dengan terendah.
Dengan data dukung:
1. Formulir II MR level KL UKE I dan level UKE II (A)
2. Piagam MR level UKE I dan level UKE II (A)
3. TOR Satuan Kerja terkait rincian output/ komponen manajemen risiko pada dokumen Renja Tahun 2023 (A)
4. Laporan evaluasi MR masing-masing unit Kerja (A)
5. Screenshot Aplikasi MR Kominfo tingkat KL (A)
</t>
  </si>
  <si>
    <r>
      <rPr>
        <rFont val="Arial"/>
        <color rgb="FF000000"/>
        <sz val="12.0"/>
      </rPr>
      <t xml:space="preserve">Bahwa Kementerian Kominfo Telah menentukan rencana tindak pengendalian terhadap seluruh risiko operasional unit kerja dan sebagian risiko strategis unit kerja yang telah diprioritaskan yang sudah terdapat pada Formulir 3 (Penanganan Manajemen Risiko). </t>
    </r>
    <r>
      <rPr>
        <rFont val="Arial"/>
        <color rgb="FF0000FF"/>
        <sz val="12.0"/>
      </rPr>
      <t xml:space="preserve">
Dengan bukti dukung:
1. Formulir 3 (Penanganan Manajemen Risiko) level KL UKE I dan UKE II (A)</t>
    </r>
  </si>
  <si>
    <t>Bahwa Kementerian Kominfo Telah menentukan rencana tindak pengendalian terhadap seluruh risiko operasional unit kerja dan sebagian risiko strategis unit kerja yang telah diprioritaskan yang sudah terdapat pada Formulir 3 (Penanganan Manajemen Risiko). 
Dengan bukti dukung:
1. Formulir 3 (Penanganan Manajemen Risiko) level KL UKE I dan UKE II (A)</t>
  </si>
  <si>
    <r>
      <rPr>
        <rFont val="Arial"/>
        <color theme="1"/>
        <sz val="12.0"/>
      </rPr>
      <t xml:space="preserve">Bahwa Kementerian Kominfo Telah menentukan rencana tindak pengendalian terhadap seluruh risiko operasional unit kerja dan sebagian risiko strategis unit kerja yang telah diprioritaskan yang sudah terdapat pada Formulir 3 (Penanganan Manajemen Risiko). 
 Dengan bukti dukung:
</t>
    </r>
    <r>
      <rPr>
        <rFont val="Arial"/>
        <color rgb="FF6D9EEB"/>
        <sz val="12.0"/>
      </rPr>
      <t xml:space="preserve"> 1. Formulir 3 (Penanganan Manajemen Risiko) level KL UKE I dan UKE II (A)</t>
    </r>
  </si>
  <si>
    <t xml:space="preserve">Bahwa Kementerian Kominfo Telah menentukan rencana tindak pengendalian terhadap seluruh risiko operasional unit kerja dan sebagian risiko strategis unit kerja yang telah diprioritaskan yang sudah terdapat pada Formulir 3 (Penanganan Manajemen Risiko). 
Dengan bukti dukung:
1. Formulir 3 (Penanganan Manajemen Risiko) level KL UKE I dan UKE II (A)
</t>
  </si>
  <si>
    <r>
      <rPr>
        <rFont val="Arial"/>
        <color rgb="FF000000"/>
        <sz val="12.0"/>
      </rPr>
      <t>Bahwa Kementerian Kominfo Telah menentukan rencana tindak pengendalian terhadap seluruh risiko operasional unit kerja dan sebagian risiko strategis unit kerja yang telah diprioritaskan yang sudah terdapat pada Formulir 3 (Penanganan Manajemen Risiko). 
Dengan bukti dukung:</t>
    </r>
    <r>
      <rPr>
        <rFont val="Arial"/>
        <color rgb="FF4A86E8"/>
        <sz val="12.0"/>
      </rPr>
      <t xml:space="preserve">
1. Formulir 3 (Penanganan Manajemen Risiko) level KL UKE I dan UKE II (A)</t>
    </r>
  </si>
  <si>
    <r>
      <rPr>
        <rFont val="Arial"/>
        <color rgb="FF000000"/>
        <sz val="12.0"/>
      </rPr>
      <t>Bahwa  &gt;60% RTP terhadap terhadap risiko operasional unit kerja dan strategis unit kerja yang direncanakan telah diimplementasikan dan didukung oleh sumber daya yang dibutuhkan. hal ini dibuktikan dengan:</t>
    </r>
    <r>
      <rPr>
        <rFont val="Arial"/>
        <color rgb="FF0000FF"/>
        <sz val="12.0"/>
      </rPr>
      <t xml:space="preserve">
1. Formulir Manajemen Risiko Satker/Unit Kerja (B-E)
2. Piagam Manajemen Risiko Satker/Unit Kerja(B-E)</t>
    </r>
  </si>
  <si>
    <t xml:space="preserve">Bahwa &gt;60% RTP terhadap risiko operasional unit kerja dan strategis unit kerja yang direncanakan telah diimplementasikan dan didukung oleh sumber daya yang dibutuhkan. Hal ini dibuktikan dengan:
1. Dokumen Manajemen Risiko  Inspektorat Jenderal (SK, Piagam dan Formulir MR)
2. Laporan Pemantauan MR Inspektorat Jenderal </t>
  </si>
  <si>
    <t>Bahwa &gt;60% RTP terhadap terhadap risiko operasional unit kerja dan strategis unit kerja yang direncanakan telah diimplementasikan dan didukung oleh sumber daya yang dibutuhkan. 
Bukti dukung :
1. Formulir Manajemen Risiko Satker/Unit Kerja (C)
2. Laporan Evaluasi Pelaksanaan MR (C)</t>
  </si>
  <si>
    <t xml:space="preserve">Bahwa Kementerian Kominfo Telah mengimplementasikan tindak pengendalian terhadap seluruh risiko operasional unit kerja dan sebagian risiko strategis unit kerja.
Dengan bukti dukung:
1. Formulir Manajemen Risiko
2. Piagam Manajemen Risiko
</t>
  </si>
  <si>
    <t>Bahwa Kementerian Kominfo Telah mengimplementasikan tindak pengendalian terhadap seluruh risiko operasional unit kerja dan sebagian risiko strategis unit kerja.
Dengan bukti dukung:
1. Formulir Manajemen Risiko
2. Piagam Manajemen Risiko</t>
  </si>
  <si>
    <t>Bahwa Badan Lirbang SDM Telah mengimplementasikan tindak pengendalian terhadap seluruh risiko operasional unit kerja dan sebagian risiko strategis unit kerja.
Dengan bukti dukung:
1. Formulir Manajemen Risiko (E-C)
2. Piagam Manajemen Risiko (E-C)</t>
  </si>
  <si>
    <r>
      <rPr>
        <rFont val="Arial"/>
        <color theme="1"/>
        <sz val="12.0"/>
      </rPr>
      <t xml:space="preserve">Bahwa Kementerian Kominfo Telah mengimplementasikan tindak pengendalian terhadap seluruh risiko operasional unit kerja dan sebagian risiko strategis unit kerja.
Dengan bukti dukung:
</t>
    </r>
    <r>
      <rPr>
        <rFont val="Arial"/>
        <color rgb="FF4A86E8"/>
        <sz val="12.0"/>
      </rPr>
      <t>1. Formulir Manajemen Risiko
2. Piagam Manajemen Risiko</t>
    </r>
  </si>
  <si>
    <r>
      <rPr>
        <rFont val="Arial"/>
        <color rgb="FF000000"/>
        <sz val="12.0"/>
      </rPr>
      <t xml:space="preserve">Bahwa RTP untuk operasional Unit kerja telah mampu menurunkan level risiko sebesar &lt;60%. Hal ini dibuktikan dengan:
</t>
    </r>
    <r>
      <rPr>
        <rFont val="Arial"/>
        <color rgb="FF0000FF"/>
        <sz val="12.0"/>
      </rPr>
      <t xml:space="preserve">1. Screenshot trend penurunan risiko dari aplikasi manajemen risiko di Portal Kominfo (E)
</t>
    </r>
  </si>
  <si>
    <t>Telah terdapat Dokumen Manajemen Risiko, Laporan Pemantauan Manajemen Risiko, Laporan Capaian Kinerja, Perjanjian Kerja Inspektorat Jenderal yang didalamnya terdapat tindak pengendalian yang telah efektif menurunkan risiko operasional unit kerja dan strategis unit kerja. Dimana dalam dokumen tersebut menjelaskan bahwa &gt;60% RTP terhadap terhadap risiko operasional unit kerja dan strategis unit kerja yang direncanakan telah diimplementasikan dan didukung oleh sumber daya yang dibutuhkan.</t>
  </si>
  <si>
    <t>Bahwa RTP untuk operasional Unit kerja telah mampu menurunkan level risiko sebesar &lt;60%. 
Bukti dukung :
Laporan Evaluasi Pelaksanaan MR (C)</t>
  </si>
  <si>
    <t xml:space="preserve">Bahwa tindak pengendalian di Kementerian Kominfo telah efektif menurunkan sebagian risiko operasional unit kerja. 
Dengan bukti dukung:
1. Formulir 4 MR (Pemantauan Triwulanan dan Tahunan).
2. Piagam MR
3. Screenshot trend penurunan risiko dari aplikasi manajemen risiko di Portal Kominfo
</t>
  </si>
  <si>
    <t>Bahwa tindak pengendalian di Kementerian Kominfo telah efektif menurunkan sebagian risiko operasional unit kerja. 
Dengan bukti dukung:
1. Formulir 4 MR (Pemantauan Triwulanan dan Tahunan).
2. Piagam MR
3. Screenshot trend penurunan risiko dari aplikasi manajemen risiko di Portal Kominfo</t>
  </si>
  <si>
    <t>Bahwa tindak pengendalian di Kementerian Kominfo telah efektif menurunkan sebagian risiko operasional unit kerja. 
Dengan bukti dukung:
1. Formulir 4 MR (Pemantauan Triwulanan dan Tahunan).(E)
2. Piagam MR (E)
3. Screenshot trend penurunan risiko dari aplikasi manajemen risiko di Portal Kominfo (E)</t>
  </si>
  <si>
    <r>
      <rPr>
        <rFont val="Arial"/>
        <color theme="1"/>
        <sz val="12.0"/>
      </rPr>
      <t xml:space="preserve">Bahwa tindak pengendalian di Kementerian Kominfo telah efektif menurunkan sebagian risiko operasional unit kerja. 
Dengan bukti dukung:
</t>
    </r>
    <r>
      <rPr>
        <rFont val="Arial"/>
        <color rgb="FF4A86E8"/>
        <sz val="12.0"/>
      </rPr>
      <t>1. Formulir 4 MR (Pemantauan Triwulanan dan Tahunan).
2. Piagam MR
3. Screenshot trend penurunan risiko dari aplikasi manajemen risiko di Portal Kominfo</t>
    </r>
  </si>
  <si>
    <r>
      <rPr>
        <rFont val="Arial"/>
        <color rgb="FF000000"/>
        <sz val="12.0"/>
      </rPr>
      <t>Bahwa kebijakan dan pelaksanaan reviu kinerja di Kementerian Kominfo oleh masing-masing jenjang pimpinan Telah dievaluasi secara berkala.</t>
    </r>
    <r>
      <rPr>
        <rFont val="Arial"/>
        <color rgb="FF0000FF"/>
        <sz val="12.0"/>
      </rPr>
      <t xml:space="preserve"> 
Dengan data dukung:
1. Screenshot aplikasi PANTAU dan e-Monev (A)
2. Laporan pelaksanaan program prioritas (A)
3. SKP (aplikasi e-kinerja) (A)
4. Permenkominfo Nomor 13 Tahun 2015 tentang Pedoman Penyelenggaraan Sistem Akuntabilitas Kinerja Instansi Pemerintah pada Kementerian Kominfo (A)
5. Laporan hasil Evaluasi SAKIP Kementerian oleh Kemenpan RB (A)
6. Hasil RB Kementerian oleh MenpanRB (A)
7. Draft Perjanjian Kinerja Tahun 2023 (A)
8. Dokumen manual indikator pengukuran Perjanjian Kinerja (A)
9. Draft Keputusan Menteri tentang Penetapan Indikator Kinerja Utama (A)</t>
    </r>
  </si>
  <si>
    <t>Bahwa kebijakan dan pelaksanaan reviu kinerja di Kementerian Kominfo oleh masing-masing jenjang pimpinan Telah dievaluasi secara berkala. 
Dengan data dukung:
1. Laporan tugas reviu kinerja (A)
2. Screenshot aplikasi PANTAU dan e-Monev (A)
3. Laporan pelaksanaan program prioritas (A)
4. SKP (aplikasi e-kinerja) (A)
5. Permenkominfo Nomor 13 Tahun 2015 tentang Pedoman Penyelenggaraan Sistem Akuntabilitas Kinerja Instansi Pemerintah pada Kementerian Kominfo (A)
6. Laporan hasil Evaluasi SAKIP Kementerian oleh Kemenpan RB (A)
7. Hasil RB Kementerian oleh MenpanRB (A)
8. Draft Perjanjian Kinerja Tahun 2023 (A)
9. Dokumen manual indikator pengukuran Perjanjian Kinerja (A)
10. Draft Keputusan Menteri tentang Penetapan Indikator Kinerja Utama (A)</t>
  </si>
  <si>
    <r>
      <rPr>
        <rFont val="Arial"/>
        <color rgb="FF000000"/>
        <sz val="12.0"/>
      </rPr>
      <t xml:space="preserve">Bahwa kebijakan dan pelaksanaan reviu kinerja di Kementerian Kominfo oleh masing-masing jenjang pimpinan Telah dievaluasi secara berkala. 
 Dengan data dukung:
</t>
    </r>
    <r>
      <rPr>
        <rFont val="Arial"/>
        <color rgb="FF4A86E8"/>
        <sz val="12.0"/>
      </rPr>
      <t xml:space="preserve"> 1. Laporan tugas reviu kinerja (A)
 2. Screenshot aplikasi PANTAU dan e-Monev (A)</t>
    </r>
    <r>
      <rPr>
        <rFont val="Arial"/>
        <color rgb="FFFF0000"/>
        <sz val="12.0"/>
      </rPr>
      <t xml:space="preserve">
 3. Laporan pelaksanaan program prioritas (A)
</t>
    </r>
    <r>
      <rPr>
        <rFont val="Arial"/>
        <color rgb="FF6D9EEB"/>
        <sz val="12.0"/>
      </rPr>
      <t xml:space="preserve"> 4. SKP (aplikasi e-kinerja) (A)</t>
    </r>
    <r>
      <rPr>
        <rFont val="Arial"/>
        <color rgb="FFFF0000"/>
        <sz val="12.0"/>
      </rPr>
      <t xml:space="preserve">
</t>
    </r>
    <r>
      <rPr>
        <rFont val="Arial"/>
        <color rgb="FF6D9EEB"/>
        <sz val="12.0"/>
      </rPr>
      <t xml:space="preserve"> 5. Permenkominfo Nomor 13 Tahun 2015 tentang Pedoman Penyelenggaraan Sistem Akuntabilitas Kinerja Instansi Pemerintah pada Kementerian Kominfo (A)</t>
    </r>
    <r>
      <rPr>
        <rFont val="Arial"/>
        <color rgb="FFFF0000"/>
        <sz val="12.0"/>
      </rPr>
      <t xml:space="preserve">
</t>
    </r>
    <r>
      <rPr>
        <rFont val="Arial"/>
        <color rgb="FF6D9EEB"/>
        <sz val="12.0"/>
      </rPr>
      <t xml:space="preserve"> 6. Laporan hasil Evaluasi SAKIP Kementerian oleh Kemenpan RB (A)
 7. Hasil RB Kementerian oleh MenpanRB (A)</t>
    </r>
    <r>
      <rPr>
        <rFont val="Arial"/>
        <color rgb="FFFF0000"/>
        <sz val="12.0"/>
      </rPr>
      <t xml:space="preserve">
 8. Draft Perjanjian Kinerja Tahun 2023 (A)
 9. Dokumen manual indikator pengukuran Perjanjian Kinerja (A)
 </t>
    </r>
    <r>
      <rPr>
        <rFont val="Arial"/>
        <color rgb="FF4A86E8"/>
        <sz val="12.0"/>
      </rPr>
      <t>10. Draft Keputusan Menteri tentang Penetapan Indikator Kinerja Utama (A)</t>
    </r>
  </si>
  <si>
    <t xml:space="preserve">Bahwa kebijakan dan pelaksanaan reviu kinerja di Kementerian Kominfo oleh masing-masing jenjang pimpinan Telah dievaluasi secara berkala. 
Dengan data dukung:
1. Laporan tugas reviu kinerja (A)
2. Screenshot aplikasi PANTAU dan e-Monev (A)
3. Laporan pelaksanaan program prioritas (A)
4. SKP (aplikasi e-kinerja) (A)
5. Permenkominfo Nomor 13 Tahun 2015 tentang Pedoman Penyelenggaraan Sistem Akuntabilitas Kinerja Instansi Pemerintah pada Kementerian Kominfo (A)
6. Laporan hasil Evaluasi SAKIP Kementerian oleh Kemenpan RB (A)
7. Hasil RB Kementerian oleh MenpanRB (A)
8. Draft Perjanjian Kinerja Tahun 2023 (A)
9. Dokumen manual indikator pengukuran Perjanjian Kinerja (A)
10. Draft Keputusan Menteri tentang Penetapan Indikator Kinerja Utama (A)
</t>
  </si>
  <si>
    <t>Bahwa kebijakan dan pelaksanaan reviu kinerja di Kementerian Kominfo oleh masing-masing jenjang pimpinan Telah dievaluasi secara berkala. 
Dengan data dukung:
1. Screenshot aplikasi PANTAU dan e-Monev (A)
2. Laporan pelaksanaan program prioritas (A)
3. SKP (aplikasi e-kinerja) (A)
4. Permenkominfo Nomor 13 Tahun 2015 tentang Pedoman Penyelenggaraan Sistem Akuntabilitas Kinerja Instansi Pemerintah pada Kementerian Kominfo (A)
5. Laporan hasil Evaluasi SAKIP Kementerian oleh Kemenpan RB (A)
6. Hasil RB Kementerian oleh MenpanRB (A)
7. Draft Perjanjian Kinerja Tahun 2023 (A)
8. Dokumen manual indikator pengukuran Perjanjian Kinerja (A)
9. Draft Keputusan Menteri tentang Penetapan Indikator Kinerja Utama (A)</t>
  </si>
  <si>
    <r>
      <rPr>
        <rFont val="Arial"/>
        <color theme="1"/>
        <sz val="12.0"/>
      </rPr>
      <t xml:space="preserve">Bahwa pembinaan SDM di Kementerian Kominfo telah dilaksanakan sesuai kebijakan/prosedur yang ditetapkan organisasi. 
</t>
    </r>
    <r>
      <rPr>
        <rFont val="Arial"/>
        <color rgb="FF0000FF"/>
        <sz val="12.0"/>
      </rPr>
      <t>Dengan bukti dukung:
1. Hasil evaluasi pelaksanaan Reformasi Birokrasi (C)
2. Laporan dan dokumentasi FGD / Bimtek pelatihan bagi pegawai (C)
3. Laporan pengembangan kompetensi (C)
4. Laporan pengembangan kepegawaian (C)
5. Laporan sosialisasi penyusunan SKP (B)
6. Laporan sosialiasi Kominfo BERAKHLAK (B)</t>
    </r>
  </si>
  <si>
    <t>Bahwa pembinaan SDM di Kementerian Kominfo telah dilaksanakan sesuai kebijakan/prosedur yang ditetapkan organisasi. 
Dengan bukti dukung:
1. Hasil evaluasi pelaksanaan Reformasi Birokrasi (C)
2. Laporan dan dokumentasi FGD / Bimtek pelatihan bagi pegawai (C)
3. Laporan pengembangan kompetensi (C)
4. Laporan pengembangan kepegawaian (C)
5. Laporan sosialisasi penyusunan SKP (B)
6. Laporan sosialiasi Kominfo BERAKHLAK (B)
7. Hasil SPIP Tahun 2021</t>
  </si>
  <si>
    <r>
      <rPr>
        <rFont val="Arial"/>
        <color theme="1"/>
        <sz val="12.0"/>
      </rPr>
      <t xml:space="preserve">Bahwa pembinaan SDM di Kementerian Kominfo telah dilaksanakan sesuai kebijakan/prosedur yang ditetapkan organisasi. 
 Dengan bukti dukung:
</t>
    </r>
    <r>
      <rPr>
        <rFont val="Arial"/>
        <color rgb="FF6D9EEB"/>
        <sz val="12.0"/>
      </rPr>
      <t xml:space="preserve"> 1. Hasil evaluasi pelaksanaan Reformasi Birokrasi (C)</t>
    </r>
    <r>
      <rPr>
        <rFont val="Arial"/>
        <color rgb="FFFF0000"/>
        <sz val="12.0"/>
      </rPr>
      <t xml:space="preserve">
 2. Laporan dan dokumentasi FGD / Bimtek pelatihan bagi pegawai (C)
</t>
    </r>
    <r>
      <rPr>
        <rFont val="Arial"/>
        <color rgb="FF6D9EEB"/>
        <sz val="12.0"/>
      </rPr>
      <t xml:space="preserve"> 3. Laporan pengembangan kompetensi (C)</t>
    </r>
    <r>
      <rPr>
        <rFont val="Arial"/>
        <color rgb="FFFF0000"/>
        <sz val="12.0"/>
      </rPr>
      <t xml:space="preserve">
 4. Laporan pengembangan kepegawaian (C)
</t>
    </r>
    <r>
      <rPr>
        <rFont val="Arial"/>
        <color rgb="FF4A86E8"/>
        <sz val="12.0"/>
      </rPr>
      <t xml:space="preserve"> 5. Laporan sosialisasi penyusunan SKP (B)
 6. Laporan sosialiasi Kominfo BERAKHLAK (B)</t>
    </r>
  </si>
  <si>
    <t xml:space="preserve">Bahwa pembinaan SDM di Kementerian Kominfo telah dilaksanakan sesuai kebijakan/prosedur yang ditetapkan organisasi. 
Dengan bukti dukung:
1. Hasil evaluasi pelaksanaan Reformasi Birokrasi (C)
2. Laporan dan dokumentasi FGD / Bimtek pelatihan bagi pegawai (C)
3. Laporan pengembangan kompetensi (C)
4. Laporan pengembangan kepegawaian (C)
5. Laporan sosialisasi penyusunan SKP (B)
6. Laporan sosialiasi Kominfo BERAKHLAK (B)
</t>
  </si>
  <si>
    <t>Bahwa pembinaan SDM di Kementerian Kominfo telah dilaksanakan sesuai kebijakan/prosedur yang ditetapkan organisasi. 
Dengan bukti dukung:
1. Hasil evaluasi pelaksanaan Reformasi Birokrasi (C)
2. Laporan dan dokumentasi FGD / Bimtek pelatihan bagi pegawai (C)
3. Laporan pengembangan kompetensi (C)
4. Laporan pengembangan kepegawaian (C)
5. Laporan sosialisasi penyusunan SKP (B)
6. Laporan sosialiasi Kominfo BERAKHLAK (B)</t>
  </si>
  <si>
    <r>
      <rPr>
        <rFont val="Arial"/>
        <color rgb="FF000000"/>
        <sz val="12.0"/>
      </rPr>
      <t xml:space="preserve">Bahwa pembinaan SDM di Kementerian Kominfo telah dilaksanakan sesuai kebijakan/prosedur yang ditetapkan organisasi. 
Dengan bukti dukung:
</t>
    </r>
    <r>
      <rPr>
        <rFont val="Arial"/>
        <color rgb="FF4A86E8"/>
        <sz val="12.0"/>
      </rPr>
      <t>1. Hasil evaluasi pelaksanaan Reformasi Birokrasi (C)
2. Laporan dan dokumentasi FGD / Bimtek pelatihan bagi pegawai (C)
3. Laporan pengembangan kompetensi (C)
4. Laporan pengembangan kepegawaian (C)
5. Laporan sosialisasi penyusunan SKP (B)
6. Laporan sosialiasi Kominfo BERAKHLAK</t>
    </r>
    <r>
      <rPr>
        <rFont val="Arial"/>
        <color rgb="FF000000"/>
        <sz val="12.0"/>
      </rPr>
      <t xml:space="preserve"> (B)</t>
    </r>
  </si>
  <si>
    <r>
      <rPr>
        <rFont val="Arial"/>
        <color theme="1"/>
        <sz val="12.0"/>
      </rPr>
      <t xml:space="preserve">Kebijakan pengelolaan sistem informasi di Kementerian Kominfo telah digunakan dalam analisis kebutuhan dukungan sistem informasi, kemanfaatan sistem informasi existing, serta struktur pengelola dan pengguna sistem informasi beserta wewenang dan tanggungjawabnya.
</t>
    </r>
    <r>
      <rPr>
        <rFont val="Arial"/>
        <color rgb="FF0000FF"/>
        <sz val="12.0"/>
      </rPr>
      <t>Dengan bukti dukung:
1. Hasil survey kepuasan layanan beberapa aplikasi sistem informasi untuk menunjang pelaksanaan pekerjaan sehari-hari yang mendukung tujuan organisasi (absensi geotagging, database data kepegawaian melalui aplikasi simpatik, data penyerapan anggaran melaui aplikasi SIDARA, layanan email) pada Portal kementerian Kominfo (C)
2. Laporan hasil analisis pemetaan/pendataan kebutuhan aset-aset yang berhubungan dengan teknologi informasi (C)
3. Laporan hasil konsultasi dengan Unit Kerja terkait kebutuhan sistem informasi/aplikasi yang mendukung kinerja (B)
4. SOP pengelolaan sistem informasi (E)</t>
    </r>
  </si>
  <si>
    <t xml:space="preserve">Kebijakan pengelolaan sistem informasi di Kementerian Kominfo telah digunakan dalam analisis kebutuhan dukungan sistem informasi, kemanfaatan sistem informasi existing, serta struktur pengelola dan pengguna sistem informasi beserta wewenang dan tanggungjawabnya.
Dengan bukti dukung:
1. Hasil survey kepuasan layanan beberapa aplikasi sistem informasi untuk menunjang pelaksanaan pekerjaan sehari-hari yang mendukung tujuan organisasi (absensi geotagging, database data kepegawaian melalui aplikasi simpatik, data penyerapan anggaran melaui aplikasi SIDARA, layanan email) pada Portal kementerian Kominfo (C)
2. Laporan hasil analisis pemetaan/pendataan kebutuhan aset-aset yang berhubungan dengan teknologi informasi (C)
3. Laporan hasil konsultasi dengan Unit Kerja terkait kebutuhan sistem informasi/aplikasi yang mendukung kinerja (B)
4. SOP pengelolaan sistem informasi (E)
Lalu untuk Inspektorat Jenderal juga telah dilakukan evaluasi secara bertahap terhadap kebijakan pengendalian atas pengelolaan sistem informasi organisasi melalui : 
1. Laporan Evaluasi SIMWAS Triwulan Tahun 2022
2. SS Aplikasi Simwas
3. Book Aplikasi SIMWAS
4. Laporan Survei Kepuasan Layanan Pengawasan TA 2022
</t>
  </si>
  <si>
    <r>
      <rPr>
        <rFont val="Arial"/>
        <color theme="1"/>
        <sz val="12.0"/>
      </rPr>
      <t xml:space="preserve">Kebijakan pengelolaan sistem informasi di Kementerian Kominfo telah digunakan dalam analisis kebutuhan dukungan sistem informasi, kemanfaatan sistem informasi existing, serta struktur pengelola dan pengguna sistem informasi beserta wewenang dan tanggungjawabnya.
 Dengan bukti dukung:
</t>
    </r>
    <r>
      <rPr>
        <rFont val="Arial"/>
        <color rgb="FFFF0000"/>
        <sz val="12.0"/>
      </rPr>
      <t xml:space="preserve"> 1. Hasil survey kepuasan layanan beberapa aplikasi sistem informasi untuk menunjang pelaksanaan pekerjaan sehari-hari yang mendukung tujuan organisasi (absensi geotagging, database data kepegawaian melalui aplikasi simpatik, data penyerapan anggaran melaui aplikasi SIDARA, layanan email) pada Portal kementerian Kominfo (C)
</t>
    </r>
    <r>
      <rPr>
        <rFont val="Arial"/>
        <color rgb="FF6D9EEB"/>
        <sz val="12.0"/>
      </rPr>
      <t xml:space="preserve"> 2. Laporan hasil analisis pemetaan/pendataan kebutuhan aset-aset yang berhubungan dengan teknologi informasi (C)
 3. Laporan hasil konsultasi dengan Unit Kerja terkait kebutuhan sistem informasi/aplikasi yang mendukung kinerja (B)</t>
    </r>
    <r>
      <rPr>
        <rFont val="Arial"/>
        <color rgb="FFFF0000"/>
        <sz val="12.0"/>
      </rPr>
      <t xml:space="preserve">
</t>
    </r>
    <r>
      <rPr>
        <rFont val="Arial"/>
        <color rgb="FF6D9EEB"/>
        <sz val="12.0"/>
      </rPr>
      <t xml:space="preserve"> 4. SOP pengelolaan sistem informasi (E)</t>
    </r>
  </si>
  <si>
    <t xml:space="preserve">Kebijakan pengelolaan sistem informasi di Kementerian Kominfo telah digunakan dalam analisis kebutuhan dukungan sistem informasi, kemanfaatan sistem informasi existing, serta struktur pengelola dan pengguna sistem informasi beserta wewenang dan tanggungjawabnya.
Dengan bukti dukung:
1. Hasil survey kepuasan layanan beberapa aplikasi sistem informasi untuk menunjang pelaksanaan pekerjaan sehari-hari yang mendukung tujuan organisasi (absensi geotagging, database data kepegawaian melalui aplikasi simpatik, data penyerapan anggaran melaui aplikasi SIDARA, layanan email) pada Portal kementerian Kominfo (C)
2. Laporan hasil analisis pemetaan/pendataan kebutuhan aset-aset yang berhubungan dengan teknologi informasi (C)
3. Laporan hasil konsultasi dengan Unit Kerja terkait kebutuhan sistem informasi/aplikasi yang mendukung kinerja (B)
4. SOP pengelolaan sistem informasi (E)
</t>
  </si>
  <si>
    <t>Kebijakan pengelolaan sistem informasi di Kementerian Kominfo telah digunakan dalam analisis kebutuhan dukungan sistem informasi, kemanfaatan sistem informasi existing, serta struktur pengelola dan pengguna sistem informasi beserta wewenang dan tanggungjawabnya.
Dengan bukti dukung:
1. Hasil survey kepuasan layanan beberapa aplikasi sistem informasi untuk menunjang pelaksanaan pekerjaan sehari-hari yang mendukung tujuan organisasi (absensi geotagging, database data kepegawaian melalui aplikasi simpatik, data penyerapan anggaran melaui aplikasi SIDARA, layanan email) pada Portal kementerian Kominfo (C)
2. Laporan hasil analisis pemetaan/pendataan kebutuhan aset-aset yang berhubungan dengan teknologi informasi (C)
3. Laporan hasil konsultasi dengan Unit Kerja terkait kebutuhan sistem informasi/aplikasi yang mendukung kinerja (B)
4. SOP pengelolaan sistem informasi (E)</t>
  </si>
  <si>
    <r>
      <rPr>
        <rFont val="Arial"/>
        <color rgb="FF000000"/>
        <sz val="12.0"/>
      </rPr>
      <t xml:space="preserve">Kebijakan pengelolaan sistem informasi di Kementerian Kominfo telah digunakan dalam analisis kebutuhan dukungan sistem informasi, kemanfaatan sistem informasi existing, serta struktur pengelola dan pengguna sistem informasi beserta wewenang dan tanggungjawabnya.
Dengan bukti dukung:
</t>
    </r>
    <r>
      <rPr>
        <rFont val="Arial"/>
        <color rgb="FF4A86E8"/>
        <sz val="12.0"/>
      </rPr>
      <t>1. Hasil survey kepuasan layanan beberapa aplikasi sistem informasi untuk menunjang pelaksanaan pekerjaan sehari-hari yang mendukung tujuan organisasi (absensi geotagging, database data kepegawaian melalui aplikasi simpatik, data penyerapan anggaran melaui aplikasi SIDARA, layanan email) pada Portal kementerian Kominfo (C)
2. Laporan hasil analisis pemetaan/pendataan kebutuhan aset-aset yang berhubungan dengan teknologi informasi (C)
3. Laporan hasil konsultasi dengan Unit Kerja terkait kebutuhan sistem informasi/aplikasi yang mendukung kinerja (B)
4. SOP pengelolaan sistem informasi (E)</t>
    </r>
  </si>
  <si>
    <r>
      <rPr>
        <rFont val="Arial"/>
        <color theme="1"/>
        <sz val="12.0"/>
      </rPr>
      <t xml:space="preserve">Bahwa telah dilakukan perbaikan berkelanjutan atas pengelolaan aset yang didukung dengan sistem pengendalian aset yang tertintegrasi dibuktikan dengan aplikasi yang digunakan dalam pengelolaan BMN yang bertujuan untuk meminimalisir aset dengan kondisi rusak baik ringan/berat yang dibuktikan dengan :
</t>
    </r>
    <r>
      <rPr>
        <rFont val="Arial"/>
        <color rgb="FFFF0000"/>
        <sz val="12.0"/>
      </rPr>
      <t>1. Laporan barang rusak ringan/berat Tahun Semester I Tahun 2021 dan Semester I Tahun 2022 (A)
2. Laporan Penghapusan BMN Tahun 2022 (A)
3. Tidak terdapat keluhan dan tidak terdapat aset pribadi yang digunakan untuk keperluan organisasi dan sebaliknya yang dibuktikan dengan usulan pengadaan aset hanya sesuai kebutuhan dan tertuang dalam Rencana Kebutuhan BMN Tahun 2022 (A)
4. Laporan RK-BMN Hasil Penelaahan bersama DJKN Tahun 2022
5. CaLK Es 1 Tahun 2021
6. CALBMN Es 1 Tahun 2021
7.  Laporan Pengawasan dan Pengendalian BMN Tahun 2022 (B) 
8. Laporan Hasil Reviu atas Laporan BMN Tahun 2022 (B)
9. Tindak Lanjut atas LHR Laporan BMN Tahun 2022 (B)</t>
    </r>
    <r>
      <rPr>
        <rFont val="Arial"/>
        <color theme="1"/>
        <sz val="12.0"/>
      </rPr>
      <t xml:space="preserve">
Bahwa kebijakan pengelolaan aset telah di implementasikan, antara lain:
10. Aset yang beresiko hilang, dicuri, rusak digunakan tanpa hak secara fisik diamankan dan akses atas aset dikendalian melaui mekanisme Surat peminjaman/pemakaian aset, daftar barang ruangan (DBR), foto bukti pemagaran/papan nama atas aset, sertikasi atas aset  (C)
</t>
    </r>
    <r>
      <rPr>
        <rFont val="Arial"/>
        <color rgb="FFFF0000"/>
        <sz val="12.0"/>
      </rPr>
      <t>11. Aset secara fisik dihitung dan dibandingkan dengan catatan pengendalian yang dibuktikan dengan Berita Acara opname fisik persediaan, BA inventarisasi BMN Tahun 2022 (C)</t>
    </r>
    <r>
      <rPr>
        <rFont val="Arial"/>
        <color theme="1"/>
        <sz val="12.0"/>
      </rPr>
      <t xml:space="preserve">
12. Identifikasi aset dilekatkan pada fisik aset melalui labelisasi atas BMN (foto label BMN) (C)
13. Persediaan dan perlengkapan disimpan di tempat yang diamankan secara fisik (digudang) dan dilindungi dari kerusakan (foto gudang persediaan) (C)
14. Observasi dilakukan secara rutin oleh pengelola aset untuk melihat secara langsung kegiatan pengamanan dan penggunaan aset sudah sesuai dengan kebijakan/SOP yang ditetapkan (lembar verifikasi usulan pengelolaan BMN untuk memastikan bahwa pengelolaan Aset sesuai dengan SOP) (C)  
15. Penerapan ISO 27001 dalam menangani keamanan data center  (C)
16. Pengguna aset dapat memperoleh manfaat atas keberadaan aset dalam mendukung kinerja organsisasi (BA pemakaian aset) (C)
Kebijakan/SOP tentang pengelolaan aset telah disampaikan kepada seluruh pejabat dan sebagian besar pegawai serta pihak lain yang berkepentingan melalui Sosialisasi Pedoman Pengelolaan BMN
</t>
    </r>
    <r>
      <rPr>
        <rFont val="Arial"/>
        <color rgb="FFFF0000"/>
        <sz val="12.0"/>
      </rPr>
      <t xml:space="preserve">17. Laporan Pelaksanaan tugas/notulensi sosialisasi Pedoman terkait RK BMN Tahun 2022 (D)
18. Laporan Pelaksanaan tugas/notulensi sosialisasi  Pedoman Akuntansi BMN Tahun 2022  (D)
19. Laporan Pelaksanaan tugas/notulensi sosialisasi  Pedoman Penghapusan BMN Tahun 2022  (D)
20. Laporan Pelaksanaan tugas/notulensi sosialisasi  Pedoman Pengawasan dan Pengendalian BMN Tahun 2022  (D)
21. Laporan Pelaksanaan tugas/notulensi sosialisasi  Juknis Pemanfaatan BMN Tahun 2022  (D)
22 Laporan Pelaksanaan tugas/notulensi sosialisasi  Juknis mengenai Asuransi BMN Tahun 2022  (D)
23. Laporan Pelaksanaan tugas/notulensi sosialisasi  Dokumen terkait asuransi BMN Tahun 2022 (D)
</t>
    </r>
    <r>
      <rPr>
        <rFont val="Arial"/>
        <color theme="1"/>
        <sz val="12.0"/>
      </rPr>
      <t xml:space="preserve">
Telah ditetapkan kebijakan terkait pengelolaan Aset/penatausahaan BMN yaitu:
24. Pedoman terkait RK BMN (E)
25. Pedoman Akuntansi BMN (E)
26. Pedoman Penghapusan BMN (E)
27. Pedoman Pengawasan dan Pengendalian BMN (E)
28. Juknis Pemanfaatan BMN (E)
29. Juknis mengenai Asuransi BMN (E)
30. Dokumen terkait asuransi BMN (E)</t>
    </r>
  </si>
  <si>
    <t>Bahwa telah dilakukan perbaikan berkelanjutan atas pengelolaan aset yang didukung dengan sistem pengendalian aset yang tertintegrasi dibuktikan dengan aplikasi yang digunakan dalam pengelolaan BMN yang bertujuan untuk meminimalisir aset dengan kondisi rusak baik ringan/berat yang dibuktikan dengan
1. Laporan barang rusak ringan/berat Tahun Semester I Tahun 2021 dan Semester I Tahun 2022 (A)
2. Laporan Penghapusan BMN Tahun 2022 (A)
3. Tidak terdapat keluhan dan tidak terdapat aset pribadi yang digunakan untuk keperluan organisasi dan sebaliknya yang dibuktikan dengan usulan pengadaan aset hanya sesuai kebutuhan dan tertuang dalam Rencana Kebutuhan BMN Tahun 2022 (A)
4. Laporan RK-BMN Hasil Penelaahan bersama DJKN Tahun 2022
5. CaLK Es 1 Tahun 2021
6. CALBMN Es 1 Tahun 2021
7.  Laporan Pengawasan dan Pengendalian BMN Tahun 2022 (B) 
8. Laporan Hasil Reviu atas Laporan BMN Tahun 2022 (B)
9. Tindak Lanjut atas LHR Laporan BMN Tahun 2022 (B)
Bahwa kebijakan pengelolaan aset telah di implementasikan, antara lain:
10. Aset yang beresiko hilang, dicuri, rusak digunakan tanpa hak secara fisik diamankan dan akses atas aset dikendalian melaui mekanisme Surat peminjaman/pemakaian aset, daftar barang ruangan (DBR), foto bukti pemagaran/papan nama atas aset, sertikasi atas aset  (C)
11. Aset secara fisik dihitung dan dibandingkan dengan catatan pengendalian yang dibuktikan dengan Berita Acara opname fisik persediaan, BA inventarisasi BMN Tahun 2022 (C)
12. Identifikasi aset dilekatkan pada fisik aset melalui labelisasi atas BMN (foto label BMN) (C)
13. Persediaan dan perlengkapan disimpan di tempat yang diamankan secara fisik (digudang) dan dilindungi dari kerusakan (foto gudang persediaan) (C)
14. Observasi dilakukan secara rutin oleh pengelola aset untuk melihat secara langsung kegiatan pengamanan dan penggunaan aset sudah sesuai dengan kebijakan/SOP yang ditetapkan (lembar verifikasi usulan pengelolaan BMN untuk memastikan bahwa pengelolaan Aset sesuai dengan SOP) (C)  
15. Penerapan ISO 27001 dalam menangani keamanan data center  (C)
16. Pengguna aset dapat memperoleh manfaat atas keberadaan aset dalam mendukung kinerja organsisasi (BA pemakaian aset) (C)
Kebijakan/SOP tentang pengelolaan aset telah disampaikan kepada seluruh pejabat dan sebagian besar pegawai serta pihak lain yang berkepentingan melalui Sosialisasi Pedoman Pengelolaan BMN
17. Laporan Pelaksanaan tugas/notulensi sosialisasi Pedoman terkait RK BMN Tahun 2022 (D)
18. Laporan Pelaksanaan tugas/notulensi sosialisasi  Pedoman Akuntansi BMN Tahun 2022  (D)
19. Laporan Pelaksanaan tugas/notulensi sosialisasi  Pedoman Penghapusan BMN Tahun 2022  (D)
20. Laporan Pelaksanaan tugas/notulensi sosialisasi  Pedoman Pengawasan dan Pengendalian BMN Tahun 2022  (D)
21. Laporan Pelaksanaan tugas/notulensi sosialisasi  Juknis Pemanfaatan BMN Tahun 2022  (D)
22 Laporan Pelaksanaan tugas/notulensi sosialisasi  Juknis mengenai Asuransi BMN Tahun 2022  (D)
23. Laporan Pelaksanaan tugas/notulensi sosialisasi  Dokumen terkait asuransi BMN Tahun 2022 (D)
Telah ditetapkan kebijakan terkait pengelolaan Aset/penatausahaan BMN yaitu:
24. Pedoman terkait RK BMN (E)
25. Pedoman Akuntansi BMN (E)
26. Pedoman Penghapusan BMN (E)
27. Pedoman Pengawasan dan Pengendalian BMN (E)
28. Juknis Pemanfaatan BMN (E)
29. Juknis mengenai Asuransi BMN (E)
30. Dokumen terkait asuransi BMN (E)
Lalu  di Inspektorat Jendral, telah dilakukan perbaikan berkelanjutan atas pengelolaan aset yang didukung dengan sistem pengendalian aset yang tertintegrasi dibuktikan;
1. Laporan BMN Inspektorat Jenderal
2. Laporan Pengawasan dan Pengendalian Inspektorat Jenderal 
3. tidak terdapat keluhan dan tidak terdapat aset pribadi yang digunakan untuk keperluan organisasi dan sebaliknya yang dibuktikan dengan usulan pengadaan aset hanya sesuai kebutuhan dan tertuang dalam Rencana Kebutuhan BMN 
4. Pembangunan APlikasi eBMN di Lingkup Inspektorat Jenderal</t>
  </si>
  <si>
    <r>
      <rPr>
        <rFont val="Arial"/>
        <color theme="1"/>
        <sz val="12.0"/>
      </rPr>
      <t xml:space="preserve">Bahwa telah dilakukan perbaikan berkelanjutan atas pengelolaan aset yang didukung dengan sistem pengendalian aset yang tertintegrasi dibuktikan dengan aplikasi yang digunakan dalam pengelolaan BMN yang bertujuan untuk meminimalisir aset dengan kondisi rusak baik ringan/berat yang dibuktikan dengan
</t>
    </r>
    <r>
      <rPr>
        <rFont val="Arial"/>
        <color rgb="FF6D9EEB"/>
        <sz val="12.0"/>
      </rPr>
      <t xml:space="preserve"> 1. Laporan barang rusak ringan/berat Tahun Semester I Tahun 2021 dan Semester I Tahun 2022 (A)
 2. Laporan Penghapusan BMN Tahun 2022 (A)</t>
    </r>
    <r>
      <rPr>
        <rFont val="Arial"/>
        <color rgb="FFFF0000"/>
        <sz val="12.0"/>
      </rPr>
      <t xml:space="preserve">
</t>
    </r>
    <r>
      <rPr>
        <rFont val="Arial"/>
        <color rgb="FF6D9EEB"/>
        <sz val="12.0"/>
      </rPr>
      <t xml:space="preserve"> 3. Tidak terdapat keluhan dan tidak terdapat aset pribadi yang digunakan untuk keperluan organisasi dan sebaliknya yang dibuktikan dengan usulan pengadaan aset hanya sesuai kebutuhan dan tertuang dalam Rencana Kebutuhan BMN Tahun 2022 (A)</t>
    </r>
    <r>
      <rPr>
        <rFont val="Arial"/>
        <color rgb="FFFF0000"/>
        <sz val="12.0"/>
      </rPr>
      <t xml:space="preserve">
 4. Laporan RK-BMN Hasil Penelaahan bersama DJKN Tahun 2022
</t>
    </r>
    <r>
      <rPr>
        <rFont val="Arial"/>
        <color rgb="FF6D9EEB"/>
        <sz val="12.0"/>
      </rPr>
      <t xml:space="preserve"> 5. CaLK Es 1 Tahun 2021
 6. CALBMN Es 1 Tahun 2021</t>
    </r>
    <r>
      <rPr>
        <rFont val="Arial"/>
        <color rgb="FFFF0000"/>
        <sz val="12.0"/>
      </rPr>
      <t xml:space="preserve">
</t>
    </r>
    <r>
      <rPr>
        <rFont val="Arial"/>
        <color rgb="FF6D9EEB"/>
        <sz val="12.0"/>
      </rPr>
      <t xml:space="preserve"> 7. Laporan Pengawasan dan Pengendalian BMN Tahun 2022 (B) </t>
    </r>
    <r>
      <rPr>
        <rFont val="Arial"/>
        <color rgb="FFFF0000"/>
        <sz val="12.0"/>
      </rPr>
      <t xml:space="preserve">
 8. Laporan Hasil Reviu atas Laporan BMN Tahun 2022 (B)
 9. Tindak Lanjut atas LHR Laporan BMN Tahun 2022 (B)
 Bahwa kebijakan pengelolaan aset telah di implementasikan, antara lain:
</t>
    </r>
    <r>
      <rPr>
        <rFont val="Arial"/>
        <color rgb="FF6D9EEB"/>
        <sz val="12.0"/>
      </rPr>
      <t xml:space="preserve"> 10. Aset yang beresiko hilang, dicuri, rusak digunakan tanpa hak secara fisik diamankan dan akses atas aset dikendalian melaui mekanisme Surat peminjaman/pemakaian aset, daftar barang ruangan (DBR), foto bukti pemagaran/papan nama atas aset, sertikasi atas aset (C)</t>
    </r>
    <r>
      <rPr>
        <rFont val="Arial"/>
        <color rgb="FFFF0000"/>
        <sz val="12.0"/>
      </rPr>
      <t xml:space="preserve">
</t>
    </r>
    <r>
      <rPr>
        <rFont val="Arial"/>
        <color rgb="FF6D9EEB"/>
        <sz val="12.0"/>
      </rPr>
      <t xml:space="preserve"> 11. Aset secara fisik dihitung dan dibandingkan dengan catatan pengendalian yang dibuktikan dengan Berita Acara opname fisik persediaan, BA inventarisasi BMN Tahun 2022 (C)
 12. Identifikasi aset dilekatkan pada fisik aset melalui labelisasi atas BMN (foto label BMN) (C)
 13. Persediaan dan perlengkapan disimpan di tempat yang diamankan secara fisik (digudang) dan dilindungi dari kerusakan (foto gudang persediaan) (C)</t>
    </r>
    <r>
      <rPr>
        <rFont val="Arial"/>
        <color rgb="FFFF0000"/>
        <sz val="12.0"/>
      </rPr>
      <t xml:space="preserve">
 14. Observasi dilakukan secara rutin oleh pengelola aset untuk melihat secara langsung kegiatan pengamanan dan penggunaan aset sudah sesuai dengan kebijakan/SOP yang ditetapkan (lembar verifikasi usulan pengelolaan BMN untuk memastikan bahwa pengelolaan Aset sesuai dengan SOP) (C) 
 15. Penerapan ISO 27001 dalam menangani keamanan data center (C)
 16. Pengguna aset dapat memperoleh manfaat atas keberadaan aset dalam mendukung kinerja organsisasi (BA pemakaian aset) (C)
 Kebijakan/SOP tentang pengelolaan aset telah disampaikan kepada seluruh pejabat dan sebagian besar pegawai serta pihak lain yang berkepentingan melalui Sosialisasi Pedoman Pengelolaan BMN
</t>
    </r>
    <r>
      <rPr>
        <rFont val="Arial"/>
        <color rgb="FF6D9EEB"/>
        <sz val="12.0"/>
      </rPr>
      <t xml:space="preserve"> 17. Laporan Pelaksanaan tugas/notulensi sosialisasi Pedoman terkait RK BMN Tahun 2022 (D)</t>
    </r>
    <r>
      <rPr>
        <rFont val="Arial"/>
        <color rgb="FFFF0000"/>
        <sz val="12.0"/>
      </rPr>
      <t xml:space="preserve">
 18. Laporan Pelaksanaan tugas/notulensi sosialisasi Pedoman Akuntansi BMN Tahun 2022 (D)
</t>
    </r>
    <r>
      <rPr>
        <rFont val="Arial"/>
        <color rgb="FF6D9EEB"/>
        <sz val="12.0"/>
      </rPr>
      <t xml:space="preserve"> 19. Laporan Pelaksanaan tugas/notulensi sosialisasi Pedoman Penghapusan BMN Tahun 2022 (D)
 20. Laporan Pelaksanaan tugas/notulensi sosialisasi Pedoman Pengawasan dan Pengendalian BMN Tahun 2022 (D)</t>
    </r>
    <r>
      <rPr>
        <rFont val="Arial"/>
        <color rgb="FFFF0000"/>
        <sz val="12.0"/>
      </rPr>
      <t xml:space="preserve">
 21. Laporan Pelaksanaan tugas/notulensi sosialisasi Juknis Pemanfaatan BMN Tahun 2022 (D)
 22 Laporan Pelaksanaan tugas/notulensi sosialisasi Juknis mengenai Asuransi BMN Tahun 2022 (D)
 23. Laporan Pelaksanaan tugas/notulensi sosialisasi Dokumen terkait asuransi BMN Tahun 2022 (D)
 Telah ditetapkan kebijakan terkait pengelolaan Aset/penatausahaan BMN yaitu:
</t>
    </r>
    <r>
      <rPr>
        <rFont val="Arial"/>
        <color rgb="FF6D9EEB"/>
        <sz val="12.0"/>
      </rPr>
      <t xml:space="preserve"> 24. Pedoman terkait RK BMN (E)
 25. Pedoman Akuntansi BMN (E)
 26. Pedoman Penghapusan BMN (E)
 27. Pedoman Pengawasan dan Pengendalian BMN (E)
 28. Juknis Pemanfaatan BMN (E)
 29. Juknis mengenai Asuransi BMN (E)
 30. Dokumen terkait asuransi BMN (E)</t>
    </r>
  </si>
  <si>
    <t xml:space="preserve">Bahwa telah dilakukan perbaikan berkelanjutan atas pengelolaan aset yang didukung dengan sistem pengendalian aset yang tertintegrasi dibuktikan dengan aplikasi yang digunakan dalam pengelolaan BMN yang bertujuan untuk meminimalisir aset dengan kondisi rusak baik ringan/berat yang dibuktikan dengan
1. Laporan barang rusak ringan/berat Tahun Semester I Tahun 2021 dan Semester I Tahun 2022 (A)
2. Laporan Penghapusan BMN Tahun 2022 (A)
3. Tidak terdapat keluhan dan tidak terdapat aset pribadi yang digunakan untuk keperluan organisasi dan sebaliknya yang dibuktikan dengan usulan pengadaan aset hanya sesuai kebutuhan dan tertuang dalam Rencana Kebutuhan BMN Tahun 2022 (A)
4. Laporan RK-BMN Hasil Penelaahan bersama DJKN Tahun 2022
5. CaLK Es 1 Tahun 2021
6. CALBMN Es 1 Tahun 2021
7.  Laporan Pengawasan dan Pengendalian BMN Tahun 2022 (B) 
8. Laporan Hasil Reviu atas Laporan BMN Tahun 2022 (B)
9. Tindak Lanjut atas LHR Laporan BMN Tahun 2022 (B)
Bahwa kebijakan pengelolaan aset telah di implementasikan, antara lain:
10. Aset yang beresiko hilang, dicuri, rusak digunakan tanpa hak secara fisik diamankan dan akses atas aset dikendalian melaui mekanisme Surat peminjaman/pemakaian aset, daftar barang ruangan (DBR), foto bukti pemagaran/papan nama atas aset, sertikasi atas aset  (C)
11. Aset secara fisik dihitung dan dibandingkan dengan catatan pengendalian yang dibuktikan dengan Berita Acara opname fisik persediaan, BA inventarisasi BMN Tahun 2022 (C)
12. Identifikasi aset dilekatkan pada fisik aset melalui labelisasi atas BMN (foto label BMN) (C)
13. Persediaan dan perlengkapan disimpan di tempat yang diamankan secara fisik (digudang) dan dilindungi dari kerusakan (foto gudang persediaan) (C)
14. Observasi dilakukan secara rutin oleh pengelola aset untuk melihat secara langsung kegiatan pengamanan dan penggunaan aset sudah sesuai dengan kebijakan/SOP yang ditetapkan (lembar verifikasi usulan pengelolaan BMN untuk memastikan bahwa pengelolaan Aset sesuai dengan SOP) (C)  
15. Penerapan ISO 27001 dalam menangani keamanan data center  (C)
16. Pengguna aset dapat memperoleh manfaat atas keberadaan aset dalam mendukung kinerja organsisasi (BA pemakaian aset) (C)
Kebijakan/SOP tentang pengelolaan aset telah disampaikan kepada seluruh pejabat dan sebagian besar pegawai serta pihak lain yang berkepentingan melalui Sosialisasi Pedoman Pengelolaan BMN
17. Laporan Pelaksanaan tugas/notulensi sosialisasi Pedoman terkait RK BMN Tahun 2022 (D)
18. Laporan Pelaksanaan tugas/notulensi sosialisasi  Pedoman Akuntansi BMN Tahun 2022  (D)
19. Laporan Pelaksanaan tugas/notulensi sosialisasi  Pedoman Penghapusan BMN Tahun 2022  (D)
20. Laporan Pelaksanaan tugas/notulensi sosialisasi  Pedoman Pengawasan dan Pengendalian BMN Tahun 2022  (D)
21. Laporan Pelaksanaan tugas/notulensi sosialisasi  Juknis Pemanfaatan BMN Tahun 2022  (D)
22 Laporan Pelaksanaan tugas/notulensi sosialisasi  Juknis mengenai Asuransi BMN Tahun 2022  (D)
23. Laporan Pelaksanaan tugas/notulensi sosialisasi  Dokumen terkait asuransi BMN Tahun 2022 (D)
Telah ditetapkan kebijakan terkait pengelolaan Aset/penatausahaan BMN yaitu:
24. Pedoman terkait RK BMN (E)
25. Pedoman Akuntansi BMN (E)
26. Pedoman Penghapusan BMN (E)
27. Pedoman Pengawasan dan Pengendalian BMN (E)
28. Juknis Pemanfaatan BMN (E)
29. Juknis mengenai Asuransi BMN (E)
30. Dokumen terkait asuransi BMN (E)
</t>
  </si>
  <si>
    <t>Bahwa telah dilakukan perbaikan berkelanjutan atas pengelolaan aset yang didukung dengan sistem pengendalian aset yang tertintegrasi dibuktikan dengan aplikasi yang digunakan dalam pengelolaan BMN yang bertujuan untuk meminimalisir aset dengan kondisi rusak baik ringan/berat yang dibuktikan dengan :
1. Laporan barang rusak ringan/berat Tahun Semester I Tahun 2021 dan Semester I Tahun 2022 (A)
2. Laporan Penghapusan BMN Tahun 2022 (A)
3. Tidak terdapat keluhan dan tidak terdapat aset pribadi yang digunakan untuk keperluan organisasi dan sebaliknya yang dibuktikan dengan usulan pengadaan aset hanya sesuai kebutuhan dan tertuang dalam Rencana Kebutuhan BMN Tahun 2022 (A)
4. Laporan RK-BMN Hasil Penelaahan bersama DJKN Tahun 2022
5. CaLK Es 1 Tahun 2021
6. CALBMN Es 1 Tahun 2021
7.  Laporan Pengawasan dan Pengendalian BMN Tahun 2022 (B) 
8. Laporan Hasil Reviu atas Laporan BMN Tahun 2022 (B)
9. Tindak Lanjut atas LHR Laporan BMN Tahun 2022 (B)
Bahwa kebijakan pengelolaan aset telah di implementasikan, antara lain:
10. Aset yang beresiko hilang, dicuri, rusak digunakan tanpa hak secara fisik diamankan dan akses atas aset dikendalian melaui mekanisme Surat peminjaman/pemakaian aset, daftar barang ruangan (DBR), foto bukti pemagaran/papan nama atas aset, sertikasi atas aset  (C)
11. Aset secara fisik dihitung dan dibandingkan dengan catatan pengendalian yang dibuktikan dengan Berita Acara opname fisik persediaan, BA inventarisasi BMN Tahun 2022 (C)
12. Identifikasi aset dilekatkan pada fisik aset melalui labelisasi atas BMN (foto label BMN) (C)
13. Persediaan dan perlengkapan disimpan di tempat yang diamankan secara fisik (digudang) dan dilindungi dari kerusakan (foto gudang persediaan) (C)
14. Observasi dilakukan secara rutin oleh pengelola aset untuk melihat secara langsung kegiatan pengamanan dan penggunaan aset sudah sesuai dengan kebijakan/SOP yang ditetapkan (lembar verifikasi usulan pengelolaan BMN untuk memastikan bahwa pengelolaan Aset sesuai dengan SOP) (C)  
15. Penerapan ISO 27001 dalam menangani keamanan data center  (C)
16. Pengguna aset dapat memperoleh manfaat atas keberadaan aset dalam mendukung kinerja organsisasi (BA pemakaian aset) (C)
Kebijakan/SOP tentang pengelolaan aset telah disampaikan kepada seluruh pejabat dan sebagian besar pegawai serta pihak lain yang berkepentingan melalui Sosialisasi Pedoman Pengelolaan BMN
17. Laporan Pelaksanaan tugas/notulensi sosialisasi Pedoman terkait RK BMN Tahun 2022 (D)
18. Laporan Pelaksanaan tugas/notulensi sosialisasi  Pedoman Akuntansi BMN Tahun 2022  (D)
19. Laporan Pelaksanaan tugas/notulensi sosialisasi  Pedoman Penghapusan BMN Tahun 2022  (D)
20. Laporan Pelaksanaan tugas/notulensi sosialisasi  Pedoman Pengawasan dan Pengendalian BMN Tahun 2022  (D)
21. Laporan Pelaksanaan tugas/notulensi sosialisasi  Juknis Pemanfaatan BMN Tahun 2022  (D)
22 Laporan Pelaksanaan tugas/notulensi sosialisasi  Juknis mengenai Asuransi BMN Tahun 2022  (D)
23. Laporan Pelaksanaan tugas/notulensi sosialisasi  Dokumen terkait asuransi BMN Tahun 2022 (D)
Telah ditetapkan kebijakan terkait pengelolaan Aset/penatausahaan BMN yaitu:
24. Pedoman terkait RK BMN (E)
25. Pedoman Akuntansi BMN (E)
26. Pedoman Penghapusan BMN (E)
27. Pedoman Pengawasan dan Pengendalian BMN (E)
28. Juknis Pemanfaatan BMN (E)
29. Juknis mengenai Asuransi BMN (E)
30. Dokumen terkait asuransi BMN (E)</t>
  </si>
  <si>
    <r>
      <rPr>
        <rFont val="Arial"/>
        <color rgb="FF000000"/>
        <sz val="12.0"/>
      </rPr>
      <t xml:space="preserve">Bahwa kebijakan/prosedur penetapan dan reviu atas indikator dan ukuran kinerja organisasi di Kementerian Kominfo telah dievaluasi secara berkala. </t>
    </r>
    <r>
      <rPr>
        <rFont val="Arial"/>
        <color rgb="FF0000FF"/>
        <sz val="12.0"/>
      </rPr>
      <t xml:space="preserve">
Dengan bukti dukung:
1. Draft Keputusan Menteri tentang Indikator Kinerja Utama (IKU) (E)
2. Laporan program prioritas Tahun 2022 (D-B)
3. Perjanjian Kinerja beserta dengan manual indikator (E-B)
4. Laporan Tugas penyusunan draft PK Tahun 2023 (C-B)
5. Hasil evaluasi SAKIP Kementerian oleh MenpanRB Tahun 2022 (D)</t>
    </r>
  </si>
  <si>
    <t>Bahwa kebijakan/prosedur penetapan dan reviu atas indikator dan ukuran kinerja organisasi di Kementerian Kominfo telah dievaluasi secara berkala. 
Dengan bukti dukung:
1. Draft Keputusan Menteri tentang Indikator Kinerja Utama (IKU) (E)
2. Laporan program prioritas Tahun 2022 (D-B)
3. Laporan pemantauan bulanan (D-B)
4. Perjanjian Kinerja beserta dengan manual indikator (E-B)
5. Laporan Tugas penyusunan draft PK Tahun 2023 (C-B)
6. Hasil evaluasi SAKIP Kementerian oleh MenpanRB Tahun 2022 (D)4. Dokumen Monev Rencana Kerja Tahunan (RKT) Tahun 2022 - 2023</t>
  </si>
  <si>
    <r>
      <rPr>
        <rFont val="Arial"/>
        <color theme="1"/>
        <sz val="12.0"/>
      </rPr>
      <t xml:space="preserve">Bahwa kebijakan/prosedur penetapan dan reviu atas indikator dan ukuran kinerja organisasi di Kementerian Kominfo telah dievaluasi secara berkala. 
 Dengan bukti dukung:
 </t>
    </r>
    <r>
      <rPr>
        <rFont val="Arial"/>
        <color rgb="FF4A86E8"/>
        <sz val="12.0"/>
      </rPr>
      <t>1. Draft Keputusan Menteri tentang Indikator Kinerja Utama (IKU) (E)</t>
    </r>
    <r>
      <rPr>
        <rFont val="Arial"/>
        <color rgb="FFFF0000"/>
        <sz val="12.0"/>
      </rPr>
      <t xml:space="preserve">
 </t>
    </r>
    <r>
      <rPr>
        <rFont val="Arial"/>
        <color rgb="FF4A86E8"/>
        <sz val="12.0"/>
      </rPr>
      <t>2. Laporan program prioritas Tahun 2022 (D-B)</t>
    </r>
    <r>
      <rPr>
        <rFont val="Arial"/>
        <color rgb="FFFF0000"/>
        <sz val="12.0"/>
      </rPr>
      <t xml:space="preserve">
 3. Laporan pemantauan bulanan (D-B)
 4. Perjanjian Kinerja beserta dengan manual indikator (E-B)
 </t>
    </r>
    <r>
      <rPr>
        <rFont val="Arial"/>
        <color rgb="FF4A86E8"/>
        <sz val="12.0"/>
      </rPr>
      <t>5. Laporan Tugas penyusunan draft PK Tahun 2023 (C-B)</t>
    </r>
    <r>
      <rPr>
        <rFont val="Arial"/>
        <color rgb="FFFF0000"/>
        <sz val="12.0"/>
      </rPr>
      <t xml:space="preserve">
 6. Hasil evaluasi SAKIP Kementerian oleh MenpanRB Tahun 2022 (D)</t>
    </r>
  </si>
  <si>
    <t xml:space="preserve">Bahwa kebijakan/prosedur penetapan dan reviu atas indikator dan ukuran kinerja organisasi di Kementerian Kominfo telah dievaluasi secara berkala. 
Dengan bukti dukung:
1. Draft Keputusan Menteri tentang Indikator Kinerja Utama (IKU) (E)
2. Laporan program prioritas Tahun 2022 (D-B)
3. Laporan pemantauan bulanan (D-B)
4. Perjanjian Kinerja beserta dengan manual indikator (E-B)
5. Laporan Tugas penyusunan draft PK Tahun 2023 (C-B)
6. Hasil evaluasi SAKIP Kementerian oleh MenpanRB Tahun 2022 (D)
</t>
  </si>
  <si>
    <t>Bahwa kebijakan/prosedur penetapan dan reviu atas indikator dan ukuran kinerja organisasi di Kementerian Kominfo telah dievaluasi secara berkala. 
Dengan bukti dukung:
1. Draft Keputusan Menteri tentang Indikator Kinerja Utama (IKU) (E)
2. Laporan program prioritas Tahun 2022 (D-B)
3. Perjanjian Kinerja beserta dengan manual indikator (E-B)
4. Laporan Tugas penyusunan draft PK Tahun 2023 (C-B)
5. Hasil evaluasi SAKIP Kementerian oleh MenpanRB Tahun 2022 (D)</t>
  </si>
  <si>
    <t>Bahwa kebijakan/prosedur penetapan dan reviu atas indikator dan ukuran kinerja organisasi di Kementerian Kominfo telah dievaluasi secara berkala. 
Dengan bukti dukung:
1. Draft Keputusan Menteri tentang Indikator Kinerja Utama (IKU) (E)
2. Laporan program prioritas Tahun 2022 (D-B)
3. Laporan pemantauan bulanan (D-B)
4. Perjanjian Kinerja beserta dengan manual indikator (E-B)
5. Laporan Tugas penyusunan draft PK Tahun 2023 (C-B)
6. Hasil evaluasi SAKIP Kementerian oleh MenpanRB Tahun 2022 (D)</t>
  </si>
  <si>
    <r>
      <rPr>
        <rFont val="Arial"/>
        <color theme="1"/>
        <sz val="12.0"/>
      </rPr>
      <t xml:space="preserve">Bahwa penmisahan fungsi telah mampu menyesuaikan dengan perubahan lingkungan strategis, memitigasi resiko kolusi dan penyelahgunaan wewenang serta membuat pelaksanaan program dan kegiatan lebih efektif 
</t>
    </r>
    <r>
      <rPr>
        <rFont val="Arial"/>
        <color rgb="FFFF0000"/>
        <sz val="12.0"/>
      </rPr>
      <t>1. Kertas Kerja Manajemen Risiko terkait penyusunan LK/keandalan pelaporan keuangan Tahun 2022 (A)
2. Nilai Reformasi Birokrasi Tahun 2022 (A)
3. Sertifikat/SK Penghargaan atas LK Tahun 2021 (A)
4. Rekap jumlah temuan BPK Tahun 2021 dan 2020 (A)</t>
    </r>
    <r>
      <rPr>
        <rFont val="Arial"/>
        <color rgb="FF0000FF"/>
        <sz val="12.0"/>
      </rPr>
      <t xml:space="preserve">
</t>
    </r>
    <r>
      <rPr>
        <rFont val="Arial"/>
        <color rgb="FFFF00FF"/>
        <sz val="12.0"/>
      </rPr>
      <t>5. Laporan evaluasi terkait benturan kepentingan (A)
6. Tindak lanjut atas hasil evaluasi terkait benturan kepentingan (A)</t>
    </r>
    <r>
      <rPr>
        <rFont val="Arial"/>
        <color rgb="FF0000FF"/>
        <sz val="12.0"/>
      </rPr>
      <t xml:space="preserve">
</t>
    </r>
    <r>
      <rPr>
        <rFont val="Arial"/>
        <color rgb="FFFF0000"/>
        <sz val="12.0"/>
      </rPr>
      <t>7. Undangan rapat Permenkominfo Nomor 12 Tahun 2021 tentang SOTK (B)
8. Notulensi rapat Permenkominfo Nomor 12 Tahun 2021 tentang SOTK (B)
9. Undangan rapat SK penunjukan PPK, PPSPM dan KPA Tahun 2022 (B)
10. Notulensi rapat SK penunjukan PPK, PPSPM dan KPA Tahun 2022 (B)</t>
    </r>
    <r>
      <rPr>
        <rFont val="Arial"/>
        <color rgb="FF0000FF"/>
        <sz val="12.0"/>
      </rPr>
      <t xml:space="preserve">
</t>
    </r>
    <r>
      <rPr>
        <rFont val="Arial"/>
        <color rgb="FFFF0000"/>
        <sz val="12.0"/>
      </rPr>
      <t>11. Nodin usulan perubahan nama PPK, PPSPM dan KPA Tahun 2022 (B)
12. SK Pengelola Keuangan (KPA, PPK, PP SPM) Tahun 2022 (C)</t>
    </r>
    <r>
      <rPr>
        <rFont val="Arial"/>
        <color rgb="FF0000FF"/>
        <sz val="12.0"/>
      </rPr>
      <t xml:space="preserve">
</t>
    </r>
    <r>
      <rPr>
        <rFont val="Arial"/>
        <color rgb="FFFF0000"/>
        <sz val="12.0"/>
      </rPr>
      <t>13. SK UAKPA Tahun 2023 (C)
14. SK UAPA Tahun 2023 (C)</t>
    </r>
    <r>
      <rPr>
        <rFont val="Arial"/>
        <color rgb="FF0000FF"/>
        <sz val="12.0"/>
      </rPr>
      <t xml:space="preserve">
15. Laporan/notulensi/foto pelaksanaan sosialisasi Permenkominfo Nomor 12 Tahun 2021 tentang SOTK (D)
16. Permenkominfo Nomor 6 Tahun 2018 tentang SOTK (E) 
17. Permenkominfo Nomor 12 Tahun 2021 tentang SOTK (E) 
</t>
    </r>
    <r>
      <rPr>
        <rFont val="Arial"/>
        <color rgb="FFFF0000"/>
        <sz val="12.0"/>
      </rPr>
      <t xml:space="preserve">18. SK Pejabat Pengadaan Barang/Jasa Tahun 2023 (E) 
19. SK penunjukan PPK, PPSPM dan KPA Tahun 2023 (E) </t>
    </r>
    <r>
      <rPr>
        <rFont val="Arial"/>
        <color rgb="FF0000FF"/>
        <sz val="12.0"/>
      </rPr>
      <t xml:space="preserve">
20. Anjab Penyusun LK (E) 
21. SOP pengeloaan/penatausahaan BMN (E) </t>
    </r>
  </si>
  <si>
    <t>Telah dilakukan evaluasi atas kebijakan dan implementasi terkait pemisahan fungsi dalam proses transaksi dan kejadian, dibuktikan melalui dokumen Evaluasi Pembatasan Akses atas Sumber Daya dan Catatan SMT II 2019, SMT I &amp; II 2020, dan SMT I &amp; II 2021 dengan hasil menunjukan bahwa Pembatasan akses terhadap Uang Persediaan, Dokumen Transaksi Keuangan dan Aplikasi Keuangan telah diimplemantasikan dengan baik, serta terdapat tindak lanjut atas Pembatasan akses terhadap Aplikasi SAKTI yang akan diimplementasikan pada tahun 2023 dilakukan dengan pengajuan user dan password dengan role sebagai admin, operator, validator dan approval kepada KPPN Jakarta 1.
Dengan pembatasan Akses terhadap sumberdaya yang dilakukan pemisahan fungsi dalam proses transaksi dan kejadian dianggap telah efesien dan akurat. Hasil evaluasi menyatakan bahwa tidak adanya kelemahan dan setiap peran pengelola keuangan secara simultan  berperan penting dan menjaga akuntabilitas dalam tugas dan fungsi yang diberikan.</t>
  </si>
  <si>
    <t>Bahwa Ditjen SDPPI telah melakukan pemisahan fungsi dan telah  diperbaiki secara berkelanjutan dan secara optimal mampu mendukung pencapaian tujuan organisasi dibuktikan dengan verifikasi usulan pengelola keuangan sebelum ditetapkan setiap tahunnya. Pemisahan fungsi dilakukan melalui otorisasi yang dilakukan hanya oleh pejabat berwenang (otorisasi penandatanganan SPP dan SPM)
Dokumen terlampir :
1. KEPDIRJEN No. 1 Tahun 2023 Tentang Tim Kerja di Lingkungan Ditjen SDPPI (B)
2. ND Undangan dan Laporan Rapat Verifikasi Dok Usulan Pengelola Keuangan UPT dan Kantor Pusat (B)
3. Bukti Pelaksanaan Pemisahanan Fungsi dalam proses pertanggungjawaban keuangan (contoh SPP dan SPM terlampir) (C)
4. ND Penyampaian dari Sekditjen kepada seluruh Satker Ditjen SDPPI terkait KEPDIRJEN No. 1 Tahun 2023 Tentang Tim Kerja di Lingkungan Ditjen SDPPI (D)
5. SK PPBJ, PSPP, BPP di Ditjen SDPPI (E)
6. SK Sesditjen SDPPI No. 122 Tahun 2022 tentang Anggota Tim Kerja Serta Tugas dan Hasil Kerja Tim Kerja di Lingkungan Setditjen SDPPI (E)</t>
  </si>
  <si>
    <t>Bahwa Ditjen Aptika telah melakukan pemisahan fungsi dalam proses transaksi dan kejadian sesuai kebijakan/prosedur yang ditetapkan, dan telah diperbaiki secara berkelanjutan sehingga secara optimal mampu mendukung pencapaian tujuan organisasi.
1. SOP Setditjen
2. SK KPA TA 2022
3. Laporan Pertanggungjawaban Bendahara
4. SK Menteri Kominfo TA 2022</t>
  </si>
  <si>
    <r>
      <rPr>
        <rFont val="Arial"/>
        <color rgb="FF000000"/>
        <sz val="12.0"/>
      </rPr>
      <t xml:space="preserve">bahwa telah dilaksanakan evaluasi Pemisahan fungsi dalam proses transaksi dan kejadian telah dilaksanakan sesuai kebijakan
- SK tim pengelolaan dan penyimpanan aset BMN
- PP 30 tahun 2019
- Permen PAN RB nomor 8 tahun 2021
- SK tim pengelolaan dan penyimpanan aset BMN
- PermenPANRB No. 7/ 2022 tentang sistem kerja baru
</t>
    </r>
    <r>
      <rPr>
        <rFont val="Arial"/>
        <color rgb="FFFF0000"/>
        <sz val="12.0"/>
      </rPr>
      <t>- SK Menteri Kominfo Nomor 695 Tahun 2020 tentang penetapan KPA, PPK, PPSPM, Bendahara penerimaan dan bendahara pengeluaran di lingkungan kementerian kominfo
- SK Menteri Kominfo Nomor 574 Tahun 2021 tentang penetapan KPA, PPK, PPSPM, Bendahara penerimaan dan bendahara pengeluaran di lingkungan kementerian kominfo
- SK Menteri Kominfo Nomor 552 Tahun 2022 tentang penetapan KPA, PPK, PPSPM, Bendahara penerimaan dan bendahara pengeluaran di lingkungan kementerian kominfo
- SK Dirjen PPI No 1 Tahun 2023 tentang Tim Penunjukan Staf Kuasa Pengguna Anggaran, Staf Pejabat Pembuat Komitmen, Staf Pejabat Penerbit Surat Perintah Membayar, dan Staf Bendahara Pengeluaran di Lingkungan Ditjen PPI
- SK Dirjen Nomor 1 Tahun 2022 tentang Penunjukkan Staff Kuasa Pengguna Anggaran, Staff Pejabat Pembuat Komitmen, Staff Pejabat Penerbit Surat Perintah Membayar, dan Staff Bendahara Pengeluaran di lingkungan Ditjen PPI Tahun Anggaran 2022
- SK Dirjen Nomor 2 Tahun 2022 tentang Tim Pengelola Keuangan Penerimaan Negara Bukan Pajak di lingkungan Ditjen PPI
- SK Dirjen Nomor 3 Tahun 2022 tentang Tim Unit Akuntansi Pembantu Pengguna Anggaran dan Kuasa Pengguna Anggaran Ditjen PPI Tahun Anggaran 2022
- Surat Perintah Tugas Tim Kerja di Lingkungan Sekretariat Ditjen PPI
- Disposisi Simaya
- Disposisi melalui virtual
- Permen PAN RB nomor 8 tahun 2021
- SK Dirjen PPI Nomor 215 Tahun 2022 tentang Tim Kerja di Lingkungan Ditjen PPI</t>
    </r>
    <r>
      <rPr>
        <rFont val="Arial"/>
        <color rgb="FF000000"/>
        <sz val="12.0"/>
      </rPr>
      <t xml:space="preserve">
</t>
    </r>
  </si>
  <si>
    <t>Bahwa di Badan Litbang SDM  telah terdapat Pemisahan Fungsi
yang dilaksanakan oleh para pegawai dalam melaksanakan tugas dan fungsinya di Badan Litbang SDM sesuai dengan kebijakan/prosedur yang telah ditetapkan. Hal ini dibuktikan dengan
1. Terdapat Laporan Barang Milik Negara dan Laporan Keuangan Periodik tingkat Eselon 1 dan Tingkat Eselon 2/UPT (E-A)
2. Adanya Kebijakan yang mengatur pemisahan fungsi dalam proses transaksi keuangan, penatausahaan BMN dan Pelaporan Keuangan tingkat Instansi di Aplikasi SAKTI dari User Operator, Validator dan Approval (E-A)</t>
  </si>
  <si>
    <t>Bahwa pemisahan fungsi dalam proses transaksi dan kejadian telah dilaksanakan sesuai kebijakan/prosedur yang ditetapkan, dibuktikan dengan :
1.  Bag Keuangan : SK Pejabat Pengelola Anggaran 2023 (KPA, PPK, PPSPM, Bendahara), SK User SAKTI (aplikasi Kemenkeu-operator, validator, approver) dengan validasi berjenjang
2. Bag Kepegawaian : SOP dan Struktur Organisasi  DJIKP, SK User admin APIK, dst
3. Bag BMN : SK Pengelola administrasi dengan pengelolaan fisik Persediaan dan BMN</t>
  </si>
  <si>
    <t>Bahwa BAKTI telah melakukan kebijakan dan implementasi terkait pemisahan fungsi dalam proses transaksi dan kejadian telah dievaluasi sehingga dapat diketahui efektivitasnya.
Dengan bukti dukung :
1. SOP Pengelolaan Keuangan
2. Laporan Rapat Rekonsiliasi PUM</t>
  </si>
  <si>
    <r>
      <rPr>
        <rFont val="Arial"/>
        <color theme="1"/>
        <sz val="12.0"/>
      </rPr>
      <t xml:space="preserve">Fungsi otorisasi telah mampu menyesuaikan dengan perubahan lingkungan strategis dan efektif mampu memitigasi resiko kolusi dan penyelahgunaan wewenang dan membuat pelaksanaan program/kegiatan lebih efektif
</t>
    </r>
    <r>
      <rPr>
        <rFont val="Arial"/>
        <color rgb="FFFF0000"/>
        <sz val="12.0"/>
      </rPr>
      <t>1. Laporan Penggunaan/peminjaman BMN yang menunjukan tidak adanya penyalahgunaan BMN (A)
2. Laporan Hasil PIPK terkait pengelolaan aset Tahun 2022 (A)
3. Laporan hasil opname fisik persediaan  Tahun 2022 (A)
4. Lembar verifikasi SPP yang membantu memastikan bahwa SPP/ dokumen pembayaran telah dilakukan otorisasi sesuai kewenangan masing2 (PPK, PP SPM, Bendahara) Tahun 2023 (A)</t>
    </r>
    <r>
      <rPr>
        <rFont val="Arial"/>
        <color theme="1"/>
        <sz val="12.0"/>
      </rPr>
      <t xml:space="preserve">
</t>
    </r>
    <r>
      <rPr>
        <rFont val="Arial"/>
        <color rgb="FF0000FF"/>
        <sz val="12.0"/>
      </rPr>
      <t xml:space="preserve">5. Kertas kerja PIPK pembahasan terkait otorisasi transaksi dan kejadian penting (B)
6. Laporan Hasil PIPK (B)
7. SPP yang telah diperbaik (B)i </t>
    </r>
    <r>
      <rPr>
        <rFont val="Arial"/>
        <color theme="1"/>
        <sz val="12.0"/>
      </rPr>
      <t xml:space="preserve">
</t>
    </r>
    <r>
      <rPr>
        <rFont val="Arial"/>
        <color rgb="FFFF0000"/>
        <sz val="12.0"/>
      </rPr>
      <t>8. Notulensi Rapat pembahasan Pedoman PA 2022 (B)
Lembar verifikasi SPP yang membantu memastikan bahwa SPP/ dokumen pembayaran telah dilakukan otorisasi sesuai kewenangan masing2 (PPK, PP SPM, Bendahara) Tahun 2023 (A)
9. SPM yang telah ditandatangani oleh PP SPM Tahun 2023 (C)</t>
    </r>
    <r>
      <rPr>
        <rFont val="Arial"/>
        <color theme="1"/>
        <sz val="12.0"/>
      </rPr>
      <t xml:space="preserve">
</t>
    </r>
    <r>
      <rPr>
        <rFont val="Arial"/>
        <color rgb="FF0000FF"/>
        <sz val="12.0"/>
      </rPr>
      <t>10. Surat peminjaman/pemakaian BMN yang telah diotorisasi oleh yg berwenang/pengelola BMN (C)
11. Notulensi tentang PIPK (D)
12. Nodin penyampaian SK Sekjen Nomor 103 Tahun 2020 tentang PIPK (D)
13. SK Pengelola Keuangan (KPA, PP SPM, PPK) (D)
14. SK Verifikator SPP di lingkungan Setjen (D)
15. SK Sekjen Nomor 103 Tahun 2020 tentang PIPK (E)
16. Surat Tugas pelaksanaan PIPK (E)
17. SOP penyusunan LK (E)
18. Pedoman PA Kemkominfo Tahun 2021 (E)</t>
    </r>
  </si>
  <si>
    <t>Telah dilakukan evaluasi atas kebijakan dan implementasi terkait pemisahan fungsi dalam proses transaksi dan kejadian, dibuktikan melalui dokumen Evaluasi Pembatasan Akses atas Sumber Daya dan Catatan SMT II 2019, SMT I &amp; II 2020, dan SMT I &amp; II 2021 dengan hasil menunjukan bahwa Pembatasan akses terhadap Uang Persediaan, Dokumen Transaksi Keuangan dan Aplikasi Keuangan telah diimplemantasikan dengan baik, serta terdapat tindak lanjut atas Pembatasan akses terhadap Aplikasi SAKTI yang akan diimplementasikan pada tahun 2023  dilakukan dengan pengajuan user dan password dengan role sebagai admin, operator, validator dan approval kepada KPPN Jakarta 1.
Dengan pembatasan Akses terhadap sumberdaya yang dilakukan pemisahan fungsi dalam proses transaksi dan kejadian dianggap telah efesien dan akurat. Hasil evaluasi menyatakan bahwa tidak adanya kelemahan dan sertiap peran pengelola keuangan secara simultan  berperan penting dan menjaga akuntabilitas dalam tugas dan fungsi yang diberikan.
List Dokumen Pendukung;
- SP2D (C)
- tangkapan layar (screenshot) penyampaian SK Pengelola Keuangan kepada staf/pegawai  (D)
 - Surat Keputusan (SK) Menteri Komunikasi dan Informatika Nomor 695 Tahun 2020 tentang Penetapan Kuasa Pengguna Anggaran, Pejabat Pembuat Komitmen, Pejabat Penandatangan Surat Perintah Membayar, Bendahara Penerimaan, dan Bendahara Pengeluaran di Lingkungan Kementerian Komunikasi dan Informatika (E)
- SK Menteri Komunikasi dan Informatika Nomor 131 Tahun 2021 tentang Penggantian Kuasa Penggunaan Anggaran Inspektorat Jenderal Kementerian Komunikasi dan Informatika (E)
- SK Sekretaris Inspektorat Jenderal Kemenkominfo selaku KPA Inspektorat Jenderal Kemenkominfo Nomor 2 Tahun 2021 tentang Pembentukan Staf Pengelola Keuangan Inspektorat Jenderal Kemenkominfo (E)</t>
  </si>
  <si>
    <t>Bahwa Kebijakan dan implementasi terkait otorisasi atas transaksi dan kejadian telah dievaluasi sehingga dapat diketahui efektivitasnya dibuktikan dengan perubahan struktur organisasi untuk mendukung Permenpan dan Reformasi Birokrasi Reformasi Birokrasi Nomor 7 Tahun 2022 tentang Sistem Kerja pada Instansi Pemerintah untuk Penyederhanaan Birokrasi, telah dibentuk Tim Kerja di lingkungan Ditjen SDPPI dan merubah struktur anggota dibawahnya dan dievaluasi kinerja masing-masing Tim Kerja
Dokumen terlampir :
1. SK Dirjen No 130 Tahun 2022 tentang Tim Kerja (B)
2. SK Sesditjen SDPPI No 122 Tahun 2022 tentang Anggota Tim Kerja (B)
3. Laporan Mingguan Direktur dan Ketua Tim Kerja kepada KPA (B)
4. Laporan PPK kepada KPA (C)
5. Peraturan dan SOP Perizinan Frekuensi Radio (E)
6. Peraturan dan SOP Sertifikasi dan Pengujian Alat dan/ Perangkat Telekomunikasi (E)
7. KEPDIRJEN 50 TAHUN 2018 TTG PEMBERIAN MANDAT PENANDATANGANAN PERIZINAN PENGGUNAAN SPEKTRUM FREKUENSI RADIO DAN SERTIFIKASI RADIO ELEKTRONIKA DAN OPERATOR RADIO (E)
8. Peraturan SOR, IAR, KRAP (E)
9. SOP ODS Sertifikasi Alat Telekomunikasi dan/atau Perangkat Telekomunikasi (E)
10. Peraturan dan SOP Perizinan BHP Frek (E)
11. Evaluasi SOP (B)</t>
  </si>
  <si>
    <t>Bahwa Ditjen Aptika telah melaksanakan otorisasi atas transaksi dan kejadian sesuai kebijakan/prosedur yang ditetapkan dan telah diperbaiki secara berkelanjutan sehingga secara optimal mampu mendukung pencapaian tujuan organisasi 
1. Laporan Hasil Reviu Pengendalian Intern atas Pelaporan Keuangan (PIPK) Tahun 2022 pada Direktorat Jenderal Aplikasi Informatika
2. Laporan Koordinasi Koreksi Data dan Transaksi
3. SK Staf Pengelola Anggaran
4. SK Otorisasi User SAKTI
5. Undangan Monitoring dan Evaluasi Pelaksanaan Anggaran
6. Forum Diskusi PPK
7. Peraturan Dirjen Perbendaharaan Nomor PER-3/PB/2014</t>
  </si>
  <si>
    <r>
      <rPr>
        <rFont val="Arial"/>
        <color rgb="FF000000"/>
        <sz val="12.0"/>
      </rPr>
      <t xml:space="preserve">Bahwa Otorisasi atas transaksi dan kejadian telah dilaksanakan sesuai kebijakan/prosedur yang ditetapkan :
</t>
    </r>
    <r>
      <rPr>
        <rFont val="Arial"/>
        <color rgb="FFFF0000"/>
        <sz val="12.0"/>
      </rPr>
      <t xml:space="preserve">- OTP atas Pencairan Dana
- Surat Perintah Membayar
- Karwas Kontrak
- Surat Setoran Pengembalian Belanja
- Laporan rapat evaluasi penunjukan dan penetapan koordinato dan sub koordinator
- SOP Laporan Keuangan tingkat Satker
- SOP Pengelolaan SPM
- SK KPA Nomor 4 Tahun 2023 tentang Pejabat Pengadaan Barang/Jasa Pemerintah di Lingkungan Ditjen PPI TA 2023
- Nota Dinas penyampaian SK/ tanda terima SK
 - PP 30 tahun 2019
 - Permen PAN RB nomor 8 tahun 2021
 - Sk mentri kominfo no 574 tahun 2021 ttg penetapan - KPA, PPK, PPSPM, Bendahara penerimaan dan bendahara pengeluaran di lingkungan kementerian kominfo
 - SK tim pengelolaan dan penyimpanan aset BMN
 - Peraturan Presiden Nomor 12 Tahun 2021 tentang Perubahan atas Peraturan Presiden Nomor 16 Tahun 2018 tentang Pengadaan Barang/Jasa Pemerintah
- SK Tim Kerja 
- Pemberian Penghargaan Karya Satya Tahun 2022 dan 2023  
</t>
    </r>
    <r>
      <rPr>
        <rFont val="Arial"/>
        <color rgb="FF000000"/>
        <sz val="12.0"/>
      </rPr>
      <t xml:space="preserve">
</t>
    </r>
  </si>
  <si>
    <t xml:space="preserve"> Bahwa di Badan Litbang SDM telah dilakukan evaluasi terhadap implementasi Otorisasi atas Transaksi dan Kejadian yang Penting yang dilaksanakan oleh para pegawai dalam melaksanakan tugas dan fungsinya di Badan Litbang SDM. Hal ini dibuktikan dengan
1. Terdapat Laporan Barang Milik Negara dan Laporan Keuangan Periodik tingkat Eselon 1 dan Tingkat Eselon 2/UPT (E-A)
2. Terdapat Laporan Barang Milik Negara dan Laporan Keuangan Periodik tingkat Eselon 1 dan Tingkat Eselon 2/UPT (E-A)
3. Adanya Kebijakan yang mengatur pemisahan fungsi dalam proses transaksi keuangan, penatausahaan BMN dan Pelaporan Keuangan tingkat Instansi di Aplikasi SAKTI dari User Operator, Validator dan Approval (E-A)</t>
  </si>
  <si>
    <t>Bahwa ….. Telah …..</t>
  </si>
  <si>
    <r>
      <rPr>
        <rFont val="Arial"/>
        <color theme="1"/>
        <sz val="12.0"/>
      </rPr>
      <t xml:space="preserve">Bahwa Kebijakan yang mengatur prosedur otorisasi atas transaksi dan kejadian telah dikomunikasikan sehingga telah dipahami oleh pengelola keuangan/kegiatan, pegawai dan pimpinan 
</t>
    </r>
    <r>
      <rPr>
        <rFont val="Arial"/>
        <color rgb="FFFF0000"/>
        <sz val="12.0"/>
      </rPr>
      <t>1. Notulensi Pembahasan PIPK Tahun 2023 (A)
2. Nodin penyampaian PIPK Tahun 2323 (A)
3. SK Pengelola Keuangan (KPA, PP SPM, PPK) Tahun 2023 (A)
4. SK Verifikator SPP di lingkungan Setjen Tahun 2023 (A)
5. Kebijakan Akuntansi Tahun 2022 sebagai dasar pencatatan atas transaksi keuangan (A) 
6. Notulensi/ lapgas Pembahasan Revisi Kebijakan Akuntansi Tahun 2022 (A) 
5. Notulensi Pembahasan Kebijakan Akuntansi Tahun 2023 (B)
6. Kebijakan Akuntansi Tahun 2022 (B)
7.  Laporan Hasil Reviu atas penyusunan Laporan Keuangan Tahun 2022 oleh APIP (B) 
8. BA hasil tripartit BPK-Kemenkeu dan Laporan Keuangan Kominfo Tahun 2022 (B)</t>
    </r>
    <r>
      <rPr>
        <rFont val="Arial"/>
        <color theme="1"/>
        <sz val="12.0"/>
      </rPr>
      <t xml:space="preserve">
9. Laporan PIPK bahwa pencatatan telah disajikan dengan benar dan tepat (C)
10. BA rekonsiliasi yang memastikan bahwa seluruh aset telah dicatat (C)
</t>
    </r>
    <r>
      <rPr>
        <rFont val="Arial"/>
        <color rgb="FFFF0000"/>
        <sz val="12.0"/>
      </rPr>
      <t>11. Hasil Analisis atas Laporan Keuangan Tahun 2022 (Vertikal dan Horisontal)  (C)
12. Kebijakan Akuntansi Kemkominfo Tahun 2022 (D)
13. Notadinas penyampaian Kebijakan Akuntansi Kemkomifo Tahun 2022 (D)</t>
    </r>
    <r>
      <rPr>
        <rFont val="Arial"/>
        <color theme="1"/>
        <sz val="12.0"/>
      </rPr>
      <t xml:space="preserve">
14. Nodin permohonan Tanda tangan LK Kemkominfo ke Menteri/Sekjen (D)
</t>
    </r>
    <r>
      <rPr>
        <rFont val="Arial"/>
        <color rgb="FFFF0000"/>
        <sz val="12.0"/>
      </rPr>
      <t>15. Nota Dinas Permohonan Ttd Kebijakan Akuntansi ke Sekjen Tahun 2022 (D)  
16. Kebijakan Akuntansi Tahun 2022 (E)</t>
    </r>
    <r>
      <rPr>
        <rFont val="Arial"/>
        <color theme="1"/>
        <sz val="12.0"/>
      </rPr>
      <t xml:space="preserve">
17. SOP penyusunan LK (E)</t>
    </r>
  </si>
  <si>
    <t>Bahwa Kebijakan yang mengatur prosedur otorisasi atas transaksi dan kejadian telah dikomunikasikan sehingga telah dipahami oleh pengelola keuangan/kegiatan, pegawai dan pimpinan 
1. Notulensi Pembahasan PIPK Tahun 2023 (A)
2. Nodin penyampaian PIPK Tahun 2323 (A)
3. SK Pengelola Keuangan (KPA, PP SPM, PPK) Tahun 2023 (A)
4. SK Verifikator SPP di lingkungan Setjen Tahun 2023 (A)
5. Kebijakan Akuntansi Tahun 2022 sebagai dasar pencatatan atas transaksi keuangan (A) 
6. Notulensi/ lapgas Pembahasan Revisi Kebijakan Akuntansi Tahun 2022 (A) 
5. Notulensi Pembahasan Kebijakan Akuntansi Tahun 2023 (B)
6. Kebijakan Akuntansi Tahun 2022 (B)
7.  Laporan Hasil Reviu atas penyusunan Laporan Keuangan Tahun 2022 oleh APIP (B) 
8. BA hasil tripartit BPK-Kemenkeu dan Laporan Keuangan Kominfo Tahun 2022 (B)
9. Laporan PIPK bahwa pencatatan telah disajikan dengan benar dan tepat (C)
10. BA rekonsiliasi yang memastikan bahwa seluruh aset telah dicatat (C)
11. Hasil Analisis atas Laporan Keuangan Tahun 2022 (Vertikal dan Horisontal)  (C)
12. Kebijakan Akuntansi Kemkominfo Tahun 2022 (D)
13. Notadinas penyampaian Kebijakan Akuntansi Kemkomifo Tahun 2022 (D)
14. Nodin permohonan Tanda tangan LK Kemkominfo ke Menteri/Sekjen (D)
15. Nota Dinas Permohonan Ttd Kebijakan Akuntansi ke Sekjen Tahun 2022 (D)  
16. Kebijakan Akuntansi Tahun 2022 (E)
17. SOP penyusunan LK (E)
Lalu kebijakan dan implementasi pencatatan transaksi keuangan di Lingkup Inspektorat Jenderal telah dievaluasi secara berkala, terdokumentasi untuk menangani resiko, dan hasilnya telah ditindaklanjuti untuk menghasilkan perbaikan keandalan pelaporan keuangan. Dibuktikan dengan;
1. Laporan Evaluasi Rekonsiliasi Laporan Keuangan Inspektorat Jenderal
2. BA Rekonsiliasi 
3. Laporan Keuangan Inspektorat Jenderal
List Dok Pendukung;
- Pedoman Menteri Komunikasi dan Informatika Nomor 1 Tahun 2021 Tentang Pelaksanaan Anggaran di Lingkungan Kementerian Komunikasi dan Informatika Tahun Anggaran 2021 (E)
- Peraturan Pemerintah Nomor 28 Tahun 2020 Tentang Perubahan atas Peraturan Pemerintah Nomor 27 Tahun 2014 Tentang Pengelolaan Barang Milik Negara/Daerah (E)
- Kebijakan Akuntansi Tahun 2022 (E)
- SOP penyusunan LK (E)</t>
  </si>
  <si>
    <r>
      <rPr>
        <rFont val="Arial"/>
        <color theme="1"/>
        <sz val="12.0"/>
      </rPr>
      <t xml:space="preserve">Bahwa Kebijakan yang mengatur prosedur otorisasi atas transaksi dan kejadian telah dikomunikasikan sehingga telah dipahami oleh pengelola keuangan/kegiatan, pegawai dan pimpinan 
 </t>
    </r>
    <r>
      <rPr>
        <rFont val="Arial"/>
        <color rgb="FFFF0000"/>
        <sz val="12.0"/>
      </rPr>
      <t xml:space="preserve">1. Notulensi Pembahasan PIPK Tahun 2023 (A)
 2. Nodin penyampaian PIPK Tahun 2323 (A)
 3. SK Pengelola Keuangan (KPA, PP SPM, PPK) Tahun 2023 (A)
 4. SK Verifikator SPP di lingkungan Setjen Tahun 2023 (A)
 5. Kebijakan Akuntansi Tahun 2022 sebagai dasar pencatatan atas transaksi keuangan (A) 
 6. Notulensi/ lapgas Pembahasan Revisi Kebijakan Akuntansi Tahun 2022 (A) 
 5. Notulensi Pembahasan Kebijakan Akuntansi Tahun 2023 (B)
 6. Kebijakan Akuntansi Tahun 2022 (B)
 </t>
    </r>
    <r>
      <rPr>
        <rFont val="Arial"/>
        <color rgb="FF4A86E8"/>
        <sz val="12.0"/>
      </rPr>
      <t xml:space="preserve">7. Laporan Hasil Reviu atas penyusunan Laporan Keuangan Tahun 2022 oleh APIP (B) </t>
    </r>
    <r>
      <rPr>
        <rFont val="Arial"/>
        <color rgb="FFFF0000"/>
        <sz val="12.0"/>
      </rPr>
      <t xml:space="preserve">
 </t>
    </r>
    <r>
      <rPr>
        <rFont val="Arial"/>
        <color rgb="FF4A86E8"/>
        <sz val="12.0"/>
      </rPr>
      <t>8. BA hasil tripartit BPK-Kemenkeu dan Laporan Keuangan Kominfo Tahun 2022 (B)</t>
    </r>
    <r>
      <rPr>
        <rFont val="Arial"/>
        <color rgb="FFFF0000"/>
        <sz val="12.0"/>
      </rPr>
      <t xml:space="preserve">
 9. Laporan PIPK bahwa pencatatan telah disajikan dengan benar dan tepat (C)
 10. BA rekonsiliasi yang memastikan bahwa seluruh aset telah dicatat (C)
 11. Hasil Analisis atas Laporan Keuangan Tahun 2022 (Vertikal dan Horisontal) (C)
 12. Kebijakan Akuntansi Kemkominfo Tahun 2022 (D)
 13. Notadinas penyampaian Kebijakan Akuntansi Kemkomifo Tahun 2022 (D)
 14. Nodin permohonan Tanda tangan LK Kemkominfo ke Menteri/Sekjen (D)
 15. Nota Dinas Permohonan Ttd Kebijakan Akuntansi ke Sekjen Tahun 2022 (D) 
 16. Kebijakan Akuntansi Tahun 2022 (E)
 17. SOP penyusunan LK (E)</t>
    </r>
  </si>
  <si>
    <t xml:space="preserve">Bahwa Kebijakan yang mengatur prosedur otorisasi atas transaksi dan kejadian telah dikomunikasikan sehingga telah dipahami oleh pengelola keuangan/kegiatan, pegawai dan pimpinan 
1. Notulensi Pembahasan PIPK Tahun 2023 (A)
2. Nodin penyampaian PIPK Tahun 2323 (A)
3. SK Pengelola Keuangan (KPA, PP SPM, PPK) Tahun 2023 (A)
4. SK Verifikator SPP di lingkungan Setjen Tahun 2023 (A)
5. Kebijakan Akuntansi Tahun 2022 sebagai dasar pencatatan atas transaksi keuangan (A) 
6. Notulensi/ lapgas Pembahasan Revisi Kebijakan Akuntansi Tahun 2022 (A) 
5. Notulensi Pembahasan Kebijakan Akuntansi Tahun 2023 (B)
6. Kebijakan Akuntansi Tahun 2022 (B)
7.  Laporan Hasil Reviu atas penyusunan Laporan Keuangan Tahun 2022 oleh APIP (B) 
8. BA hasil tripartit BPK-Kemenkeu dan Laporan Keuangan Kominfo Tahun 2022 (B)
9. Laporan PIPK bahwa pencatatan telah disajikan dengan benar dan tepat (C)
10. BA rekonsiliasi yang memastikan bahwa seluruh aset telah dicatat (C)
11. Hasil Analisis atas Laporan Keuangan Tahun 2022 (Vertikal dan Horisontal)  (C)
12. Kebijakan Akuntansi Kemkominfo Tahun 2022 (D)
13. Notadinas penyampaian Kebijakan Akuntansi Kemkomifo Tahun 2022 (D)
14. Nodin permohonan Tanda tangan LK Kemkominfo ke Menteri/Sekjen (D)
15. Nota Dinas Permohonan Ttd Kebijakan Akuntansi ke Sekjen Tahun 2022 (D)  
16. Kebijakan Akuntansi Tahun 2022 (E)
17. SOP penyusunan LK (E)
</t>
  </si>
  <si>
    <t>Bahwa Kebijakan yang mengatur prosedur otorisasi atas transaksi dan kejadian telah dikomunikasikan sehingga telah dipahami oleh pengelola keuangan/kegiatan, pegawai dan pimpinan 
1. Notulensi Pembahasan PIPK Tahun 2023 (A)
2. Nodin penyampaian PIPK Tahun 2323 (A)
3. SK Pengelola Keuangan (KPA, PP SPM, PPK) Tahun 2023 (A)
4. SK Verifikator SPP di lingkungan Setjen Tahun 2023 (A)
5. Kebijakan Akuntansi Tahun 2022 sebagai dasar pencatatan atas transaksi keuangan (A) 
6. Notulensi/ lapgas Pembahasan Revisi Kebijakan Akuntansi Tahun 2022 (A) 
5. Notulensi Pembahasan Kebijakan Akuntansi Tahun 2023 (B)
6. Kebijakan Akuntansi Tahun 2022 (B)
7.  Laporan Hasil Reviu atas penyusunan Laporan Keuangan Tahun 2022 oleh APIP (B) 
8. BA hasil tripartit BPK-Kemenkeu dan Laporan Keuangan Kominfo Tahun 2022 (B)
9. Laporan PIPK bahwa pencatatan telah disajikan dengan benar dan tepat (C)
10. BA rekonsiliasi yang memastikan bahwa seluruh aset telah dicatat (C)
11. Hasil Analisis atas Laporan Keuangan Tahun 2022 (Vertikal dan Horisontal)  (C)
12. Kebijakan Akuntansi Kemkominfo Tahun 2022 (D)
13. Notadinas penyampaian Kebijakan Akuntansi Kemkomifo Tahun 2022 (D)
14. Nodin permohonan Tanda tangan LK Kemkominfo ke Menteri/Sekjen (D)
15. Nota Dinas Permohonan Ttd Kebijakan Akuntansi ke Sekjen Tahun 2022 (D)  
16. Kebijakan Akuntansi Tahun 2022 (E)
17. SOP penyusunan LK (E)</t>
  </si>
  <si>
    <r>
      <rPr>
        <rFont val="Arial"/>
        <color theme="1"/>
        <sz val="12.0"/>
      </rPr>
      <t xml:space="preserve">Proses pembatasan akses dan pencatatan telah menyesuaikan dengan perubahan lingkungan strategis dan secara efektif mampu memitigasi resiko manipulasi dan penyalahgunaan wewenang dan menghasilkan zero significant fraudulent yang dibuktikan dengan 
</t>
    </r>
    <r>
      <rPr>
        <rFont val="Arial"/>
        <color rgb="FFFF0000"/>
        <sz val="12.0"/>
      </rPr>
      <t xml:space="preserve">1. Laporan pemakaian/peminjaman BMN Tahun 2023 (A) 
2. Rekap Jumlah temuan terkait aset yang semakin menurun Tahun 2021 dan 2020 (A) 
3. Laporan pemakaian persediaanTahun 2022 (A)
4. Laporan PIPK Tahun 2022 (A)
</t>
    </r>
    <r>
      <rPr>
        <rFont val="Arial"/>
        <color rgb="FF0000FF"/>
        <sz val="12.0"/>
      </rPr>
      <t xml:space="preserve">5. Laporan Evaluasi Pembatasan Akses Pusat Data dan Informasi (A) dan (B) 
</t>
    </r>
    <r>
      <rPr>
        <rFont val="Arial"/>
        <color rgb="FFFF0000"/>
        <sz val="12.0"/>
      </rPr>
      <t>5. laporan Hasil Reviu atas Laporan Keuangan dan BMN Tahun 2022 (A) dan (B)
6. Notulensi Pembahasan Kebijakan Akuntansi terkait pengelolaan BMN dan pencatatan aset Tahun 2022 (B)
8. Kebijakan Akuntansi terkait Pengelolaan dan Pencatatan Aset  Tahun 2022 (B)</t>
    </r>
    <r>
      <rPr>
        <rFont val="Arial"/>
        <color rgb="FF0000FF"/>
        <sz val="12.0"/>
      </rPr>
      <t xml:space="preserve">
9. Kebijakan Akuntansi terkait Pengelolaan dan Pencatatan Aset  Tahun 2021 (B)
10. Surat peminjaman barang (C)
11. Foto gudang penyimpanan yang terpasang CCTV (C)
12. Nodin pendaftaran user e-rekon (C)
13. Foto DBR didalam ruangan (C)
</t>
    </r>
    <r>
      <rPr>
        <rFont val="Arial"/>
        <color rgb="FFFF00FF"/>
        <sz val="12.0"/>
      </rPr>
      <t xml:space="preserve">14. Foto aset yang dilakukan pemagaran update Tahun 2022 (C) </t>
    </r>
    <r>
      <rPr>
        <rFont val="Arial"/>
        <color rgb="FF0000FF"/>
        <sz val="12.0"/>
      </rPr>
      <t xml:space="preserve">
15. Foto Ruang data center dengan fingerprint (C)
1</t>
    </r>
    <r>
      <rPr>
        <rFont val="Arial"/>
        <color rgb="FFFF0000"/>
        <sz val="12.0"/>
      </rPr>
      <t>6. Nodin Penyampaian Kebijakan Akuntansi Tahun 2022 (D)
17. Nodin penyampaian SK Pengelola Keuangan Tahun 2023 (D) 
18. SOP Pemakaian/peminjaman BMN Tahun 2023 (E) 
19. SOP pemakaian persediaan Tahun 2023 (E) 
20. Kebijakan Akuntansi Tahun 2022 (E) 
21. Pedoman PA Kemkominfo Tahun 2022 (E)
22. SOP Pengelola Keuangan Tahun 2023 (E) 
23. SK Pengelola Keuangan Tahun 2023 (E)</t>
    </r>
  </si>
  <si>
    <t>Bahwa Ditjen SDPPI telah melakukan Pembatasan akses terhadap sumber daya dan pencatatannya telah diperbaiki secara berkelanjutan dan secara optimal mampu mendukung pencapaian tujuan organisasi, kebijakan dan implementasi tekait pembatasan akses sesuai dengan ketentuan.
Bukti Dukung:
1. Evaluasi user akses perbulan untuk mengetahui pengguna tidak aktif, dan mengidentifikasi pengguna pensiun, mengundurkan diri, dll (B)
2. Screenshoot pembatasan akses Aplikasi SIMS (C)
3. SOP Pengendalian Hak Akses (E)
4. Kebijakan Keamanan Informasi (E)
5. Surat pemberitahuan reset password (D)
6. SK Pengguna Akses aplikasi Kemkeu SAKTI (E)
7. Sudah dilampirkan (Penyesuaian user SIMS) (B)</t>
  </si>
  <si>
    <t>Bahwa Ditjen Aptika telah melakukan pembatasan akses terhadap sumber daya dan pencatatannya sesuai dengan ketentuan.
screenshot
1. Aplikasi Akuntansi Persediaan (UAKPB)
2. Aplikasi SIMAN
3. Aplikasi SIMAK
4. Aplikasi SIMANTAP</t>
  </si>
  <si>
    <r>
      <rPr>
        <rFont val="Arial"/>
        <color rgb="FF000000"/>
        <sz val="12.0"/>
      </rPr>
      <t xml:space="preserve">Bahwa telah dilaksanakan pembatasan akses terhadap sumber daya dan pencatatannya terlah diperbaiki secara berkelanjutan dan secara optimal mampu mendukung pencapaian tujuan organisasi
- Laporan evaluasi aplikasi SIMP3 dan SIMKEU
- Laporan evaluasi aplikasi SIMONA
- Aplikasi SIMONA
- Aplikasi SAS
- Aplikasi SAIBA
- Aplikasi SIMPONI
- Aplikasi SIMKEU
- Aplikasi SIMP3
- Aplikasi e-PNBP (buktinya belum)
 - Sosialisasi PP 30 Tahun 2019 (undangan, lapgas, ST)
 - Sosialisasi aplikasi SIMJAB
 - Bimtek SAKTI
 - Sosialisasi penggunaan aplikasi SAKTI
 - Permenpan No. 8 Tahun 2021 tentang Sistem Menajemen Kinerja PNS
 - Sk menteri kominfo no 574 tahun 2021 ttg penetapan KPA, PPK, PPSPM, Bendahara penerimaan dan bendahara pengeluaran di lingkungan kementerian kominfo
- Permen Kominfo Nomor 41 Tahun 2014
 - Aplikasi APIK,
 - APlikasi SIMPATIK
 - Aplikasi SiPINTER
 - Aplikasi E-SKP
 - Aplikasi SIDARA
 - Aplikasi SIMJAB
</t>
    </r>
    <r>
      <rPr>
        <rFont val="Arial"/>
        <color rgb="FFFF0000"/>
        <sz val="12.0"/>
      </rPr>
      <t xml:space="preserve"> - Aplikasi SIMAYA</t>
    </r>
  </si>
  <si>
    <t>Bahwa di Badan Litbang SDM  telah terdapat Pembatasan Akses atas Sumber Daya dan Pencatatannya
yang dilaksanakan oleh para pegawai dalam melaksanakan tugas dan fungsinya di Badan Litbang SDM. Hal ini dibuktikan dengan
Terdapat
1. Terdapat Laporan Barang Milik Negara dan Laporan Keuangan Periodik tingkat Eselon 1 dan Tingkat Eselon 2/UPT (E-A)
2. Terdapat Standar Barang dan Kebutuhan BMN untuk Pembatasan AKses Sumber Daya yang dimiliki Organisasi beserta pencatatannya (E-A)</t>
  </si>
  <si>
    <t>Bahwa telah ditetapkan pembatasan akses dan pencatatan dengan adanya penunjukan pegawai yang menangani akses tersebut melalui SK Pimpinan, dapat dibuktikan dengan :
SOP di bag Keu, 
SK Pejabat Perbend dan SK User SAKTI, 
SOP di bag Keu, 
SK Pejabat Perbend dan SK User aplikasi Pembayaran (aplikasi SAKTI), 
Penetapan operator pencatatan dan mjutasi fisik BMN
Nodin PA 2023</t>
  </si>
  <si>
    <t>BAKTI telah memiliki kebijakan dan implementasi terkait pembatasan akses terhadap sumber daya dan pencatatannya telah dilakukan sesuai dengan SK yang dapat dibuktikan dengan dokumen sebagai berikut:
1. SK Tim Pengelola BMN (C)
2. SOP optimalisasi aset BMN (D)
3. PMK 120 Penatausahaan BMN (E)
Berdasarkan dokumen yang ada kami belum bisa memperoleh keyakinan bahwa kebijakan dan implementasi BMN telah dievaluasi dan diketahui efektivitasnya</t>
  </si>
  <si>
    <r>
      <rPr>
        <rFont val="Arial"/>
        <color theme="1"/>
        <sz val="12.0"/>
      </rPr>
      <t xml:space="preserve">Pertanggungjawaban terhadap sumber daya dan pencatatan telah diperbaiki secara berkelanjutan dan mampu secara optimal mendukung pencapaian tujuan organisasi, memitigasi resiko penggunaan secara tidak sah/penyalahgunaan wewenang. hal tersebut dapat dibuktikan dengan capaian opini WTP atas laporan keuangan, dan penurunan jumlah temuan BPK atas terkait BMN
</t>
    </r>
    <r>
      <rPr>
        <rFont val="Arial"/>
        <color rgb="FFFF0000"/>
        <sz val="12.0"/>
      </rPr>
      <t>1. Opini BPK atas Laporan Keuangan dan BMN Tahun 2021 (A)
2. SK/Berita Acara Penghargaan atas pencapaian Opini WTP atas LK Kemkominfo tahun 2021 (A)</t>
    </r>
    <r>
      <rPr>
        <rFont val="Arial"/>
        <color rgb="FF0000FF"/>
        <sz val="12.0"/>
      </rPr>
      <t xml:space="preserve">
3. Penghargaan e-Klinik  (A)
</t>
    </r>
    <r>
      <rPr>
        <rFont val="Arial"/>
        <color rgb="FFFF0000"/>
        <sz val="12.0"/>
      </rPr>
      <t>4. SK/Berita Acara Pengahargaan atas pengelolaan BMN (Kejuaraan di lomba The Aset manager) Tahun 2022 (A)
5. Laporan Inventarisasi Tahun 2022 (A)
6. Berita Acara Stock Opname Tahun 2022 (A)
7. Berita Acara Rekonsiliasi Internal Tahun 2022 (A)
8. Laporan Hasil Reviu/Evaluasi BMN Tahun 2022 (B)
9. TL Hasil Evaluasi BMN Tahun 2022 (B)
10. LPJ Bendahara Pengeluaran Tahun 2022 (B dan C)
11. Laporan Hasil Penilaian IKPA Kemkominfo TW II Tahun 2023 (B dan C)
12. BA rekonsiliasi kas di Bendahara Pengeluaran Tahun 2022 (B dan C)
13. Laporan pelaksanaan tugas sosialisasi Pedoman PA tahun 2023 (D)
14.  Nodin penyampaian SK Pengelola Keuangan Tahun 2023 (D)
15. Pedoman PA Kemkominfo Tahun 2023 (E)
16. SK Pengelola Keuangan Tahun 2023 (PPK, PP SPM, BP, KPA) (E)</t>
    </r>
    <r>
      <rPr>
        <rFont val="Arial"/>
        <color rgb="FF0000FF"/>
        <sz val="12.0"/>
      </rPr>
      <t xml:space="preserve">
17. SOP Bendahara Pengeluaran (E)
</t>
    </r>
  </si>
  <si>
    <t>Akuntabilitas terhadap sumber daya dan pencatatan telah dilakukan evaluasi setiap tahun melalui laporan Evaluasi Pembatasan Akses atas Sumber Daya dan Catatan serta pengawasan dan pengendalian BMN yang menunjukan hasil atas penggunaan BMN, Pemanfaatan BMN dan Pemindahtanganan BMN sesuai dengan ketentuan yang berlaku dan tidak menyebabkan pencatatan yang tidak sesuai. 
List Dokumen Pendukung;
- Laporan Barang Kuasa Pengguna (LBKP) (C)
- Laporan Keuangan (LK) (C)
-  screenshot penyampaian SK Pengelola Keuangan kepada staf/pegawai (D)
- SK Sekretaris Inspektorat Jenderal Kemenkominfo selaku KPA Inspektorat Jenderal Kemenkominfo Nomor 2 Tahun 2022 tentang Pembentukan Staf Pengelola Keuangan Inspektorat Jenderal Kemenkominfo (E)
- SK Sekretaris Inspektorat Jenderal Kemenkominfo selaku KPA Inspektorat Jenderal Kemenkominfo Nomor 3 Tahun 2021 tentang Pembentukan Tim Pelaksana Sistem Akuntansi Instansi Pada Inspektorat Jenderal Kemenkominfo Tahun Anggaran 2021(E)
- Surat Keputusan (SK) Menteri Komunikasi dan Informatika Nomor 695 Tahun 2020 tentang Penetapan Kuasa Pengguna Anggaran, Pejabat Pembuat Komitmen, Pejabat Penandatangan Surat Perintah Membayar, Bendahara Penerimaan, dan Bendahara Pengeluaran di Lingkungan Kementerian Komunikasi dan Informatika (E)
- SK Menteri Komunikasi dan Informatika Nomor 131 Tahun 2021 tentang Penggantian Kuasa Penggunaan Anggaran Inspektorat Jenderal Kementerian Komunikasi dan Informatika (E)</t>
  </si>
  <si>
    <t>Bahwa Ditjen SDPPI telah melakukan Pertanggungjawaban terhadap sumber daya dan pencatatannya telah diperbaiki secara berkelanjutan dan secara optimal mampu mendukung pencapaian tujuan organisasi dibuktikan dengan penghargaan peringkat 3 dengan Indeks Kinerja Pelaksanaan Anggaran (IKPA) terbaik. Selain itu perbaikan berkelanjutan dilaksanakan pada Penyusunan Laporan Keuangan Eselon I setiap semester dengan mereviu Laporan Keuangan di tingkat bawahnya (36 unit kerja) dan dilakukan evaluasi terhadap capaian kinerja serta direviu oleh Itjen.
Dokumen terlampir :
1. Piagam Penghargaan IKPA terbaik Ditjen SDPPI dari Dit. Perbendaharaan Kemkeu Tahun 2022 (A)
2. Penghargaan Laporan keuangan terbaik, Kinerja terbaik Laporan kinerja terbaik Ditjen SDPPI dari Kemkominfo (A)
3. Laporan Penyusunan Laporan Keuangan (C)
4. Laporan Evaluasi SAKIP, LAKIP dan Capaian PK (B)
5. Monitoring Rekonsiliasi SAKTI GLP (SHR) (C)
6. Laporan BMN (C)
7. Laporan Keuangan dan CaLK (C)
8. Risalah rapat pembahasan usulan pengelola keuangan tahun 2022 (B)
9. Laporan BIMTEK Pengelolaan Keuangan (C)
10. SK Pengelola Keuangan dan SAI (D)
11. KEPDIRJEN No. 1 Tahun 2023 Tentang Tim Kerja di Lingkungan Ditjen SDPPI (E)
11. Perdirjen Pelaksanaan Anggaran No 6 Tahun 2021 (E)
12. SK Sesditjen SDPPI No. 122 Tahun 2022 tentang Anggota Tim Kerja Serta Tugas dan Hasil Kerja Tim Kerja di Lingkungan Setditjen SDPPI (B)</t>
  </si>
  <si>
    <t>Bahwa Ditjen Aptika telah melakukan pertanggungjawaban sumber daya dan pencatatannya oleh pihak/pegawai yang ditetapkan sesuai kebijakan/prosedur yang ditetapkan.
1. Keputusan Direktur Jenderal Aplikasi Informatika tentang Tim Penyelesaian Alih Status Penggunaan Barang Milik Negara
2. SK Tim BMN
3. SK pembentukan Tim Lelang BMN
4. SK Tim Arsip Backup
5. SK Tim Penghapusan BMN</t>
  </si>
  <si>
    <t>Pertanggungjawaban terhadap sumber daya dan pencatatannya telah diperbaiki secara berkelanjutan dan secara optimal mampu mendukung pencapaian tujuan organisasi :
 - Nota dinas No. 968/SJ/KU.01.16/07/2021 tentang Nilai Kinerja Anggaran di Lingkungan Kemkominfo sd 19 Juli 2021
- SK Menteri Kominfo Nomor 552 Tahun 2022 tentang penetapan KPA, PPK, PPSPM, Bendahara penerimaan dan bendahara pengeluaran di lingkungan kementerian kominfo
- SK Dirjen PPI No 1 Tahun 2023 tentang Tim Penunjukan Staf Kuasa Pengguna Anggaran, Staf Pejabat Pembuat Komitmen, Staf Pejabat Penerbit Surat Perintah Membayar, dan Staf Bendahara Pengeluaran di Lingkungan Ditjen PPI
 - perubahan pedoman pelaksanaan anggaran
 - laporan keuangan audited
 - Laporan keuangan an audit
 - berita acara rekon 2021
 - SKP telah diterapkan seluruh pegawai
 - Sosialisasi pedoman pelaksanan anggaran
 Sosialisasi IKPA
 - Bimtek aplikasi persediaan
 - Sosialisasi aplikasi SAKTI
 - Sosialisasi penyusunan SKP
 - Sosialisasi BPJS Ketenagakerjaan
 - Pedoman pelaksanaan anggaran di kominfo
 - Sk menteri kominfo no 574 tahun 2021 ttg penetapan KPA, PPK, PPSPM, Bendahara penerimaan dan bendahara pengeluaran di lingkungan kementerian kominfo
 - SK Tim UAKPB No 11 Tahun 2022
 - SK Tim UAPKPB No 6 Tahun 2022
 - SK Tim Penyimpan BMN</t>
  </si>
  <si>
    <t>Bahwa di Badan Litbang SDM  telah terdapat Akuntabilitas terhadap Sumber Daya dan Pencatatannya
yang dilaksanakan oleh para pegawai dalam melaksanakan tugas dan fungsinya di Badan Litbang SDM. Hal ini dibuktikan dengan
Terdapat Laporan Barang Milik Negara dan Laporan Keuangan Periodik tingkat Eselon 1 dan Tingkat Eselon 2/UPT (E-A)
- Terdapat Tanda Terima Pemakaian BMN dari Pegawai (E-A)
- Terdapat Laporan Pertanggung Jawaban Pegawai atas pengelolaan Tugas yang dikuasakan (E-A)</t>
  </si>
  <si>
    <t xml:space="preserve">Bahwa pembatasan akses dan pencatatannya telah dilakukan dengan adanya penunjukan pegawai yang menangani akses tersebut </t>
  </si>
  <si>
    <t>BAKTI telah memiliki kebijakan dan implementasi akuntabilitas sumber daya dan pencatatannya telah dipertanggungjawabkan oleh pihak yang ditetapkan sesuai kebijakan yang ditetapkan sebagai berikut:
1. SK Tim Pengelola BMN (C)
2. SOP optimalisasi aset BMN (D)
3. PMK 120 Penatausahaan BMN (E)
Berdasarkan dokumen yang ada kami belum bisa memperoleh keyakinan bahwa kebijakan dan implementasi BMN telah dievaluasi dan diketahui efektivitasnya</t>
  </si>
  <si>
    <r>
      <rPr>
        <rFont val="Arial"/>
        <color theme="1"/>
        <sz val="12.0"/>
      </rPr>
      <t xml:space="preserve">Pendokumentasian atas SPI serta transaksi dan kejadian penting telah diperbaiki secara optimal dan menyesuaikan dengan perubahan lingkungan strategis serta proses pendokumentasian mampu menghasilkan dokumen yang relevan, bernilai, berguna bagi manajemen atau pihak lain secara realtime yaitu dengan adanya aplikasi e-audit untuk pengelolaan tindaklanjut hasil temuan BPK dan pengumpulan dokumen pendukungnya
</t>
    </r>
    <r>
      <rPr>
        <rFont val="Arial"/>
        <color rgb="FF0000FF"/>
        <sz val="12.0"/>
      </rPr>
      <t xml:space="preserve">1. Manual book penggunaan aplikasi e-audit (A)
2. Notulensi pembahasan kebijakan akuntansi (B)
3. Laporan/notulensi rapat pembahasan tekait Pedoman SPIP (B)
4. Laporan/Notulensi rapat pembahasan terkait PIPK (B)
5. Laporan hasil reviu atas LK (B) </t>
    </r>
    <r>
      <rPr>
        <rFont val="Arial"/>
        <color rgb="FFFF0000"/>
        <sz val="12.0"/>
      </rPr>
      <t>&gt; Tahun 2023</t>
    </r>
    <r>
      <rPr>
        <rFont val="Arial"/>
        <color rgb="FF0000FF"/>
        <sz val="12.0"/>
      </rPr>
      <t xml:space="preserve">
6. Laporan pemantauan hasil tindak lanjut temuan BPK (B) </t>
    </r>
    <r>
      <rPr>
        <rFont val="Arial"/>
        <color rgb="FFFF0000"/>
        <sz val="12.0"/>
      </rPr>
      <t>&gt; Tahun 2023</t>
    </r>
    <r>
      <rPr>
        <rFont val="Arial"/>
        <color rgb="FF0000FF"/>
        <sz val="12.0"/>
      </rPr>
      <t xml:space="preserve">
7. Pendokumentasian dokumen pendukung SPIP secara elektronik (screenshoot google drive penyimpanan dokumen pendukung SPIP) (C) </t>
    </r>
    <r>
      <rPr>
        <rFont val="Arial"/>
        <color rgb="FFFF0000"/>
        <sz val="12.0"/>
      </rPr>
      <t>&gt; Tahun 2023</t>
    </r>
    <r>
      <rPr>
        <rFont val="Arial"/>
        <color rgb="FF0000FF"/>
        <sz val="12.0"/>
      </rPr>
      <t xml:space="preserve">
8. Adanya aplikasi e-audit untuk menyimpan dokumentasi bukti dukung laporan tindaklanjut hasil temuan BPK (screen shot) (C)
9. Laporan PIPK (C)
10. CaLK Kemkomifo Tahun 2020 (C)
11. Laporan pelaksanaan sosialisasi pedoman PIPK Kemkominfo (D)
12. laporan pelaksanaan sosialisasi pedoman SPIP Kemkominfo  (D)
13. Nodin penyampaian SK PIPK  (D)
14. Nodin penyampaian terkait penggunaan aplikasi CaLK  (D)
15. Laporan pelaksanaan sosialisasi Kebijakan akuntansi  (D)
16. Pedoman PIPK Kemkominfo (E)
17. SOP penyusunan Laporan keuangan  (E)
18. Kebijakan Akuntansi Kemkominfo (transaksi dan kejadian penting diungkap dalam CaLK)  (E)
19. Juknis aplikasi CaLK  (E)
20. SK PIPK Sekretariat Jenderal  (E)
21. Juknis/SOP aplikasi e-audit  (E)
22. Pedoman SPIP Kemkominfo  (E)
</t>
    </r>
    <r>
      <rPr>
        <rFont val="Arial"/>
        <color rgb="FFFF0000"/>
        <sz val="12.0"/>
      </rPr>
      <t xml:space="preserve">
</t>
    </r>
    <r>
      <rPr>
        <rFont val="Arial"/>
        <color theme="1"/>
        <sz val="12.0"/>
      </rPr>
      <t xml:space="preserve">
</t>
    </r>
  </si>
  <si>
    <t>Telah dilakukan evaluasi berkala dan terdokumentasi atas kebijakan/aturan/SOP pendokumentasian implementasi SPI serta transaksi dan kejadian penting dengan hasil berupa pengklasifikasian status seluruh SOP beserta rekomendasi perbaikan atas kesesuaian SOP dengan tindak lanjut  berupa penyederhanaan SOP menjadi lebih sederhana karena pelaku proses menjadi lebih sedikit (evaluasi atas pedoman/SOP dan implementasinya) serta terdapat aplikasi SIMWAS dimana pencatatan atas kejadian penting tercatat dan dipantau pelaksanaannya.
Sedangkan, Pendokumentasian atas SPI dalam arsip serta transaksi dan kejadian penting telah dilaksanakan sesuai kebijakan/prosedur yang ditetapkan, dibuktikan dengan;
- SS JDIH terkait Peraturan Arsip
- Nodin Penyampaian Arsip Aktif ke UK1
- Nodin Pemindahan Arsip Inaktif ke UK2
- Laporan Hasil Audit Arsip
- Peraturan terkait Arsip (E)
- SK Pengelola Arsip (E)</t>
  </si>
  <si>
    <t>Bahwa Ditjen SDPPI telah mendokumentasikan atas SPI serta transaksi dan kejadian penting telah diperbaiki secara berkelanjutan dan secara optimal mampu mendukung pencapaian tujuan organisasi dibuktikan dengan penghargaan peringkat 1 untuk unit kearsipan dan peringkat 3 untuk unit pengolah pada Pengawasan Kearsipan Internal Tahun 2022 Kominfo selain itu Ditjen SDPPI melakukan audit internal kerasipan terhadap unit kerja dibawah Ditjen SDPPI.
Dokumen terlampir :
1. Piagam Penghargaan Ditjen SDPPI pada Pengawasan Kearsipan Kemkominfo (A)
2. Evaluasi secara berkala arsip di SDPPI (B)
3. Bukti pengelolaan arsip secara manual maupun elektronik (SS K-cloud dan e-arsip) (C)
4. Laporan Audit Internal Kearsipan di Unit Kerja SDPPI (B)
5. Peraturan ANRI No. 6 Tahun 2019 tentang Pengawasan Kearsipan (E)
6. Pedoman Menkominfo No. 03 Tahun 2018 tentang Klasifikasi Arsip di Lingkungan Kemenkominfo (E)
7. Evaluasi berkala arsip di beberapa UPT Tahun 2023 (B)</t>
  </si>
  <si>
    <t>Bahwa Ditjen Aptika telah melaksanakan pendokumentasian atas SPI serta transaksi dan kejadian penting sesuai kebijakan/prosedur yang ditetapkan dan telah diperbaiki secara berkelanjutan sehingga secara optimal mampu mendukung pencapaian tujuan organisasi.
1. Laporan terkait Pembahasan Kendala Pendokumentasian Transaksi
2. Peraturan Dirjen Perbendaharaan Nomor PER-3/PB/2014
3. PMK No.171/PMK.05/2021
4.  Sosialisasi Tata Cara Perbendaharaan
5. SOP Laporan Keuangan
6. Screenshot aplikasi KENDALI (Arsip)
7. Screenshot aplikasi SIMON</t>
  </si>
  <si>
    <r>
      <rPr>
        <rFont val="Arial"/>
        <color rgb="FF000000"/>
        <sz val="12.0"/>
      </rPr>
      <t xml:space="preserve">Bahwa telah terdapat pendokumentasiam SPI serta transaksi dan kejadian penting telah diperbaiki secara berkelanjutan dan secara optimal mampu mendukung pencapaian tujuan organisasi
- Penghargaan Bidang Kearsipan
- Penghargaan Bidang Keuangan
- Rekap verifikasi dokumen pertanggungjawaban keuangan pihak ketiga
- Penghargaan Bidang Pelayanan Publik
- Laporan Akhir Tahun Sistem Penyampaian Informasi Bencana Tahun 2022
- Laporan Akhir Tahun Layanan Panggilan Darurat 112 Tahun 2022
- Capaian Tim Kerja Penyediaan Infrastruktur Telekomunikasi TA 2022
- Laporan Akhir Tahun ITP
- Laporan Monev Pelaksanaan SOP Bagian Keuangan
- Arsip Ditjen PPI (data rekap arsip ada di tim arsip lantai 4)
- SOP Pengelolaan Pemberkasan Arsip
- Pedoman Menteri Kominfo No. 8/2018 tentang Pengelolaan Arsip elektronik di lingkungan Kemkominfo
- Pedoman Meneri Kominfo No. 4/2018 tentang Klasifikasi Kemananan dan Akses Arsip di Lingkungan Kemnkominfo
</t>
    </r>
    <r>
      <rPr>
        <rFont val="Arial"/>
        <color rgb="FFFF0000"/>
        <sz val="12.0"/>
      </rPr>
      <t>- Hasil e-SPI Tahun 2022</t>
    </r>
  </si>
  <si>
    <t>Bahwa di Badan Litbang SDM  telah terdapat Dokumentasi yang Baik atas SPI serta Transaksi dan Kejadian Penting
yang dilaksanakan oleh para pegawai dalam melaksanakan tugas dan fungsinya di Badan Litbang SDM. Hal ini dibuktikan dengan
Terdapat
'- t kebijakan terkait pendokumentasian arsip berupa SOP. (E)
'- Penggunaan aplikasi Sintesa untuk sistem persuratan di Pusbang Proserti yang langsung terdokumentasi (D - B)
'- Penggunaan aplikasi SIMOPA untuk sistem verifikasi pengajuan dan pertanggungjawaban keuangan (D - B)
'- Terdapat Laporan Barang Milik Negara dan Laporan Keuangan (D - B) 
- Terdapat Laporan Kegiatan Evaluasi atas Aplikasi SIMOPA (D - B)</t>
  </si>
  <si>
    <t>Bahwa pengelolaan, pemeliharaan, dan pendokumentasian secara berkala yang mencakup SPI atas transaksi dan kejadian penting yang dilaksanakan secara lengkap dan akurat untuk memfasilitasi penelusuran transaksi, kejadian, dan informasi terkait, dibuktikan dengan  :
Lap kinerja anggaran berkala (IKPA per triwulan)
Lap monev capaian outcome (update aplikasi SMART)
Lap AMDAL (BMN)</t>
  </si>
  <si>
    <t>Pendokumentasian atas sistem pengendalian intern, transaksi dan kejadian penting telah dievaluasi secara berkala menggunakan aplikasi sebagai berikut:
1. SAP dan SAKTI untuk laporan keuangan
2. SIMWAS dan Incrima untuk SPI dan MR
Walaupun pendokumentasian telah dilakukan secara berkala namun belum diperoleh dokumen yang membuktikan bahwa perbaikan telah dilakukan secara optimal.</t>
  </si>
  <si>
    <r>
      <rPr>
        <rFont val="Arial"/>
        <color theme="1"/>
        <sz val="12.0"/>
      </rPr>
      <t xml:space="preserve">Informasi yang relevan untuk mendukung pengandalian intern (produk, standar, layanan/pelaksanaan tusi dan pengaduan) tersedia secara lengkap dan mudah untuk diperoleh, yaitu tersedia pada aplikasi JDIH dan K Cloud Kementerian Kominfo.
</t>
    </r>
    <r>
      <rPr>
        <rFont val="Arial"/>
        <color rgb="FF0000FF"/>
        <sz val="12.0"/>
      </rPr>
      <t xml:space="preserve">1. Screenshot aplikasi JDIH (E-C)
2. Screenshot K Cloud yang berisikan informasi tindak lanjut hasil temuan (E-C)
3. Screenshot aplikasi Dumas (Aduan masyarakat) (E-C)
4. Screenshot aplikasi Whistle Blowing System (E-C)
5. Screenshot aplikasi PANTAU untuk memantau capaian kinerja (E-C)
6. Dokumen Rencana Kinerja Setjen (E-C)
7. Nota Dinas laporan capaian progran prioritas Kementerian Kominfo (E-C)
8. LAKIP Sekretariat Jenderal (E-C)
</t>
    </r>
    <r>
      <rPr>
        <rFont val="Arial"/>
        <color rgb="FFFF0000"/>
        <sz val="12.0"/>
      </rPr>
      <t xml:space="preserve">
</t>
    </r>
    <r>
      <rPr>
        <rFont val="Arial"/>
        <color theme="1"/>
        <sz val="12.0"/>
      </rPr>
      <t xml:space="preserve">
</t>
    </r>
  </si>
  <si>
    <t>Klasifikasi informasi telah dievaluasi dan ditindaklanjuti sehingga dapat disajikan dengan tepat waktu, andal, dan relevan, dibuktikan dengan dokumen pemantauan tindak lanjut hasil monitoring dan evaluasi dumas WBS Inspektorat Jendral.  
List Dok Pendukung;
D. SS JDIH PM KOMINFO No 6 Tahun 2018
E.  Manual book SIMWAS
E. PM No 6 tahun 2018 tentangg DUMAS &amp; WBS
E. SK Irjen Nomor 3 Tahun 2023 WBS DUMAS</t>
  </si>
  <si>
    <t>Bahwa Ditjen SDPPi telah memiliki Informasi yang disajikan relevan dan memenuhi ekspektasi stakeholder, Klasifikasi informasi telah dievaluasi dan ditindaklanjuti sehingga dapat disajikan dengan tepat waktu, andal, dan relevan, informasi yg relevan mendukung pengendalian intern secara lengkap mudah, dan ketersedian informasi yg mendukug pengendalian intern tidak lengkap.
Dokumen terlampir :
1. Laporan hasil survey pelayanan publik Tahun 2022 (B)
2. Laporan Rapat Monev Capaian Kinerja (B)
3. Laporan Pertanggungjawaban Bendahara (B)
4. Hasil Evaluasi/rapat aplikasi dan SS SIPINTER (B) 
5. Bahan Rapat Pimpinan (B)
6. Laporan Rapat Monev Capaian Kinerja (B)
7. Aplikasi Sirea untuk Laporan Realisasi Anggaran per Satker Kantor Pusat (SS Laporan Realisasi Anggaran) (B)
8. Evaluasi pengembangan Sistem Informasi Realisasi Anggaran (B)
9. Evaluasi Aplikasi SPBE Ditjen SDPPI (B)</t>
  </si>
  <si>
    <t>Bahwa Ditjen Aptika telah menyajikan informasi yang relevan dan memenuhi ekspektasi stakeholder
1. Situs Web Aptika</t>
  </si>
  <si>
    <r>
      <rPr>
        <rFont val="Arial"/>
        <color rgb="FF000000"/>
        <sz val="12.0"/>
      </rPr>
      <t xml:space="preserve">Informasi yang disajikan relevan dan memenuhi ekspektasi stakeholder :
 - indeks kepuasan penggunaan informasi PPID (Selvi)
 - informasi meda sosial Ditjen PPI (Ditya)
 - layanan Informasi perizinan (call center dan PTSP) (Alfa)
 - Laporan Hasil Pemeriksaan atas tindak lanjut pengaduan pada WBS
 - Penghargaan sebagai Anggota JDIH Nasional Terbaik IV Kategori Kementerian
 - Laporan Rapat Penguatan Layanan Informasi dan Publikasi PPI
</t>
    </r>
    <r>
      <rPr>
        <rFont val="Arial"/>
        <color rgb="FFFF0000"/>
        <sz val="12.0"/>
      </rPr>
      <t xml:space="preserve"> - Laporan Akuntabilitas Kinerja Instansi Pemerintah/LAKIP Tahun 2022</t>
    </r>
    <r>
      <rPr>
        <rFont val="Arial"/>
        <color rgb="FF000000"/>
        <sz val="12.0"/>
      </rPr>
      <t xml:space="preserve">
 - Laporan Pendataan dan Konfirmasi Data Wajib Lapor (WL) untuk Pelaporan LHKPN Tahun 2023
- Laporan Akhir Tahun Sistem Penyampaian Informasi Bencana Tahun 2022
- Laporan Akhir Tahun Layanan Panggilan Darurat 112 Tahun 2022
 - SK Sekretaris Jenderal Nomor 84 Tahun 2022 tentang Daftar Informasi Publik Tahun 2022 di Lingkungan Kementerian Komunikasi dan Informatika
 - Laporan Rapat Monitoring dan Evaluasi e-Arsip dan Simaya
- Laporan Kinerja SMART DJA
 - Nodin No.968/SJ./KU.01.16/07/2021 tentang Nilai Kinerja Anggaran di Lingkungan Kominfo sd 19 Juli 2021.
 - laporan tahunan yang dipublikasikan di PPID Kominfo
 - Laporan Indikator Kinerja Pelaksana Anggaran 
 - LAKIP dipublikasikan di web Kominfo dan terdaftar ISBN Perpusnas
 - LAPTAH dipublikasikan di web Kominfo dan terdaftar ISBN Perpusnas
 - Informasi terkait perizinan pada aplikasi SippDihati (screenshoot )
 - Informasi seleksi JPT Ditjen PPI
 - informasi penerimaan CPNS 
 - Informasi pengumuman pelaksanaan seleksi kompetensi PPPK Kementerian Kominfo Tahun 2021
 - informasi produk hukum pada JDIH Kominfo</t>
    </r>
  </si>
  <si>
    <r>
      <rPr>
        <rFont val="Arial"/>
        <color rgb="FF000000"/>
        <sz val="12.0"/>
        <u/>
      </rPr>
      <t xml:space="preserve">Bahwa di Badan Litbang SDM  telah terdapat Informasi yang Relevan
yang dilaksanakan oleh para pegawai dalam melaksanakan tugas dan fungsinya di Badan Litbang SDM. Hal ini dibuktikan dengan
Terdapat
Informasi pelayanan tugas, fungsi, pengaduan, layanan internal serta manajemen kinerja telah tersedia secara lengkap dan mudah diakses melalui berbagai Sistem aplikasi di website, maupun aplikasi offline, serta melalui media sosial, (D-C)
- terdapat Sistem Pengelolaan Pengaduan Pelayanan yang dapat di akses melalui </t>
    </r>
    <r>
      <rPr>
        <rFont val="Arial"/>
        <color rgb="FF1155CC"/>
        <sz val="12.0"/>
        <u/>
      </rPr>
      <t>https://balitbangsdm.kominfo.go.id/artikel-informasi-dan-pengaduan-5-1285.htm</t>
    </r>
    <r>
      <rPr>
        <rFont val="Arial"/>
        <color rgb="FF000000"/>
        <sz val="12.0"/>
        <u/>
      </rPr>
      <t xml:space="preserve"> (E)</t>
    </r>
  </si>
  <si>
    <t>Informasi yang relevan untuk mendukung pengendalian intern telah tersedia secara lengkap dan mudah untuk diperoleh. Hal ini dapat dibuktikan dengan dokumen sbb:
1. Halo Bakti yang menunjukkan informasi pengaduan atas program utama Bakti beserta SOP sebagai alat pengendalian intern
2. Laporan realisasi kinerja yang memberikan informasi atas manajemen kinerja termasuk rencana dan capaian kinerja 
3. Penggunaan SAP sebagai aplikasi ERP yang membantu integrasi proses bisnis di BAKTI untuk memberikan informasi secara tepat waktu, andal dan relevan
Namun kami belum bisa memperoleh dokumen yang menunjukkan bahwa informasi yang disajikan telah memenuhi ekspektasi para stakeholder.</t>
  </si>
  <si>
    <r>
      <rPr>
        <rFont val="Arial"/>
        <color rgb="FF000000"/>
        <sz val="12.0"/>
      </rPr>
      <t>Bahwa pimpinan di Kementerian Kominfo telah membangun sistem pengaduan yang berdampak pada perbaikan berkelanjutan.</t>
    </r>
    <r>
      <rPr>
        <rFont val="Arial"/>
        <color rgb="FFFF0000"/>
        <sz val="12.0"/>
      </rPr>
      <t xml:space="preserve">
</t>
    </r>
    <r>
      <rPr>
        <rFont val="Arial"/>
        <color rgb="FF0000FF"/>
        <sz val="12.0"/>
      </rPr>
      <t>Dengan bukti dukung:
1. Laporan hasil aplikasi pengaduan masyarakat di Kementerian Kominfo (C)
2. Laporan tindak lanjut hasil pengaduan masyarakat (C)
3. Pedoman Menteri Komunikasi dan Informatika Nomor 6 Tahun 2018 tentang Pedoman Pengelolaan Pengaduan Masyarakat dan Penanganan Pelaporan Pelanggaran (Whistleblowing System) di Lingkungan Kementerian Komunikasi dan Informatika (E)</t>
    </r>
  </si>
  <si>
    <t>Sistem pengaduan telah dievaluasi melalui Monitoring dan Evaluasi DUMAS WBS Inspektorat Jenderal tahun 2022 (B)
List Dokumen Pendukung;
- Laporan progres penanganan pengaduan masyarakat dan whistleblowing system (B)
- Nodin Laporan Progres Penanganan Pengaduan WBS di Lingkungan Kementerian Kominfo (B)
- Laporan Rapat Pembahasan Strategi Komunikasi dan Sarana Prasarana dalam Rangka Kampanye Whistleblowing System (WBS) Kementerian Komunikasi dan nformatika (C) 
- Manual Book DUMAS (C)
- Laporan DUMAS dan SIMWAS 2021 (C)
- Screenshot sosialisasi WBS melalui Portal Kementerian Kominfo (D)
- Laporan Sosialisasi Sistem Pengaduan (D)
- Pedoman Menteri Komunikasi dan Informatika Nomor 6 Tahun 2018 tentang Pedoman Pengelolaan Pengaduan Masyarakat dan Penanganan Pelaporan Pelanggaran (Whistleblowing System) di Lingkungan Kementerian Komunikasi dan Informatika (E)</t>
  </si>
  <si>
    <r>
      <rPr>
        <rFont val="Arial"/>
        <color theme="1"/>
        <sz val="12.0"/>
      </rPr>
      <t xml:space="preserve">Bahwa pimpinan di Kementerian Kominfo telah membangun sistem pengaduan yang berdampak pada perbaikan berkelanjutan.
 Dengan bukti dukung:
</t>
    </r>
    <r>
      <rPr>
        <rFont val="Arial"/>
        <color rgb="FF6D9EEB"/>
        <sz val="12.0"/>
      </rPr>
      <t xml:space="preserve"> 1. Laporan hasil aplikasi pengaduan masyarakat di Kementerian Kominfo (C)</t>
    </r>
    <r>
      <rPr>
        <rFont val="Arial"/>
        <color rgb="FFFF0000"/>
        <sz val="12.0"/>
      </rPr>
      <t xml:space="preserve">
</t>
    </r>
    <r>
      <rPr>
        <rFont val="Arial"/>
        <color rgb="FF6D9EEB"/>
        <sz val="12.0"/>
      </rPr>
      <t xml:space="preserve"> 2. Laporan tindak lanjut hasil pengaduan masyarakat (C)</t>
    </r>
    <r>
      <rPr>
        <rFont val="Arial"/>
        <color rgb="FFFF0000"/>
        <sz val="12.0"/>
      </rPr>
      <t xml:space="preserve">
</t>
    </r>
    <r>
      <rPr>
        <rFont val="Arial"/>
        <color rgb="FF6D9EEB"/>
        <sz val="12.0"/>
      </rPr>
      <t xml:space="preserve"> 3. Pedoman Menteri Komunikasi dan Informatika Nomor 6 Tahun 2018 tentang Pedoman Pengelolaan Pengaduan Masyarakat dan Penanganan Pelaporan Pelanggaran (Whistleblowing System) di Lingkungan Kementerian Komunikasi dan Informatika (E)</t>
    </r>
  </si>
  <si>
    <t xml:space="preserve">Bahwa pimpinan di Kementerian Kominfo telah membangun sistem pengaduan yang berdampak pada perbaikan berkelanjutan.
Dengan bukti dukung:
1. Laporan hasil aplikasi pengaduan masyarakat di Kementerian Kominfo (C)
2. Laporan tindak lanjut hasil pengaduan masyarakat (C)
3. Pedoman Menteri Komunikasi dan Informatika Nomor 6 Tahun 2018 tentang Pedoman Pengelolaan Pengaduan Masyarakat dan Penanganan Pelaporan Pelanggaran (Whistleblowing System) di Lingkungan Kementerian Komunikasi dan Informatika (E)
</t>
  </si>
  <si>
    <t>Bahwa pimpinan di Kementerian Kominfo telah membangun sistem pengaduan yang berdampak pada perbaikan berkelanjutan.
Dengan bukti dukung:
1. Laporan hasil aplikasi pengaduan masyarakat di Kementerian Kominfo (C)
2. Laporan tindak lanjut hasil pengaduan masyarakat (C)
3. Pedoman Menteri Komunikasi dan Informatika Nomor 6 Tahun 2018 tentang Pedoman Pengelolaan Pengaduan Masyarakat dan Penanganan Pelaporan Pelanggaran (Whistleblowing System) di Lingkungan Kementerian Komunikasi dan Informatika (E)</t>
  </si>
  <si>
    <r>
      <rPr>
        <rFont val="Arial"/>
        <color theme="1"/>
        <sz val="12.0"/>
      </rPr>
      <t xml:space="preserve">Bahwa Strategi dan kebijakan manajemen risiko di Kementerian Kominfo telah dikomunikasikan pada seluruh pegawai pada tingkat operasional unit kerja dan sebagian pegawai pada tingkat strategis unit kerja. 
</t>
    </r>
    <r>
      <rPr>
        <rFont val="Arial"/>
        <color rgb="FF0000FF"/>
        <sz val="12.0"/>
      </rPr>
      <t>Dengn data dukung:
1. Dokumen Manajemen Risiko (Piagam MR dan SK UPR Unit Kerja) (C)
2. Laporan tugas atau nota dinas asistensi dari Itjen (C)
3. Laporan Sosialisasi Pedoman Manajemen Risiko Nomor 6 Tahun 2017 (C)</t>
    </r>
  </si>
  <si>
    <t xml:space="preserve">Strategi dan kebijakan manajakemen Risiko yaitu Pedoman Menteri Komunikasi dan Informatika Nomor 6 Tahun 2017 tentang Pedoman Manajemen Risiko di lingkungan Kementerian Komunikasi dan Informatika telah dikomunikasikan pada seluruh pegawai pada tingkat operasional unit kerja, tingkat strategis unit kerja dan tingkat strategis K/L yang dibuktikan dengan laporan pelaksanaan sosialisasi pedoman MR 
1. Sosialisasi Pedoman Manajemen Risiko Nomor 6 Tahun 2017 
2. Piagam Manajemen Risiko Inspektorat Jendral tahun 2023
3. SK Manajemen Risiko Inspektorat Jendral tahun 2023
4. Dokumen Manajemen Risiko Inspektorat Jendral tahun 2023
5. Rencana Kinerja Tahunan (RKT) Inspektorat Jendral tahun 2023
</t>
  </si>
  <si>
    <r>
      <rPr>
        <rFont val="Arial"/>
        <color theme="1"/>
        <sz val="12.0"/>
      </rPr>
      <t xml:space="preserve">Bahwa Strategi dan kebijakan manajemen risiko di Kementerian Kominfo telah dikomunikasikan pada seluruh pegawai pada tingkat operasional unit kerja dan sebagian pegawai pada tingkat strategis unit kerja. 
 Dengn data dukung:
</t>
    </r>
    <r>
      <rPr>
        <rFont val="Arial"/>
        <color rgb="FF6D9EEB"/>
        <sz val="12.0"/>
      </rPr>
      <t xml:space="preserve"> 1. Dokumen Manajemen Risiko (Piagam MR dan SK UPR Unit Kerja) (C)</t>
    </r>
    <r>
      <rPr>
        <rFont val="Arial"/>
        <color rgb="FFFF0000"/>
        <sz val="12.0"/>
      </rPr>
      <t xml:space="preserve">
 2. Laporan tugas atau nota dinas asistensi dari Itjen (C)
</t>
    </r>
    <r>
      <rPr>
        <rFont val="Arial"/>
        <color rgb="FF6D9EEB"/>
        <sz val="12.0"/>
      </rPr>
      <t xml:space="preserve"> 3. Laporan Sosialisasi Pedoman Manajemen Risiko Nomor 6 Tahun 2017 (C)</t>
    </r>
    <r>
      <rPr>
        <rFont val="Arial"/>
        <color rgb="FFFF0000"/>
        <sz val="12.0"/>
      </rPr>
      <t xml:space="preserve">
</t>
    </r>
    <r>
      <rPr>
        <rFont val="Arial"/>
        <color rgb="FF6D9EEB"/>
        <sz val="12.0"/>
      </rPr>
      <t xml:space="preserve"> 4. SK Manajemen Risiko Unit atau Satuan kerja Tahun 2023 (C)</t>
    </r>
  </si>
  <si>
    <t xml:space="preserve">Bahwa Strategi dan kebijakan manajemen risiko di Kementerian Kominfo telah dikomunikasikan pada seluruh pegawai pada tingkat operasional unit kerja dan sebagian pegawai pada tingkat strategis unit kerja. 
Dengn data dukung:
1. Dokumen Manajemen Risiko (Piagam MR dan SK UPR Unit Kerja) (C)
2. Laporan tugas atau nota dinas asistensi dari Itjen (C)
3. Laporan Sosialisasi Pedoman Manajemen Risiko Nomor 6 Tahun 2017 (C)
4. SK Manajemen Risiko Unit atau Satuan kerja Tahun 2023 (C)
</t>
  </si>
  <si>
    <t>Bahwa Strategi dan kebijakan manajemen risiko di Kementerian Kominfo telah dikomunikasikan pada seluruh pegawai pada tingkat operasional unit kerja dan sebagian pegawai pada tingkat strategis unit kerja. 
Dengn data dukung:
1. Dokumen Manajemen Risiko (Piagam MR dan SK UPR Unit Kerja) (C)
2. Laporan tugas atau nota dinas asistensi dari Itjen (C)
3. Laporan Sosialisasi Pedoman Manajemen Risiko Nomor 6 Tahun 2017 (C)
4. SK Manajemen Risiko Unit atau Satuan kerja Tahun 2023 (C)</t>
  </si>
  <si>
    <r>
      <rPr>
        <rFont val="Arial"/>
        <color theme="1"/>
        <sz val="12.0"/>
      </rPr>
      <t>Bahwa Register resiko dan rencana tindak pengendalian tingkat operasional unit Kerja Setjen telah dikomunikasikan kepada seluruh pihak terkait
1. Piagam Manajemen Resiko Satker Setjen Tahun 2022 (C)
2. SK Manajemen Resiko Satker Setjen Tahun 2022 (C)
3. Piagam Manajemen Resiko Satker Setjen Tahun 2022 (D-E)
4. SK Manajemen Resiko Satker Setjen Tahun 2022 (D-E)</t>
    </r>
    <r>
      <rPr>
        <rFont val="Arial"/>
        <color rgb="FFFF0000"/>
        <sz val="12.0"/>
      </rPr>
      <t xml:space="preserve">
</t>
    </r>
  </si>
  <si>
    <t xml:space="preserve">Register risiko dan rencana tindak pengendalian tingkat operasional Unit Kerja/OPD,  telah dikomunikasikan kepada seluruh pihak terkait dan dijadikan bahan dalam pengambilan keputusan dengan dokumen pendukung berupa:
- Dokumen Manajemen Risiko Inspektorat Jenderal Tahun 2023 
- Rencana Kinerja Tahunan (RKT) Inspektorat Jenderal Tahun 2023 </t>
  </si>
  <si>
    <t>Bahwa Ditjen SDPPI telah memiliki Register risiko dan rencana tindak pengendalian tingkat operasional Unit Kerja/OPD, strategis Unit Kerja/OPD dan Strategis K/L/D telah dikomunikasikan kepada seluruh pihak terkait dan dijadikan bahan dalam pengambilan keputusan. Pada tahun 2023, Manajemen Risiko merupakan salah satu kegiatan di Tim Kerja PPP Setditjen SDPPI (Kegiatan Penyusunan dan Evaluasi Manajemen Risiko) 
Dokumen terlampir :
1. ND UPR dan MR TA. 2022 (C)
2. ND Profil Risiko dan Evaluasi TW 1 Setditjen (C)
3. Hasil sosialisasi dan pelatihan MR (C)
4. POK terlampir (C)</t>
  </si>
  <si>
    <t>Bahwa Ditjen Aptika telah mengkomunikasikan register risiko dan rencana tindak pengendalian tingkat operasional Unit Kerja/OPD, strategis Unit Kerja/OPD dan Strategis K/L/D kepada seluruh pihak terkait dan dijadikan bahan dalam pengambilan keputusan  serta menjadi bahan pembelajaran dan inovasi
1. Form I-IV MR Aptika</t>
  </si>
  <si>
    <r>
      <rPr>
        <rFont val="Arial"/>
        <color rgb="FF000000"/>
        <sz val="12.0"/>
      </rPr>
      <t xml:space="preserve">Register risiko dan rencana tindak pengendalian tingkat operasional Unit Kerja/OPD, strategis Unit Kerja/OPD dan Strategis K/L/D telah dikomunikasikan kepada seluruh pihak terkait :
- Nodin Undangan 
- Laporan Rapat MR
- Rapat Koordinasi pengisian form MR 
- Dokumen MR 
</t>
    </r>
    <r>
      <rPr>
        <rFont val="Arial"/>
        <color rgb="FFFF0000"/>
        <sz val="12.0"/>
      </rPr>
      <t xml:space="preserve">- Pedoman Menteri Kominfo Nomor 6 Tahun 2017 tentang Manajemen Risiko di Lingkungan Kominfo
- Piagam MR
- Nota Dinas tentang Penunjukkan PIC dalam Aplikasi Manajemen Risiko (mr.kominfo.go.id)
</t>
    </r>
  </si>
  <si>
    <t>Bahwa di Badan Litbang SDM  telah terdapat Informasi yang Relevan
yang dilaksanakan oleh para pegawai dalam melaksanakan tugas dan fungsinya di Badan Litbang SDM. Hal ini dibuktikan dengan
1. Terdapat Register risiko dan rencana tindak pengendalian tingkat operasional unit kerja/OPD dan strategis unit kerja belum dikomunikasikan kepada seluruh pihak terkait (dapat dilihat di APlikasi MR) (D-C)
2. Piagam MR (E)</t>
  </si>
  <si>
    <t>Bahwa register risiko dan rencana tindak pengendalian operasional telah dilakukan proses MR oleh pimpinan melalui piagam MR dan telah dikomunikasikan kepada seluruh pihak terkait</t>
  </si>
  <si>
    <t>Manajemen Risiko telah melakukan pengendalian operasional unit kerja dan dijadikan bahan dalam pengambilan keputusan serta menjadi bahan pembelajaran dan inovasi</t>
  </si>
  <si>
    <r>
      <rPr>
        <rFont val="Arial"/>
        <color theme="1"/>
        <sz val="12.0"/>
      </rPr>
      <t xml:space="preserve">Bahwa perbaikan berkelanjutan atas komunikasi yang efektif berhasil meningkatkan kepercayaan publik/stakeholder internal/internal dan memperbaiki citra instansi yang dibuktikan dengan
</t>
    </r>
    <r>
      <rPr>
        <rFont val="Arial"/>
        <color rgb="FF0000FF"/>
        <sz val="12.0"/>
      </rPr>
      <t xml:space="preserve">1. Perolehan opini WTP atas Laporan Keuangan dan BMN (A) </t>
    </r>
    <r>
      <rPr>
        <rFont val="Arial"/>
        <color rgb="FFFF0000"/>
        <sz val="12.0"/>
      </rPr>
      <t xml:space="preserve"> &gt; Tahun 2021/2022</t>
    </r>
    <r>
      <rPr>
        <rFont val="Arial"/>
        <color rgb="FF0000FF"/>
        <sz val="12.0"/>
      </rPr>
      <t xml:space="preserve">
2. Trend hasil survey kepuasa layanan asistensi LK menigkat (A) </t>
    </r>
    <r>
      <rPr>
        <rFont val="Arial"/>
        <color rgb="FFFF0000"/>
        <sz val="12.0"/>
      </rPr>
      <t xml:space="preserve"> &gt;</t>
    </r>
    <r>
      <rPr>
        <rFont val="Arial"/>
        <color rgb="FF0000FF"/>
        <sz val="12.0"/>
      </rPr>
      <t xml:space="preserve"> </t>
    </r>
    <r>
      <rPr>
        <rFont val="Arial"/>
        <color rgb="FFFF0000"/>
        <sz val="12.0"/>
      </rPr>
      <t>Tahun 2021/2022</t>
    </r>
    <r>
      <rPr>
        <rFont val="Arial"/>
        <color rgb="FF0000FF"/>
        <sz val="12.0"/>
      </rPr>
      <t xml:space="preserve">
3. Nilai Indeks keterbukaan informasi publik meningkat (Tahun 2020 dan 2019) (A) </t>
    </r>
    <r>
      <rPr>
        <rFont val="Arial"/>
        <color rgb="FFFF0000"/>
        <sz val="12.0"/>
      </rPr>
      <t>&gt; Tahun 2021/2022</t>
    </r>
    <r>
      <rPr>
        <rFont val="Arial"/>
        <color rgb="FF0000FF"/>
        <sz val="12.0"/>
      </rPr>
      <t xml:space="preserve">
</t>
    </r>
    <r>
      <rPr>
        <rFont val="Arial"/>
        <color rgb="FFFF0000"/>
        <sz val="12.0"/>
      </rPr>
      <t>4. Kertas kerja survey kepuasan layanan asistensi penyusunan LK (E-B)</t>
    </r>
    <r>
      <rPr>
        <rFont val="Arial"/>
        <color rgb="FF0000FF"/>
        <sz val="12.0"/>
      </rPr>
      <t xml:space="preserve">
</t>
    </r>
    <r>
      <rPr>
        <rFont val="Arial"/>
        <color rgb="FFFF0000"/>
        <sz val="12.0"/>
      </rPr>
      <t>5. Notulensi rapat koordinasi terkait  penyusunan LK dengan Eselon I di lingkungan Kominfo (E-B)
6. Notulensi rapat koordinasi terkait  penyusunan LK dengan Kementerian Keuangan (E-B)
7. Notulensi rapat koordinasi terkait jurnal koreksi tripartit dengan BPK (E-B)</t>
    </r>
    <r>
      <rPr>
        <rFont val="Arial"/>
        <color rgb="FF0000FF"/>
        <sz val="12.0"/>
      </rPr>
      <t xml:space="preserve">
</t>
    </r>
  </si>
  <si>
    <t xml:space="preserve">Komunikasi yang efektif telah dilakukan kepada internal dan eksternal secara terstruktur dan berkala yang terlihat melalui Website Itjen dan Survei layanan pengawasan. 
List Dokumen Pendukung;
B. Laporan evaluasi dumas dan WBS semester I tahun 2022
B. Laporan evaluasi dumas dan WBS semester II tahun 2022
B. Nodin Laporan Survei Kepuasan Layanan Pengawasan TA 2022 (1)
D. 1. Screen shoot pendokumentasian dokumen keuangan pada aplikasi e-SPJ
D. 2. Screen shoot pendokumentasian laporan kegiatan pada aplikasi Simwas
D. SS JDIH PM KOMINFO No 6 Tahun 2018
E.  Manual book SIMWAS
E. Pengaduan Masyarakat &amp; WBS-Pedoman_Menteri_No_6_Tahun_2018
E. SK Irjen Nomor 3 Tahun 2023 WBS DUMAS </t>
  </si>
  <si>
    <t>Bahwa Ditjen SDPPI telah melakukan Komunikasi yang efektif  dan telah dilakukan kepada internal dan eksternal secara terstruktur dan berkala dengan dukungan media sosial untuk memberikan informasi kepada publik dan telah dievaluasi. Selain itu untuk mengetahui efektifitasnya, telah dilakukan survey pelayanan publik.
Dokumen terlampir :
1. Laporan hasil survey pelayanan publik Tahun 2022 (B)
2. Laporan Survey Kepuasan Masyarakat Tahun 2023 (B)
3. Laporan Evaluasi medsos (B)
4. Screenshot Medsos SDPPI (B)
5. Screenshot SINERGI, aplikasi komunikasi internal (B)
6. Screenshot SIMAYA, aplikasi komunikasi internal (B)
7. Konten medsos dan monev tentang gratifikasi (B)</t>
  </si>
  <si>
    <t>Bahwa Ditjen Aptika telah melakukan komunikasi yang efektif kepada internal dan eksternal secara terstruktur dan berkala dan melakukan perbaikan berkelanjutan atas metodologi komunikasi 
1. Sosialisasi Internalisasi dan Implementasi Core Value ASN BerAKHLAK dan Employer Branding “ Bangga Melayani Bangsa.
2. Screenshoot layanan Aptika pada situs web Aptika 
3. Survei Kepuasan Layanan Ditjen Aptika</t>
  </si>
  <si>
    <r>
      <rPr>
        <rFont val="Arial"/>
        <color rgb="FF000000"/>
        <sz val="12.0"/>
      </rPr>
      <t xml:space="preserve">Bahwa perbaikan berkelanjutan atas komunikasi yang efektif sudah dilakukan, melalui
 - Portal Layanan Panggilan Darurat 112 (Screenshot Portal)
 - Laporan Hasil Verifikasi Kesiapan Layanan Darurat
 - Sosialisasi Digipay tanggal 1 November
 - laporan IKM pelayanan publik perizinan pos, telekomunikasi dan penyiaran
 - laporan rapat evaluasi pelaksanaan anggaran Kominfo tahun 2021
 - rapat di bidang keuangan
 - bimtek di bidang keuangan
 - sosialisasi di bidang keuangan
</t>
    </r>
    <r>
      <rPr>
        <rFont val="Arial"/>
        <color rgb="FFFF0000"/>
        <sz val="12.0"/>
      </rPr>
      <t>- Sosialisasi PermenPANRB Nomor 1 Tahun 2023 tentang Jabatan Fungsional
- Laporan Sosialisasi Penyusunan SKP pada Aplikasi e-Kinerja dengan BKN
- Laporan Penyusunan ABK JF Analis Kebijakan dan JF Analis SDM Aparatur dengan LAN dan BKN</t>
    </r>
  </si>
  <si>
    <r>
      <rPr>
        <rFont val="Arial"/>
        <color rgb="FF000000"/>
        <sz val="12.0"/>
        <u/>
      </rPr>
      <t xml:space="preserve">Bahwa di Badan Litbang SDM  telah terdapat Komunikasi yang Efektif
yang dilaksanakan oleh para pegawai dalam melaksanakan tugas dan fungsinya di Badan Litbang SDM. Hal ini dibuktikan dengan
Terdapat Komunikasi telah dilakukan kepada internal dan eksternal secara terstruktur dan berkala, melalui LAKIP, LAPTAH, Renstra,Website yang bisa diakses melalui </t>
    </r>
    <r>
      <rPr>
        <rFont val="Arial"/>
        <color rgb="FF1155CC"/>
        <sz val="12.0"/>
        <u/>
      </rPr>
      <t>https://balitbangsdm.kominfo.go.id/publikasi-lakip-6.htm#</t>
    </r>
    <r>
      <rPr>
        <rFont val="Arial"/>
        <color rgb="FF000000"/>
        <sz val="12.0"/>
        <u/>
      </rPr>
      <t xml:space="preserve"> (E-B)</t>
    </r>
  </si>
  <si>
    <t>Bakti telah melaksanakan komunikasi yang efektif kepada internal dan eksternal secara terstruktur dan berkala untuk melakukan evaluasi atas layanan dari program utama tersebut. Hal tersebut dapat dibuktikan dengan dokumen sbb:
1. Halo Bakti pada tahun 2022
2. Penggunaan media sosial secara berkala (IG dan FB)
Namun kami belum bisa mendapatkan bukti apakah ada perbaikan berkelanjutan dengan penggunaan komunikasi kepada internal dan eksternal dengan dokumen2 tersebut di atas.</t>
  </si>
  <si>
    <r>
      <rPr>
        <rFont val="Arial"/>
        <color rgb="FF000000"/>
        <sz val="12.0"/>
      </rPr>
      <t xml:space="preserve">Bahwa Pemantauan pelaksanaan pengendalian telah dilaksanakan secara berkala pada seluruh aktivitas pengendalian dan terkait pemantauan kinerja telah dilaksanakan pada level program, kegiatan, unit kerja level dibawahnya sampai dengan pemantauan kinerja individu, namun hasil pemantauan belum dikelola (tidak lanjut tidak termonitor)
</t>
    </r>
    <r>
      <rPr>
        <rFont val="Arial"/>
        <color rgb="FFFF0000"/>
        <sz val="12.0"/>
      </rPr>
      <t>1. Laporan Monev SMART Setjen (E-C)
2. Foto Dashbiard aplikasi SMART (E-C) 
3. Laporan Capaian Kinerja Setjen (E-C)</t>
    </r>
    <r>
      <rPr>
        <rFont val="Arial"/>
        <color rgb="FF0000FF"/>
        <sz val="12.0"/>
      </rPr>
      <t xml:space="preserve">
4. Nota dinas dan laporan tugas capaian program prioritas Kementerian Kominfo Tahun 2021 (E-C) </t>
    </r>
    <r>
      <rPr>
        <rFont val="Arial"/>
        <color rgb="FFFF0000"/>
        <sz val="12.0"/>
      </rPr>
      <t>&gt; Tahun 2022</t>
    </r>
    <r>
      <rPr>
        <rFont val="Arial"/>
        <color rgb="FF0000FF"/>
        <sz val="12.0"/>
      </rPr>
      <t xml:space="preserve">
5. Nota Dinas pelaporan Realisasi fisik dan anggaran pada Aplikasi E-Monev PP39 (E-C)</t>
    </r>
    <r>
      <rPr>
        <rFont val="Arial"/>
        <b/>
        <color rgb="FF0000FF"/>
        <sz val="12.0"/>
      </rPr>
      <t xml:space="preserve">
</t>
    </r>
    <r>
      <rPr>
        <rFont val="Arial"/>
        <color rgb="FF0000FF"/>
        <sz val="12.0"/>
      </rPr>
      <t>6. Realisasi SIPINTER (E-C)
7. Realisasi e- SKP (E-C)
8. Laporan Rapim (E-C)</t>
    </r>
  </si>
  <si>
    <t>Perbaikan berkelanjutan atas pemantauan pengendalian intern dilaksanakan dan berdampak pada kualitas pengendalian intern. Hal ini dibuktikan dengan Laporan Survey Kepuasan Layanan Pengawasan. Berdasarkan hasil survey, Indeks kepuasan layanan pengawasan (assurance) di tingkat Unit Eselon I Inspektorat Jenderal yaitu sebesar 3,30 atau kategori “Baik”, adapun saran perbaikan atas laporan hasil evaluasi akan dijadikan perbaikan untuk pengendalian intern yang berkualitas kedepannya</t>
  </si>
  <si>
    <t xml:space="preserve">Bahwa Ditjen SDPPI telah melakukan pemantauan berkelanjutan dan melakukan perbaikan terkait pengendalian intern yang dibuktikan dengan dilaksanakan penilaian Pengendalian Intern Pelaporan Keuangan (PIPK), penilaian mandiri SPIP, Evaluasi Capaian Kinerja, Evaluasi Sasaran Kinerja Pegawai (SKP) dan Evaluasi MR.
Dokumen terlampir :
1. Laporan PIPK Tahun 2022 (B)
2. Risalah Rapat Evaluasi SPIP dan Tindak Lanjut AoI SPIP 2022 (B)
3. Laporan evaluasi capaian kinerja (B)
4. Laporan Rekonsiliasi data PNBP Maret 2023 (B)
5. Undangan dan Laporan Monev Capaian Kinerja (B)
6. SKP Pegawai (B)
7. Evaluasi MR 2022 (B)
</t>
  </si>
  <si>
    <t>Bahwa Ditjen Aptika telah melaksanakan pemantauan pelaksanaan pengendalian pada seluruh aktivitas pengendalian dan terkait pemantauan kinerja telah dilaksanakan pada level program, kegiatan, unit kerja level dibawahnya sampai dengan pemantauan kinerja individu, namun hasil pemantauan belum dikelola (tidak lanjut tidak termonitor)
Dengan bukti dukung:
1. Laporan Wasdal 2022</t>
  </si>
  <si>
    <r>
      <rPr>
        <rFont val="Arial"/>
        <color rgb="FF000000"/>
        <sz val="12.0"/>
      </rPr>
      <t xml:space="preserve">Perbaikan berkelanjutan atas pemantauan pengendalian intern dilaksanakan dan berdampak pada kualitas pengendalian intern :
 - laporan rapat monev beserta rekomendasi pelaksanaan anggaran 
 - Laporan Rakorses Monitoring dan Evaluasi Penyerapan Anggaran 
 - Aplikasi SIDARA
 - Rekap Tindak Lanjut Temuan BPK dan Itjen
 - Nota Dinas Nomor 306/DJPPI.1/PW.04.06/01/2023 tentang Penyampaian Laporan Hasil Penilaian Penerapan Pengendalian Intern atas Pelaporan Keuangan Ditjen PPI
 - laporan IKPA Ditjen PPI
 - Realisasi E- Monev, SMART DJA dan SIPINTER
 - Realisasi e- SKP
 - Laporan Rapim Ditjen PPI
 - Laporan Rapim eselon II
 - Tersedianya laporan dan tindak lanjut melalui aplikasi SIMWAS
 - pengendalian internal pelaporan keuangan tingkat eselon I
 - Pemantauan tindak lanjut temuan BPK
</t>
    </r>
    <r>
      <rPr>
        <rFont val="Arial"/>
        <color rgb="FFFF0000"/>
        <sz val="12.0"/>
      </rPr>
      <t xml:space="preserve"> - Laporan monev pp39</t>
    </r>
  </si>
  <si>
    <t>Bahwa di Badan Litbang SDM  telah terdapat Pemantauan Berkelanjutan
yang dilaksanakan oleh para pegawai dalam melaksanakan tugas dan fungsinya di Badan Litbang SDM. Hal ini dibuktikan dengan
Terdapat Pemantauan pelaksanaan pengendalian telah dilaksanakan pada seluruh aktivitas pengendalian dan terkait pemantauan kinerja telah dilaksanakan pada level program, kegiatan, unit kerja level dibawahnya (melalui kegiatan Monev triwulanan) sampai dengan pemantauan kinerja individu (melalui SKP). (D-B)
- Terdapat Pemantauan Pelaksanaan Pengendalian di bidang Keuangan,Sumber Daya, dan Kepegawaian yang dapat diakses melalui aplikasi SMART, PANTAU,e-Kinerja dan OMSPAN (E)</t>
  </si>
  <si>
    <t>Bahwa Bakti Telah melakukan pemantauan berkelanjutan pada seluruh program kegiatan dan ditindaklanjuti. Hal ini dapat dibuktikan dengan dokumen sbb:
1. LHR Monev Wilker 2022
2. Realisasi Kinerja BAKTI Tahun Jan s.d Mei 2023
3. Penggunaan Aplikasi PANTAU
4. Pemantauan atas program utama BAKTI dengan HALO BAKTI pada tahun 2022
Namun kami belum bisa mendapatkan bukti adanya perbaikan berkelanjutan atas pemantauan pengendalian intern apakah sudah dilaksanakan dan berdampak pada kualitas pengendalian intern.</t>
  </si>
  <si>
    <r>
      <rPr>
        <rFont val="Arial"/>
        <color theme="1"/>
        <sz val="12.0"/>
      </rPr>
      <t xml:space="preserve">Bahwa di Kementerian Kominfo Telah melakukan reviu atas seluruh risiko operasional unit kerja, strategis unit kerja, dan strategis.
</t>
    </r>
    <r>
      <rPr>
        <rFont val="Arial"/>
        <color rgb="FF0000FF"/>
        <sz val="12.0"/>
      </rPr>
      <t>Dengan bukti dukung:
1. Nota Dinas hasil reviu Manajemen Risiko Unit Kerja Eselon I oleh APIP (C)</t>
    </r>
  </si>
  <si>
    <t>Bahwa dokumen Manajemen Risiko telah dilakukan reviu atas seluruh risiko operasional unit kerja dan strategis unit kerja. Kebijakan, framework, metode, tahapan, proses, dan praktik yang dijalankan terkait dengan proses manajemen risiko telah direviu oleh pihak internal dari Instansi Pemerintah (oleh APIP maupun komite manajemen risiko) tetapi hanya atas risiko operasional unit kerja dan strategis unit kerja. Hal ini dibuktikan dengan:
1.Laporan Hasil Reviu MR Unit Kerja Eselon I dan Satuan Kerja oleh APIP
2. Dokumen Manajemen Risiko Inspektorat Jenderal TA 2023 
3. Laporan Hasil Asistensi  Manajemen Risiko Inspektorat Jenderal TA 2023 
4. Laporan Pemantauan MR Inspektorat Jenderal</t>
  </si>
  <si>
    <r>
      <rPr>
        <rFont val="Arial"/>
        <color theme="1"/>
        <sz val="12.0"/>
      </rPr>
      <t xml:space="preserve">Bahwa di Kementerian Kominfo Telah melakukan reviu atas seluruh risiko operasional unit kerja, strategis unit kerja, dan strategis.
 Dengan bukti dukung:
 </t>
    </r>
    <r>
      <rPr>
        <rFont val="Arial"/>
        <color rgb="FF6D9EEB"/>
        <sz val="12.0"/>
      </rPr>
      <t>1. Nota Dinas hasil reviu Manajemen Risiko Unit Kerja Eselon I oleh APIP (C)</t>
    </r>
  </si>
  <si>
    <t xml:space="preserve">Bahwa di Kementerian Kominfo Telah melakukan reviu atas seluruh risiko operasional unit kerja, strategis unit kerja, dan strategis.
Dengan bukti dukung:
1. Nota Dinas hasil reviu Manajemen Risiko Unit Kerja Eselon I oleh APIP (C)
</t>
  </si>
  <si>
    <t>Bahwa di Kementerian Kominfo Telah melakukan reviu atas seluruh risiko operasional unit kerja, strategis unit kerja, dan strategis.
Dengan bukti dukung:
1. Nota Dinas hasil reviu Manajemen Risiko Unit Kerja Eselon I oleh APIP (C)</t>
  </si>
  <si>
    <r>
      <rPr>
        <rFont val="Arial"/>
        <color rgb="FF000000"/>
        <sz val="12.0"/>
      </rPr>
      <t xml:space="preserve">Bahwa di Kementerian Kominfo Telah melakukan reviu atas seluruh risiko operasional unit kerja, strategis unit kerja, dan strategis.
Dengan bukti dukung:
</t>
    </r>
    <r>
      <rPr>
        <rFont val="Arial"/>
        <color rgb="FF4A86E8"/>
        <sz val="12.0"/>
      </rPr>
      <t>1. Nota Dinas hasil reviu Manajemen Risiko Unit Kerja Eselon I oleh APIP (C)</t>
    </r>
  </si>
  <si>
    <r>
      <rPr>
        <rFont val="Arial"/>
        <color theme="1"/>
        <sz val="12.0"/>
      </rPr>
      <t xml:space="preserve">Monitoring terhadap risiko dan tindak pengendalian dilakukan terhadap risiko operasional unit kerja/OPD dan strategis unit kerja/OPD secara memadai. Hal ini dibuktikan dengan:
</t>
    </r>
    <r>
      <rPr>
        <rFont val="Arial"/>
        <color rgb="FF0000FF"/>
        <sz val="12.0"/>
      </rPr>
      <t xml:space="preserve">1. Laporan Hasil Monitoring MR oleh masing-masing UPR Unit Kerja (E-C)
2. Formulir Manajemen Risiko Unit/Satuan Kerja (E-C)
</t>
    </r>
  </si>
  <si>
    <t xml:space="preserve">Monitoring terhadap risiko dan tindak pengendalian dilakukan terhadap risiko operasional unit kerja/OPD, strategis unit kerja/OPD dan strategis K/L/D secara memadai dengan dokumentasi berupa:
- Dokumen Manajemen Risiko Inspektorat Jenderal TA 2023 
- Dokumen Pemantauan Manajemen Risiko Inspektorat Jenderal TA 2023 </t>
  </si>
  <si>
    <t>Bahwa dokumen Manajemen Risiko telah dilakukan reviu atas sebagian risiko operasional unit kerja, dimana kebijakan, framework, metode, tahapan, proses, dan praktik yang dijalankan terkait dengan proses manajemen risiko telah direviu oleh pihak internal dari Instansi Pemerintah (oleh APIP maupun komite manajemen risiko) tetapi hanya atas risiko operasional unit kerja. Hal ini dibuktikan dengan:
1. Laporan Hasil Reviu MR Unit Kerja Eselon I dan Satuan Kerja oleh APIP
2. Laporan Monev Manajemen Risiko Triwulan IV TA 2022
3. Formulir Manajemen Risiko Unit/Satuan Kerja
4. TOR dan Evaluasi TOR</t>
  </si>
  <si>
    <t xml:space="preserve">Bahwa monitoring terhadap risiko dan tindak pengendalian di Kementerian Kominfo telah dilakukan terhadap risiko operasional unit kerja, strategis unit kerja dan strategis secara memadai. 
Dengan bukti dukung:
1. Formulir 4 MR (Pemantauan Triwulanan dan Tahunan).
2. Laporan kegiatan hasil monev MR Unit Kerja
</t>
  </si>
  <si>
    <t>Bahwa monitoring terhadap risiko dan tindak pengendalian di Kementerian Kominfo telah dilakukan terhadap risiko operasional unit kerja, strategis unit kerja dan strategis secara memadai. 
Dengan bukti dukung:
1. Formulir 4 MR (Pemantauan Triwulanan dan Tahunan).
2. Laporan kegiatan hasil monev MR Unit Kerja</t>
  </si>
  <si>
    <t>Bahwa monitoring terhadap risiko dan tindak pengendalian di Kementerian Kominfo telah dilakukan terhadap risiko operasional unit kerja, strategis unit kerja dan strategis secara memadai. 
Dengan bukti dukung:
1. Formulir 4 MR (Pemantauan Triwulanan dan Tahunan).(B)
2. LHE Pelaksanaan MR Triwulan I Tahun 2023 (B)
3. LHA Penyusunan Penyusunan Manajemen Risiko Tahun 2023 dan Evaluasi Manajemen Risiko (B)</t>
  </si>
  <si>
    <r>
      <rPr>
        <rFont val="Arial"/>
        <color theme="1"/>
        <sz val="12.0"/>
      </rPr>
      <t xml:space="preserve">Bahwa monitoring terhadap risiko dan tindak pengendalian di Kementerian Kominfo telah dilakukan terhadap risiko operasional unit kerja, strategis unit kerja dan strategis secara memadai. 
Dengan bukti dukung:
</t>
    </r>
    <r>
      <rPr>
        <rFont val="Arial"/>
        <color rgb="FF4A86E8"/>
        <sz val="12.0"/>
      </rPr>
      <t>1. Formulir 4 MR (Pemantauan Triwulanan dan Tahunan).
2. Laporan kegiatan hasil monev MR Unit Kerja</t>
    </r>
  </si>
  <si>
    <r>
      <rPr>
        <rFont val="Arial"/>
        <color theme="1"/>
        <sz val="12.0"/>
      </rPr>
      <t xml:space="preserve">Bahwa evaluasi terpisah di Kementerian Kominfo telah dilaksanakan pada seluruh aktivitas pengendalian dan seluruh program dan kegiatan serta dilaksanakan oleh pihak yang kompeten dan dengan metodologi yang tepat, namun hasil evaluasi terpisah belum ditindaklanjuti seluruhnya.
</t>
    </r>
    <r>
      <rPr>
        <rFont val="Arial"/>
        <color rgb="FF0000FF"/>
        <sz val="12.0"/>
      </rPr>
      <t>Dengan data dukung:
1. Laporan hasil kinerja keuangan Kemkominfo oleh APIP.(C)
2. Laporan keuangan Kominfo (C)
3. Laporan evaluasi pelaksanaan anggaran oleh Kemenkeu (C)
4. Nodin Tindak Lanjut Hasil Evaluasi Pelaksanaan Anggaran (C)
5. Laporan Monev Pelaksanaan Anggaran (C)
6. Laporan Monev dengan Bappenas (C)
7. Laporan Indeks profesionalitas ASN dari BKN (C)
8. Laporan hasil penjaminan kualitas SPIP oleh APIP (C)
9. Nodin Tindak Lanjut atas Hasil Penjaminan kualitas (C)
10. Nodin Tindak Lanjut atas Hasil Evaluasi SPIP oleh BPKP (C)</t>
    </r>
  </si>
  <si>
    <t>Bahwa evaluasi terpisah di Kementerian Kominfo telah dilaksanakan pada seluruh aktivitas pengendalian dan seluruh program dan kegiatan serta dilaksanakan oleh pihak yang kompeten dan dengan metodologi yang tepat, namun hasil evaluasi terpisah belum ditindaklanjuti seluruhnya.
Dengan data dukung:
1. Laporan hasil kinerja keuangan Kemkominfo oleh APIP.(C)
2. Laporan keuangan Kominfo (C)
3. Laporan evaluasi pelaksanaan anggaran oleh Kemenkeu (C)
4. Nodin Tindak Lanjut Hasil Evaluasi Pelaksanaan Anggaran (C)
5. Laporan Monev Pelaksanaan Anggaran (C)
6. Laporan Monev dengan Bappenas (C)
7. Laporan Indeks profesionalitas ASN dari BKN (C)
8. Laporan hasil penjaminan kualitas SPIP oleh APIP (C)
9. Nodin Tindak Lanjut atas Hasil Penjaminan kualitas (C)
10. Nodin Tindak Lanjut atas Hasil Evaluasi SPIP oleh BPKP (C)
11. Laporan hasil Penjaminan Kualitas SPIP oleh APIP
12. Tindak Lanjut atas Hasil Evaluasi SPIP oleh BPKP
13. Laporan Pemantauan MR Inspektorat Jenderal
14. Review RKAKL Inspektorat Jenderal
15. LHR Inspektorat Jenderal</t>
  </si>
  <si>
    <r>
      <rPr>
        <rFont val="Arial"/>
        <color theme="1"/>
        <sz val="12.0"/>
      </rPr>
      <t xml:space="preserve">Bahwa evaluasi terpisah di Kementerian Kominfo telah dilaksanakan pada seluruh aktivitas pengendalian dan seluruh program dan kegiatan serta dilaksanakan oleh pihak yang kompeten dan dengan metodologi yang tepat, namun hasil evaluasi terpisah belum ditindaklanjuti seluruhnya.
 Dengan data dukung:
 </t>
    </r>
    <r>
      <rPr>
        <rFont val="Arial"/>
        <color rgb="FFFF0000"/>
        <sz val="12.0"/>
      </rPr>
      <t xml:space="preserve">1. Laporan hasil kinerja keuangan Kemkominfo oleh APIP.(C)
</t>
    </r>
    <r>
      <rPr>
        <rFont val="Arial"/>
        <color rgb="FF6D9EEB"/>
        <sz val="12.0"/>
      </rPr>
      <t xml:space="preserve"> 2. Laporan keuangan Kominfo (C)</t>
    </r>
    <r>
      <rPr>
        <rFont val="Arial"/>
        <color rgb="FFFF0000"/>
        <sz val="12.0"/>
      </rPr>
      <t xml:space="preserve">
 3. Laporan evaluasi pelaksanaan anggaran oleh Kemenkeu (C)
 4. Nodin Tindak Lanjut Hasil Evaluasi Pelaksanaan Anggaran (C)
 5. Laporan Monev Pelaksanaan Anggaran (C)
 6. Laporan Monev dengan Bappenas (C)
 7. Laporan Indeks profesionalitas ASN dari BKN (C)
 8. Laporan hasil penjaminan kualitas SPIP oleh APIP (C)
 9. Nodin Tindak Lanjut atas Hasil Penjaminan kualitas (C)
 10. Nodin Tindak Lanjut atas Hasil Evaluasi SPIP oleh BPKP (C)</t>
    </r>
  </si>
  <si>
    <t xml:space="preserve">Bahwa evaluasi terpisah di Kementerian Kominfo telah dilaksanakan pada seluruh aktivitas pengendalian dan seluruh program dan kegiatan serta dilaksanakan oleh pihak yang kompeten dan dengan metodologi yang tepat, namun hasil evaluasi terpisah belum ditindaklanjuti seluruhnya.
Dengan data dukung:
1. Laporan hasil kinerja keuangan Kemkominfo oleh APIP.(C)
2. Laporan keuangan Kominfo (C)
3. Laporan evaluasi pelaksanaan anggaran oleh Kemenkeu (C)
4. Nodin Tindak Lanjut Hasil Evaluasi Pelaksanaan Anggaran (C)
5. Laporan Monev Pelaksanaan Anggaran (C)
6. Laporan Monev dengan Bappenas (C)
7. Laporan Indeks profesionalitas ASN dari BKN (C)
8. Laporan hasil penjaminan kualitas SPIP oleh APIP (C)
9. Nodin Tindak Lanjut atas Hasil Penjaminan kualitas (C)
10. Nodin Tindak Lanjut atas Hasil Evaluasi SPIP oleh BPKP (C)
</t>
  </si>
  <si>
    <t>Bahwa evaluasi terpisah di Kementerian Kominfo telah dilaksanakan pada seluruh aktivitas pengendalian dan seluruh program dan kegiatan serta dilaksanakan oleh pihak yang kompeten dan dengan metodologi yang tepat, namun hasil evaluasi terpisah belum ditindaklanjuti seluruhnya.
Dengan data dukung:
1. Laporan hasil kinerja keuangan Kemkominfo oleh APIP.(C)
2. Laporan keuangan Kominfo (C)
3. Laporan evaluasi pelaksanaan anggaran oleh Kemenkeu (C)
4. Nodin Tindak Lanjut Hasil Evaluasi Pelaksanaan Anggaran (C)
5. Laporan Monev Pelaksanaan Anggaran (C)
6. Laporan Monev dengan Bappenas (C)
7. Laporan Indeks profesionalitas ASN dari BKN (C)
8. Laporan hasil penjaminan kualitas SPIP oleh APIP (C)
9. Nodin Tindak Lanjut atas Hasil Penjaminan kualitas (C)
10. Nodin Tindak Lanjut atas Hasil Evaluasi SPIP oleh BPKP (C)</t>
  </si>
  <si>
    <r>
      <rPr>
        <rFont val="Arial"/>
        <color rgb="FF000000"/>
        <sz val="12.0"/>
      </rPr>
      <t xml:space="preserve">Bahwa evaluasi terpisah di Kementerian Kominfo telah dilaksanakan pada seluruh aktivitas pengendalian dan seluruh program dan kegiatan serta dilaksanakan oleh pihak yang kompeten dan dengan metodologi yang tepat, namun hasil evaluasi terpisah belum ditindaklanjuti seluruhnya.
Dengan data dukung:
</t>
    </r>
    <r>
      <rPr>
        <rFont val="Arial"/>
        <color rgb="FF4A86E8"/>
        <sz val="12.0"/>
      </rPr>
      <t xml:space="preserve">1. Laporan hasil kinerja keuangan Kemkominfo oleh APIP.(C)
2. Laporan keuangan Kominfo (C)
3. Laporan evaluasi pelaksanaan anggaran oleh Kemenkeu (C)
4. Nodin Tindak Lanjut Hasil Evaluasi Pelaksanaan Anggaran (C)
5. Laporan Monev Pelaksanaan Anggaran (C)
6. Laporan Monev dengan Bappenas (C)
7. Laporan Indeks profesionalitas ASN dari BKN (C)
8. Laporan hasil penjaminan kualitas SPIP oleh APIP (C)
9. Nodin Tindak Lanjut atas Hasil Penjaminan kualitas (C)
10. Nodin Tindak Lanjut atas Hasil Evaluasi SPIP oleh BPKP </t>
    </r>
    <r>
      <rPr>
        <rFont val="Arial"/>
        <color rgb="FF000000"/>
        <sz val="12.0"/>
      </rPr>
      <t>(C)</t>
    </r>
  </si>
  <si>
    <r>
      <rPr>
        <rFont val="Arial"/>
        <color rgb="FF000000"/>
        <sz val="12.0"/>
      </rPr>
      <t>Bahwa di Kementerian Kominfo telah melakukan reviu terhadap proses tindak pengendalian untuk risiko tingkat operasional unit kerja dengan cukup memadai.</t>
    </r>
    <r>
      <rPr>
        <rFont val="Arial"/>
        <color rgb="FF0000FF"/>
        <sz val="12.0"/>
      </rPr>
      <t xml:space="preserve">
Dengan bukti dukung:
1. Formulir MR (C)
2. Undangan monev MR (C)
3. Nodin laporan hasi reviu dari APIP (C)
4. PerMenkominfo No. 6 Tahun 2017 tentang Pedoman MR (C)
5. Bukti tindak lanjut atas hasil Reviu/ Monev MR APIP (Screenshot Aplikasi MR Kominfo) (C)
6. Evaluasi pelaksanaan MR oleh APIP (akhir tahun) (C)
7. Laporan Reviu RKA K/L (C)</t>
    </r>
  </si>
  <si>
    <t>Bahwa evaluasi terpisah di Kementerian Kominfo telah dilaksanakan pada seluruh aktivitas pengendalian dan seluruh program dan kegiatan serta dilaksanakan oleh pihak yang kompeten dan dengan metodologi yang tepat, namun hasil evaluasi terpisah belum ditindaklanjuti seluruhnya, Hal ini dibuktikan dengan:
1. Laporan Reviu/Monev MR dari APIP
2. Bukti tindak lanjut atas hasil Reviu/Monev MR APIP 
3. Evaluasi Pelaksanaan MR oleh APIP (akhir tahun)
4. Dokumen Manajemen Risiko (MR)
5. Undangan monev MR (C)
6. Nodin laporan hasi reviu dari APIP (C)
7. PerMenkominfo No. 6 Tahun 2017 tentang Pedoman MR (C)
8. Bukti tindak lanjut atas hasil Reviu/ Monev MR APIP (Screenshot Aplikasi MR Kominfo) (C)
9. Evaluasi pelaksanaan MR oleh APIP (akhir tahun) (C)
10. Laporan Reviu RKA K/L (C)</t>
  </si>
  <si>
    <r>
      <rPr>
        <rFont val="Arial"/>
        <color theme="1"/>
        <sz val="12.0"/>
      </rPr>
      <t xml:space="preserve">Bahwa di Kementerian Kominfo telah melakukan reviu terhadap proses tindak pengendalian untuk risiko tingkat operasional unit kerja dengan cukup memadai.
 Dengan bukti dukung:
</t>
    </r>
    <r>
      <rPr>
        <rFont val="Arial"/>
        <color rgb="FFFF0000"/>
        <sz val="12.0"/>
      </rPr>
      <t xml:space="preserve"> 1. Formulir MR (C)
 2. Undangan monev MR (C)
 3. Nodin laporan hasi reviu dari APIP (C)
 4. PerMenkominfo No. 6 Tahun 2017 tentang Pedoman MR (C)
 5. Bukti tindak lanjut atas hasil Reviu/ Monev MR APIP (Screenshot Aplikasi MR Kominfo) (C)
 6. Evaluasi pelaksanaan MR oleh APIP (akhir tahun) (C)
 7. Laporan Reviu RKA K/L (C)</t>
    </r>
  </si>
  <si>
    <t xml:space="preserve">Bahwa di Kementerian Kominfo telah melakukan reviu terhadap proses tindak pengendalian untuk risiko tingkat operasional unit kerja dengan cukup memadai.
Dengan bukti dukung:
1. Formulir MR (C)
2. Undangan monev MR (C)
3. Nodin laporan hasi reviu dari APIP (C)
4. PerMenkominfo No. 6 Tahun 2017 tentang Pedoman MR (C)
5. Bukti tindak lanjut atas hasil Reviu/ Monev MR APIP (Screenshot Aplikasi MR Kominfo) (C)
6. Evaluasi pelaksanaan MR oleh APIP (akhir tahun) (C)
7. Laporan Reviu RKA K/L (C)
</t>
  </si>
  <si>
    <t>Bahwa di Kementerian Kominfo telah melakukan reviu terhadap proses tindak pengendalian untuk risiko tingkat operasional unit kerja dengan cukup memadai.
Dengan bukti dukung:
1. Formulir MR (C)
2. Undangan monev MR (C)
3. Nodin laporan hasi reviu dari APIP (C)
4. PerMenkominfo No. 6 Tahun 2017 tentang Pedoman MR (C)
5. Bukti tindak lanjut atas hasil Reviu/ Monev MR APIP (Screenshot Aplikasi MR Kominfo) (C)
6. Evaluasi pelaksanaan MR oleh APIP (akhir tahun) (C)
7. Laporan Reviu RKA K/L (C)</t>
  </si>
  <si>
    <r>
      <rPr>
        <rFont val="Arial"/>
        <color rgb="FF000000"/>
        <sz val="12.0"/>
      </rPr>
      <t xml:space="preserve">Bahwa di Kementerian Kominfo telah melakukan reviu terhadap proses tindak pengendalian untuk risiko tingkat operasional unit kerja dengan cukup memadai.
Dengan bukti dukung:
</t>
    </r>
    <r>
      <rPr>
        <rFont val="Arial"/>
        <color rgb="FF4A86E8"/>
        <sz val="12.0"/>
      </rPr>
      <t xml:space="preserve">1. Formulir MR (C)
2. Undangan monev MR (C)
3. Nodin laporan hasi reviu dari APIP (C)
4. PerMenkominfo No. 6 Tahun 2017 tentang Pedoman MR (C)
5. Bukti tindak lanjut atas hasil Reviu/ Monev MR APIP (Screenshot Aplikasi MR Kominfo) (C)
6. Evaluasi pelaksanaan MR oleh APIP (akhir tahun) (C)
7. Laporan Reviu RKA K/L </t>
    </r>
    <r>
      <rPr>
        <rFont val="Arial"/>
        <color rgb="FF000000"/>
        <sz val="12.0"/>
      </rPr>
      <t>(C)</t>
    </r>
  </si>
  <si>
    <t>KK4 - KERTAS KERJA PENALTI/PENGURANGAN NILAI</t>
  </si>
  <si>
    <t>PENGURANGAN NILAI</t>
  </si>
  <si>
    <t>Skor Setelah Penalti</t>
  </si>
  <si>
    <t>Kasus Korupsi Institusional</t>
  </si>
  <si>
    <t>Kasus Korupsi Individual</t>
  </si>
  <si>
    <t>TIDAK</t>
  </si>
  <si>
    <t>Sub Unsur Terkait</t>
  </si>
  <si>
    <t>III</t>
  </si>
  <si>
    <t>Tabel di atas dapat digunakan sebagai referensi namun tidak membatasi Tim Penjamin Kualitas dalam menganalisis hubungan kausalitas dan melakukan pengurangan nilai pada sub unsur</t>
  </si>
  <si>
    <t>IV</t>
  </si>
  <si>
    <t>YA</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</si>
</sst>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0"/>
    <numFmt numFmtId="165" formatCode="_(* #,##0.00_);_(* \(#,##0.00\);_(* &quot;-&quot;??_);_(@_)"/>
    <numFmt numFmtId="166" formatCode="0.000%"/>
    <numFmt numFmtId="167" formatCode="_-* #,##0_-;\-* #,##0_-;_-* &quot;-&quot;_-;_-@"/>
    <numFmt numFmtId="168" formatCode="_(* #,##0_);_(* \(#,##0\);_(* &quot;-&quot;??_);_(@_)"/>
    <numFmt numFmtId="169" formatCode="d\.m"/>
    <numFmt numFmtId="170" formatCode="0.00\ %"/>
    <numFmt numFmtId="171" formatCode="0\ %"/>
    <numFmt numFmtId="172" formatCode="_-* #,##0_-;\-* #,##0_-;_-* &quot;-&quot;??_-;_-@"/>
  </numFmts>
  <fonts count="74">
    <font>
      <sz val="12.0"/>
      <color theme="1"/>
      <name val="Calibri"/>
      <scheme val="minor"/>
    </font>
    <font>
      <sz val="12.0"/>
      <color theme="1"/>
      <name val="Calibri"/>
    </font>
    <font>
      <b/>
      <sz val="12.0"/>
      <color theme="1"/>
      <name val="Arial"/>
    </font>
    <font/>
    <font>
      <b/>
      <sz val="16.0"/>
      <color theme="1"/>
      <name val="Arial"/>
    </font>
    <font>
      <b/>
      <sz val="16.0"/>
      <color theme="0"/>
      <name val="Arial"/>
    </font>
    <font>
      <sz val="12.0"/>
      <color theme="1"/>
      <name val="Arial"/>
    </font>
    <font>
      <b/>
      <sz val="14.0"/>
      <color theme="1"/>
      <name val="Arial"/>
    </font>
    <font>
      <b/>
      <sz val="18.0"/>
      <color theme="0"/>
      <name val="Arial"/>
    </font>
    <font>
      <i/>
      <sz val="12.0"/>
      <color theme="1"/>
      <name val="Arial"/>
    </font>
    <font>
      <b/>
      <sz val="24.0"/>
      <color theme="1"/>
      <name val="Calibri"/>
    </font>
    <font>
      <sz val="24.0"/>
      <color theme="1"/>
      <name val="Calibri"/>
    </font>
    <font>
      <sz val="24.0"/>
      <color theme="1"/>
      <name val="Arial"/>
    </font>
    <font>
      <sz val="12.0"/>
      <color rgb="FFFF0000"/>
      <name val="Arial"/>
    </font>
    <font>
      <sz val="12.0"/>
      <color rgb="FF000000"/>
      <name val="Arial"/>
    </font>
    <font>
      <b/>
      <sz val="17.0"/>
      <color rgb="FF000000"/>
      <name val="Arial"/>
    </font>
    <font>
      <b/>
      <sz val="11.0"/>
      <color rgb="FF000000"/>
      <name val="Arial"/>
    </font>
    <font>
      <b/>
      <sz val="16.0"/>
      <color rgb="FF000000"/>
      <name val="Arial"/>
    </font>
    <font>
      <sz val="12.0"/>
      <color rgb="FF000000"/>
      <name val="Calibri"/>
    </font>
    <font>
      <b/>
      <sz val="12.0"/>
      <color rgb="FF000000"/>
      <name val="Arial"/>
    </font>
    <font>
      <sz val="11.0"/>
      <color rgb="FF000000"/>
      <name val="Arial"/>
    </font>
    <font>
      <sz val="16.0"/>
      <color rgb="FF000000"/>
      <name val="Arial"/>
    </font>
    <font>
      <b/>
      <sz val="10.0"/>
      <color theme="1"/>
      <name val="Arial"/>
    </font>
    <font>
      <sz val="10.0"/>
      <color theme="1"/>
      <name val="Arial"/>
    </font>
    <font>
      <b/>
      <sz val="15.0"/>
      <color theme="1"/>
      <name val="Arial"/>
    </font>
    <font>
      <b/>
      <sz val="24.0"/>
      <color rgb="FFFFFFFF"/>
      <name val="Arial"/>
    </font>
    <font>
      <strike/>
      <sz val="12.0"/>
      <color theme="1"/>
      <name val="Arial"/>
    </font>
    <font>
      <sz val="11.0"/>
      <color rgb="FF485056"/>
      <name val="Arial"/>
    </font>
    <font>
      <sz val="11.0"/>
      <color theme="1"/>
      <name val="Arial"/>
    </font>
    <font>
      <b/>
      <sz val="24.0"/>
      <color theme="0"/>
      <name val="Arial"/>
    </font>
    <font>
      <sz val="12.0"/>
      <color rgb="FF000000"/>
      <name val="Times New Roman"/>
    </font>
    <font>
      <sz val="16.0"/>
      <color theme="1"/>
      <name val="Arial"/>
    </font>
    <font>
      <sz val="12.0"/>
      <color rgb="FFFF0000"/>
      <name val="Calibri"/>
    </font>
    <font>
      <sz val="13.0"/>
      <color rgb="FF000000"/>
      <name val="Arial"/>
    </font>
    <font>
      <sz val="12.0"/>
      <color rgb="FF434343"/>
      <name val="Arial"/>
    </font>
    <font>
      <sz val="12.0"/>
      <color rgb="FF4472C4"/>
      <name val="Arial"/>
    </font>
    <font>
      <sz val="12.0"/>
      <color rgb="FF0000FF"/>
      <name val="Arial"/>
    </font>
    <font>
      <u/>
      <sz val="12.0"/>
      <color rgb="FF0000FF"/>
      <name val="Arial"/>
    </font>
    <font>
      <sz val="14.0"/>
      <color theme="1"/>
      <name val="Arial"/>
    </font>
    <font>
      <sz val="14.0"/>
      <color rgb="FF000000"/>
      <name val="Arial"/>
    </font>
    <font>
      <u/>
      <sz val="12.0"/>
      <color theme="10"/>
      <name val="Calibri"/>
    </font>
    <font>
      <sz val="12.0"/>
      <color rgb="FFA50021"/>
      <name val="Arial"/>
    </font>
    <font>
      <u/>
      <sz val="12.0"/>
      <color rgb="FF0563C1"/>
      <name val="Calibri"/>
    </font>
    <font>
      <b/>
      <sz val="12.0"/>
      <color theme="1"/>
      <name val="Calibri"/>
    </font>
    <font>
      <u/>
      <sz val="12.0"/>
      <color theme="10"/>
      <name val="Calibri"/>
    </font>
    <font>
      <u/>
      <sz val="12.0"/>
      <color theme="10"/>
      <name val="Calibri"/>
    </font>
    <font>
      <u/>
      <sz val="12.0"/>
      <color rgb="FF0563C1"/>
      <name val="Calibri"/>
    </font>
    <font>
      <sz val="14.0"/>
      <color rgb="FF0000FF"/>
      <name val="Arial"/>
    </font>
    <font>
      <u/>
      <sz val="12.0"/>
      <color rgb="FF0000FF"/>
      <name val="Calibri"/>
    </font>
    <font>
      <u/>
      <sz val="12.0"/>
      <color rgb="FF0000FF"/>
      <name val="Calibri"/>
    </font>
    <font>
      <u/>
      <sz val="12.0"/>
      <color rgb="FF0563C1"/>
      <name val="Calibri"/>
    </font>
    <font>
      <b/>
      <sz val="12.0"/>
      <color rgb="FF000000"/>
      <name val="Calibri"/>
    </font>
    <font>
      <b/>
      <sz val="16.0"/>
      <color rgb="FF000000"/>
      <name val="Calibri"/>
    </font>
    <font>
      <b/>
      <sz val="16.0"/>
      <color theme="1"/>
      <name val="Calibri"/>
    </font>
    <font>
      <sz val="11.0"/>
      <color rgb="FF495057"/>
      <name val="IBM Plex Sans"/>
    </font>
    <font>
      <sz val="13.0"/>
      <color theme="1"/>
      <name val="Arial"/>
    </font>
    <font>
      <b/>
      <sz val="12.0"/>
      <color rgb="FFFFFFFF"/>
      <name val="Arial"/>
    </font>
    <font>
      <sz val="11.0"/>
      <color theme="1"/>
      <name val="Calibri"/>
    </font>
    <font>
      <b/>
      <sz val="11.0"/>
      <color theme="1"/>
      <name val="Calibri"/>
    </font>
    <font>
      <sz val="12.0"/>
      <color rgb="FF8E0000"/>
      <name val="Arial"/>
    </font>
    <font>
      <b/>
      <sz val="12.0"/>
      <color rgb="FF333333"/>
      <name val="Arial"/>
    </font>
    <font>
      <sz val="10.0"/>
      <color rgb="FF485056"/>
      <name val="Arial"/>
    </font>
    <font>
      <b/>
      <sz val="20.0"/>
      <color theme="1"/>
      <name val="Arial"/>
    </font>
    <font>
      <b/>
      <sz val="20.0"/>
      <color rgb="FF333333"/>
      <name val="Quattrocento Sans"/>
    </font>
    <font>
      <b/>
      <sz val="10.0"/>
      <color rgb="FF485056"/>
      <name val="Arial"/>
    </font>
    <font>
      <b/>
      <sz val="11.0"/>
      <color rgb="FF485056"/>
      <name val="Arial"/>
    </font>
    <font>
      <b/>
      <sz val="11.0"/>
      <color theme="1"/>
      <name val="Arial"/>
    </font>
    <font>
      <i/>
      <sz val="11.0"/>
      <color theme="1"/>
      <name val="Arial"/>
    </font>
    <font>
      <sz val="10.0"/>
      <color rgb="FF000000"/>
      <name val="Arial"/>
    </font>
    <font>
      <b/>
      <sz val="10.0"/>
      <color rgb="FF000000"/>
      <name val="Arial"/>
    </font>
    <font>
      <u/>
      <sz val="12.0"/>
      <color rgb="FFFF0000"/>
      <name val="Arial"/>
    </font>
    <font>
      <u/>
      <sz val="12.0"/>
      <color rgb="FF0000FF"/>
      <name val="Arial"/>
    </font>
    <font>
      <b/>
      <sz val="12.0"/>
      <color theme="0"/>
      <name val="Arial"/>
    </font>
    <font>
      <sz val="12.0"/>
      <color theme="0"/>
      <name val="Arial"/>
    </font>
  </fonts>
  <fills count="59">
    <fill>
      <patternFill patternType="none"/>
    </fill>
    <fill>
      <patternFill patternType="lightGray"/>
    </fill>
    <fill>
      <patternFill patternType="solid">
        <fgColor rgb="FFC00000"/>
        <bgColor rgb="FFC00000"/>
      </patternFill>
    </fill>
    <fill>
      <patternFill patternType="solid">
        <fgColor rgb="FF9CC2E5"/>
        <bgColor rgb="FF9CC2E5"/>
      </patternFill>
    </fill>
    <fill>
      <patternFill patternType="solid">
        <fgColor rgb="FFC5E0B3"/>
        <bgColor rgb="FFC5E0B3"/>
      </patternFill>
    </fill>
    <fill>
      <patternFill patternType="solid">
        <fgColor rgb="FFFBE4D5"/>
        <bgColor rgb="FFFBE4D5"/>
      </patternFill>
    </fill>
    <fill>
      <patternFill patternType="solid">
        <fgColor rgb="FFA8D08D"/>
        <bgColor rgb="FFA8D08D"/>
      </patternFill>
    </fill>
    <fill>
      <patternFill patternType="solid">
        <fgColor rgb="FFDADADA"/>
        <bgColor rgb="FFDADADA"/>
      </patternFill>
    </fill>
    <fill>
      <patternFill patternType="solid">
        <fgColor rgb="FFDEEAF6"/>
        <bgColor rgb="FFDEEAF6"/>
      </patternFill>
    </fill>
    <fill>
      <patternFill patternType="solid">
        <fgColor theme="4"/>
        <bgColor theme="4"/>
      </patternFill>
    </fill>
    <fill>
      <patternFill patternType="solid">
        <fgColor rgb="FFFFE599"/>
        <bgColor rgb="FFFFE599"/>
      </patternFill>
    </fill>
    <fill>
      <patternFill patternType="solid">
        <fgColor rgb="FF92D050"/>
        <bgColor rgb="FF92D050"/>
      </patternFill>
    </fill>
    <fill>
      <patternFill patternType="solid">
        <fgColor rgb="FFBDD6EE"/>
        <bgColor rgb="FFBDD6EE"/>
      </patternFill>
    </fill>
    <fill>
      <patternFill patternType="solid">
        <fgColor rgb="FFFEF2CB"/>
        <bgColor rgb="FFFEF2CB"/>
      </patternFill>
    </fill>
    <fill>
      <patternFill patternType="solid">
        <fgColor rgb="FFFFFF00"/>
        <bgColor rgb="FFFFFF00"/>
      </patternFill>
    </fill>
    <fill>
      <patternFill patternType="solid">
        <fgColor rgb="FFFF0000"/>
        <bgColor rgb="FFFF0000"/>
      </patternFill>
    </fill>
    <fill>
      <patternFill patternType="solid">
        <fgColor rgb="FFD8D8D8"/>
        <bgColor rgb="FFD8D8D8"/>
      </patternFill>
    </fill>
    <fill>
      <patternFill patternType="solid">
        <fgColor rgb="FF3F3F3F"/>
        <bgColor rgb="FF3F3F3F"/>
      </patternFill>
    </fill>
    <fill>
      <patternFill patternType="solid">
        <fgColor theme="0"/>
        <bgColor theme="0"/>
      </patternFill>
    </fill>
    <fill>
      <patternFill patternType="solid">
        <fgColor rgb="FFEDF2F7"/>
        <bgColor rgb="FFEDF2F7"/>
      </patternFill>
    </fill>
    <fill>
      <patternFill patternType="solid">
        <fgColor rgb="FFC9DAF8"/>
        <bgColor rgb="FFC9DAF8"/>
      </patternFill>
    </fill>
    <fill>
      <patternFill patternType="solid">
        <fgColor rgb="FFCCCECE"/>
        <bgColor rgb="FFCCCECE"/>
      </patternFill>
    </fill>
    <fill>
      <patternFill patternType="solid">
        <fgColor rgb="FFCCEFE2"/>
        <bgColor rgb="FFCCEFE2"/>
      </patternFill>
    </fill>
    <fill>
      <patternFill patternType="solid">
        <fgColor rgb="FFF9EDD1"/>
        <bgColor rgb="FFF9EDD1"/>
      </patternFill>
    </fill>
    <fill>
      <patternFill patternType="solid">
        <fgColor rgb="FFD6DCE4"/>
        <bgColor rgb="FFD6DCE4"/>
      </patternFill>
    </fill>
    <fill>
      <patternFill patternType="solid">
        <fgColor rgb="FFFFD965"/>
        <bgColor rgb="FFFFD965"/>
      </patternFill>
    </fill>
    <fill>
      <patternFill patternType="solid">
        <fgColor rgb="FFF4B083"/>
        <bgColor rgb="FFF4B083"/>
      </patternFill>
    </fill>
    <fill>
      <patternFill patternType="solid">
        <fgColor rgb="FFA5A5A5"/>
        <bgColor rgb="FFA5A5A5"/>
      </patternFill>
    </fill>
    <fill>
      <patternFill patternType="solid">
        <fgColor rgb="FF002060"/>
        <bgColor rgb="FF002060"/>
      </patternFill>
    </fill>
    <fill>
      <patternFill patternType="solid">
        <fgColor rgb="FFFFBEBE"/>
        <bgColor rgb="FFFFBEBE"/>
      </patternFill>
    </fill>
    <fill>
      <patternFill patternType="solid">
        <fgColor rgb="FFB4C6E7"/>
        <bgColor rgb="FFB4C6E7"/>
      </patternFill>
    </fill>
    <fill>
      <patternFill patternType="solid">
        <fgColor rgb="FF999999"/>
        <bgColor rgb="FF999999"/>
      </patternFill>
    </fill>
    <fill>
      <patternFill patternType="solid">
        <fgColor rgb="FFB7E1CD"/>
        <bgColor rgb="FFB7E1CD"/>
      </patternFill>
    </fill>
    <fill>
      <patternFill patternType="solid">
        <fgColor theme="1"/>
        <bgColor theme="1"/>
      </patternFill>
    </fill>
    <fill>
      <patternFill patternType="solid">
        <fgColor rgb="FF4A86E8"/>
        <bgColor rgb="FF4A86E8"/>
      </patternFill>
    </fill>
    <fill>
      <patternFill patternType="solid">
        <fgColor rgb="FFFBBC04"/>
        <bgColor rgb="FFFBBC04"/>
      </patternFill>
    </fill>
    <fill>
      <patternFill patternType="solid">
        <fgColor rgb="FFFFF2CC"/>
        <bgColor rgb="FFFFF2CC"/>
      </patternFill>
    </fill>
    <fill>
      <patternFill patternType="solid">
        <fgColor rgb="FFFFFFFF"/>
        <bgColor rgb="FFFFFFFF"/>
      </patternFill>
    </fill>
    <fill>
      <patternFill patternType="solid">
        <fgColor rgb="FF980000"/>
        <bgColor rgb="FF980000"/>
      </patternFill>
    </fill>
    <fill>
      <patternFill patternType="solid">
        <fgColor rgb="FFBFBFBF"/>
        <bgColor rgb="FFBFBFBF"/>
      </patternFill>
    </fill>
    <fill>
      <patternFill patternType="solid">
        <fgColor theme="8"/>
        <bgColor theme="8"/>
      </patternFill>
    </fill>
    <fill>
      <patternFill patternType="solid">
        <fgColor theme="7"/>
        <bgColor theme="7"/>
      </patternFill>
    </fill>
    <fill>
      <patternFill patternType="solid">
        <fgColor rgb="FFFFCDCD"/>
        <bgColor rgb="FFFFCDCD"/>
      </patternFill>
    </fill>
    <fill>
      <patternFill patternType="solid">
        <fgColor rgb="FF5B9BD5"/>
        <bgColor rgb="FF5B9BD5"/>
      </patternFill>
    </fill>
    <fill>
      <patternFill patternType="solid">
        <fgColor rgb="FF6D9EEB"/>
        <bgColor rgb="FF6D9EEB"/>
      </patternFill>
    </fill>
    <fill>
      <patternFill patternType="solid">
        <fgColor rgb="FFFCE4D6"/>
        <bgColor rgb="FFFCE4D6"/>
      </patternFill>
    </fill>
    <fill>
      <patternFill patternType="solid">
        <fgColor rgb="FF00FF00"/>
        <bgColor rgb="FF00FF00"/>
      </patternFill>
    </fill>
    <fill>
      <patternFill patternType="solid">
        <fgColor rgb="FF6FA8DC"/>
        <bgColor rgb="FF6FA8DC"/>
      </patternFill>
    </fill>
    <fill>
      <patternFill patternType="solid">
        <fgColor rgb="FF0070C0"/>
        <bgColor rgb="FF0070C0"/>
      </patternFill>
    </fill>
    <fill>
      <patternFill patternType="solid">
        <fgColor rgb="FF99CCFF"/>
        <bgColor rgb="FF99CCFF"/>
      </patternFill>
    </fill>
    <fill>
      <patternFill patternType="solid">
        <fgColor rgb="FFC4DBEA"/>
        <bgColor rgb="FFC4DBEA"/>
      </patternFill>
    </fill>
    <fill>
      <patternFill patternType="solid">
        <fgColor rgb="FFFFC9C9"/>
        <bgColor rgb="FFFFC9C9"/>
      </patternFill>
    </fill>
    <fill>
      <patternFill patternType="solid">
        <fgColor rgb="FFFFC5C5"/>
        <bgColor rgb="FFFFC5C5"/>
      </patternFill>
    </fill>
    <fill>
      <patternFill patternType="solid">
        <fgColor rgb="FFF4C7C3"/>
        <bgColor rgb="FFF4C7C3"/>
      </patternFill>
    </fill>
    <fill>
      <patternFill patternType="solid">
        <fgColor rgb="FFFCD8D8"/>
        <bgColor rgb="FFFCD8D8"/>
      </patternFill>
    </fill>
    <fill>
      <patternFill patternType="solid">
        <fgColor rgb="FFF7CAAC"/>
        <bgColor rgb="FFF7CAAC"/>
      </patternFill>
    </fill>
    <fill>
      <patternFill patternType="solid">
        <fgColor rgb="FF000000"/>
        <bgColor rgb="FF000000"/>
      </patternFill>
    </fill>
    <fill>
      <patternFill patternType="solid">
        <fgColor rgb="FF00FFFF"/>
        <bgColor rgb="FF00FFFF"/>
      </patternFill>
    </fill>
    <fill>
      <patternFill patternType="solid">
        <fgColor rgb="FFCC0000"/>
        <bgColor rgb="FFCC0000"/>
      </patternFill>
    </fill>
  </fills>
  <borders count="107">
    <border/>
    <border>
      <top style="medium">
        <color rgb="FF000000"/>
      </top>
    </border>
    <border>
      <left/>
      <top/>
      <bottom/>
    </border>
    <border>
      <top/>
      <bottom/>
    </border>
    <border>
      <right/>
      <top/>
      <bottom/>
    </border>
    <border>
      <left style="medium">
        <color rgb="FF000000"/>
      </left>
      <right style="dotted">
        <color rgb="FF000000"/>
      </right>
      <top style="medium">
        <color rgb="FF000000"/>
      </top>
    </border>
    <border>
      <left style="dotted">
        <color rgb="FF000000"/>
      </left>
      <right style="dotted">
        <color rgb="FF000000"/>
      </right>
      <top style="medium">
        <color rgb="FF000000"/>
      </top>
    </border>
    <border>
      <left style="dotted">
        <color rgb="FF000000"/>
      </left>
      <right style="medium">
        <color rgb="FF000000"/>
      </right>
      <top style="medium">
        <color rgb="FF000000"/>
      </top>
    </border>
    <border>
      <left style="medium">
        <color rgb="FF000000"/>
      </left>
      <right style="dotted">
        <color rgb="FF000000"/>
      </right>
      <bottom style="medium">
        <color rgb="FF000000"/>
      </bottom>
    </border>
    <border>
      <left style="dotted">
        <color rgb="FF000000"/>
      </left>
      <right style="dotted">
        <color rgb="FF000000"/>
      </right>
      <bottom style="medium">
        <color rgb="FF000000"/>
      </bottom>
    </border>
    <border>
      <left style="dotted">
        <color rgb="FF000000"/>
      </left>
      <right style="medium">
        <color rgb="FF000000"/>
      </right>
      <bottom style="medium">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ck">
        <color rgb="FF000000"/>
      </left>
      <right style="dotted">
        <color rgb="FF000000"/>
      </right>
      <top style="thick">
        <color rgb="FF000000"/>
      </top>
      <bottom style="thick">
        <color rgb="FF000000"/>
      </bottom>
    </border>
    <border>
      <left style="dotted">
        <color rgb="FF000000"/>
      </left>
      <right style="dotted">
        <color rgb="FF000000"/>
      </right>
      <top style="thick">
        <color rgb="FF000000"/>
      </top>
      <bottom style="thick">
        <color rgb="FF000000"/>
      </bottom>
    </border>
    <border>
      <left style="dotted">
        <color rgb="FF000000"/>
      </left>
      <right style="thick">
        <color rgb="FF000000"/>
      </right>
      <top style="thick">
        <color rgb="FF000000"/>
      </top>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bottom style="medium">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style="thin">
        <color rgb="FF000000"/>
      </right>
      <top style="thin">
        <color rgb="FF000000"/>
      </top>
      <bottom style="thin">
        <color rgb="FF000000"/>
      </bottom>
    </border>
    <border>
      <top style="thick">
        <color rgb="FF000000"/>
      </top>
      <bottom style="thick">
        <color rgb="FF000000"/>
      </bottom>
    </border>
    <border>
      <right style="thick">
        <color rgb="FF000000"/>
      </right>
      <top style="thick">
        <color rgb="FF000000"/>
      </top>
    </border>
    <border>
      <right style="thick">
        <color rgb="FF000000"/>
      </right>
    </border>
    <border>
      <right style="thick">
        <color rgb="FF000000"/>
      </right>
      <bottom style="thin">
        <color rgb="FF000000"/>
      </bottom>
    </border>
    <border>
      <left/>
      <right style="thin">
        <color rgb="FF000000"/>
      </right>
      <top/>
    </border>
    <border>
      <left/>
      <top/>
      <bottom style="thin">
        <color rgb="FF000000"/>
      </bottom>
    </border>
    <border>
      <left/>
      <right style="thick">
        <color rgb="FF000000"/>
      </right>
      <top/>
    </border>
    <border>
      <left/>
      <right style="thick">
        <color rgb="FF000000"/>
      </right>
      <top style="thin">
        <color rgb="FF000000"/>
      </top>
    </border>
    <border>
      <left/>
      <right style="thin">
        <color rgb="FF000000"/>
      </right>
      <bottom style="thin">
        <color rgb="FF000000"/>
      </bottom>
    </border>
    <border>
      <left/>
      <right style="thin">
        <color rgb="FF000000"/>
      </right>
      <top/>
      <bottom style="thin">
        <color rgb="FF000000"/>
      </bottom>
    </border>
    <border>
      <left/>
      <right style="thick">
        <color rgb="FF000000"/>
      </right>
      <bottom style="thin">
        <color rgb="FF000000"/>
      </bottom>
    </border>
    <border>
      <left/>
      <right style="thick">
        <color rgb="FF000000"/>
      </right>
      <top/>
      <bottom style="thin">
        <color rgb="FF000000"/>
      </bottom>
    </border>
    <border>
      <left/>
      <right style="thick">
        <color rgb="FF000000"/>
      </right>
      <top style="thin">
        <color rgb="FF000000"/>
      </top>
      <bottom style="thin">
        <color rgb="FF000000"/>
      </bottom>
    </border>
    <border>
      <left/>
      <top style="thin">
        <color rgb="FF000000"/>
      </top>
      <bottom style="thin">
        <color rgb="FF000000"/>
      </bottom>
    </border>
    <border>
      <left style="thin">
        <color rgb="FF000000"/>
      </left>
      <right/>
      <top/>
    </border>
    <border>
      <right style="thin">
        <color rgb="FF000000"/>
      </right>
    </border>
    <border>
      <left style="thin">
        <color rgb="FF000000"/>
      </left>
      <right style="thin">
        <color rgb="FF000000"/>
      </right>
    </border>
    <border>
      <left style="thin">
        <color rgb="FF000000"/>
      </left>
      <right/>
    </border>
    <border>
      <left/>
      <right style="thin">
        <color rgb="FF000000"/>
      </right>
    </border>
    <border>
      <left style="thin">
        <color rgb="FF000000"/>
      </left>
      <right/>
      <bottom style="thin">
        <color rgb="FF000000"/>
      </bottom>
    </border>
    <border>
      <left style="thin">
        <color rgb="FF000000"/>
      </left>
      <right style="thin">
        <color rgb="FF000000"/>
      </right>
      <top/>
    </border>
    <border>
      <left style="thin">
        <color rgb="FF000000"/>
      </left>
      <right style="thick">
        <color rgb="FF000000"/>
      </right>
    </border>
    <border>
      <left style="thin">
        <color rgb="FF000000"/>
      </left>
      <right style="thick">
        <color rgb="FF000000"/>
      </right>
      <bottom style="thin">
        <color rgb="FF000000"/>
      </bottom>
    </border>
    <border>
      <left style="thin">
        <color rgb="FF000000"/>
      </left>
      <right style="thin">
        <color rgb="FF000000"/>
      </right>
      <top/>
      <bottom/>
    </border>
    <border>
      <left style="thin">
        <color rgb="FF000000"/>
      </left>
    </border>
    <border>
      <left/>
      <right style="thin">
        <color rgb="FF000000"/>
      </right>
      <top/>
      <bottom/>
    </border>
    <border>
      <left style="thin">
        <color rgb="FF000000"/>
      </left>
      <bottom style="thick">
        <color rgb="FF000000"/>
      </bottom>
    </border>
    <border>
      <left/>
      <right style="thin">
        <color rgb="FF000000"/>
      </right>
      <top style="thin">
        <color rgb="FF000000"/>
      </top>
    </border>
    <border>
      <left style="thin">
        <color rgb="FF000000"/>
      </left>
      <right style="thin">
        <color rgb="FF000000"/>
      </right>
      <top/>
      <bottom style="thick">
        <color rgb="FF000000"/>
      </bottom>
    </border>
    <border>
      <right style="thin">
        <color rgb="FF000000"/>
      </right>
      <bottom style="thick">
        <color rgb="FF000000"/>
      </bottom>
    </border>
    <border>
      <left style="medium">
        <color rgb="FF000000"/>
      </left>
    </border>
    <border>
      <left style="medium">
        <color rgb="FF000000"/>
      </left>
      <right style="thin">
        <color rgb="FF000000"/>
      </right>
      <top/>
    </border>
    <border>
      <left style="medium">
        <color rgb="FF000000"/>
      </left>
      <right style="thin">
        <color rgb="FF000000"/>
      </right>
      <bottom/>
    </border>
    <border>
      <left style="thin">
        <color rgb="FF000000"/>
      </left>
      <right style="thin">
        <color rgb="FF000000"/>
      </right>
      <bottom/>
    </border>
    <border>
      <left style="thin">
        <color rgb="FF000000"/>
      </left>
      <right/>
      <bottom/>
    </border>
    <border>
      <left style="medium">
        <color rgb="FF000000"/>
      </left>
      <right/>
      <top style="thin">
        <color rgb="FF000000"/>
      </top>
      <bottom/>
    </border>
    <border>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right style="thin">
        <color rgb="FF000000"/>
      </right>
      <top/>
      <bottom/>
    </border>
    <border>
      <left style="medium">
        <color rgb="FF000000"/>
      </left>
      <top style="thin">
        <color rgb="FF000000"/>
      </top>
    </border>
    <border>
      <left style="thin">
        <color rgb="FF000000"/>
      </left>
      <right style="thin">
        <color rgb="FF000000"/>
      </right>
      <bottom style="medium">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right style="medium">
        <color rgb="FF000000"/>
      </right>
      <top/>
    </border>
    <border>
      <left style="thin">
        <color rgb="FF000000"/>
      </left>
      <right style="medium">
        <color rgb="FF000000"/>
      </right>
      <bottom style="thin">
        <color rgb="FF000000"/>
      </bottom>
    </border>
    <border>
      <right style="medium">
        <color rgb="FF000000"/>
      </right>
      <top style="thin">
        <color rgb="FF000000"/>
      </top>
      <bottom style="thin">
        <color rgb="FF000000"/>
      </bottom>
    </border>
    <border>
      <left style="thin">
        <color rgb="FF000000"/>
      </left>
      <right/>
      <top style="thin">
        <color rgb="FF000000"/>
      </top>
      <bottom style="thin">
        <color rgb="FF000000"/>
      </bottom>
    </border>
    <border>
      <right style="medium">
        <color rgb="FF000000"/>
      </right>
    </border>
    <border>
      <right style="thick">
        <color rgb="FF000000"/>
      </right>
      <top style="thin">
        <color rgb="FF000000"/>
      </top>
      <bottom style="thin">
        <color rgb="FF000000"/>
      </bottom>
    </border>
    <border>
      <left/>
      <right style="thick">
        <color rgb="FF000000"/>
      </right>
    </border>
    <border>
      <left/>
      <right style="thin">
        <color rgb="FF000000"/>
      </right>
      <bottom style="thick">
        <color rgb="FF000000"/>
      </bottom>
    </border>
    <border>
      <right style="thick">
        <color rgb="FF000000"/>
      </right>
      <bottom style="thick">
        <color rgb="FF000000"/>
      </bottom>
    </border>
    <border>
      <left style="thin">
        <color theme="0"/>
      </left>
      <top style="thin">
        <color theme="0"/>
      </top>
      <bottom style="thin">
        <color theme="0"/>
      </bottom>
    </border>
    <border>
      <right style="thin">
        <color theme="0"/>
      </right>
      <top style="thin">
        <color theme="0"/>
      </top>
      <bottom style="thin">
        <color theme="0"/>
      </bottom>
    </border>
    <border>
      <left style="thin">
        <color theme="0"/>
      </left>
      <right style="thin">
        <color theme="0"/>
      </right>
      <top style="thin">
        <color theme="0"/>
      </top>
      <bottom style="thin">
        <color theme="0"/>
      </bottom>
    </border>
  </borders>
  <cellStyleXfs count="1">
    <xf borderId="0" fillId="0" fontId="0" numFmtId="0" applyAlignment="1" applyFont="1"/>
  </cellStyleXfs>
  <cellXfs count="1060">
    <xf borderId="0" fillId="0" fontId="0" numFmtId="0" xfId="0" applyAlignment="1" applyFont="1">
      <alignment readingOrder="0" shrinkToFit="0" vertical="bottom" wrapText="0"/>
    </xf>
    <xf borderId="0" fillId="0" fontId="1" numFmtId="164" xfId="0" applyFont="1" applyNumberFormat="1"/>
    <xf borderId="1" fillId="0" fontId="2" numFmtId="0" xfId="0" applyAlignment="1" applyBorder="1" applyFont="1">
      <alignment horizontal="center" shrinkToFit="0" vertical="top" wrapText="1"/>
    </xf>
    <xf borderId="1" fillId="0" fontId="3" numFmtId="0" xfId="0" applyBorder="1" applyFont="1"/>
    <xf borderId="0" fillId="0" fontId="4" numFmtId="0" xfId="0" applyAlignment="1" applyFont="1">
      <alignment horizontal="center" shrinkToFit="0" vertical="center" wrapText="1"/>
    </xf>
    <xf borderId="2" fillId="2" fontId="5" numFmtId="0" xfId="0" applyAlignment="1" applyBorder="1" applyFill="1" applyFont="1">
      <alignment horizontal="center" shrinkToFit="0" vertical="top" wrapText="1"/>
    </xf>
    <xf borderId="3" fillId="0" fontId="3" numFmtId="0" xfId="0" applyBorder="1" applyFont="1"/>
    <xf borderId="4" fillId="0" fontId="3" numFmtId="0" xfId="0" applyBorder="1" applyFont="1"/>
    <xf borderId="0" fillId="0" fontId="6" numFmtId="0" xfId="0" applyAlignment="1" applyFont="1">
      <alignment shrinkToFit="0" vertical="top" wrapText="1"/>
    </xf>
    <xf borderId="0" fillId="0" fontId="6" numFmtId="0" xfId="0" applyAlignment="1" applyFont="1">
      <alignment horizontal="center" shrinkToFit="0" vertical="top" wrapText="1"/>
    </xf>
    <xf borderId="0" fillId="0" fontId="6" numFmtId="0" xfId="0" applyAlignment="1" applyFont="1">
      <alignment horizontal="center" vertical="top"/>
    </xf>
    <xf borderId="0" fillId="0" fontId="6" numFmtId="164" xfId="0" applyAlignment="1" applyFont="1" applyNumberFormat="1">
      <alignment horizontal="center" vertical="top"/>
    </xf>
    <xf borderId="5" fillId="0" fontId="2" numFmtId="0" xfId="0" applyAlignment="1" applyBorder="1" applyFont="1">
      <alignment horizontal="center" shrinkToFit="0" vertical="center" wrapText="1"/>
    </xf>
    <xf borderId="6" fillId="3" fontId="2" numFmtId="0" xfId="0" applyAlignment="1" applyBorder="1" applyFill="1" applyFont="1">
      <alignment horizontal="center" shrinkToFit="0" vertical="center" wrapText="1"/>
    </xf>
    <xf borderId="6" fillId="4" fontId="2" numFmtId="0" xfId="0" applyAlignment="1" applyBorder="1" applyFill="1" applyFont="1">
      <alignment horizontal="center" shrinkToFit="0" vertical="top" wrapText="1"/>
    </xf>
    <xf borderId="6" fillId="0" fontId="2" numFmtId="0" xfId="0" applyAlignment="1" applyBorder="1" applyFont="1">
      <alignment horizontal="center" shrinkToFit="0" vertical="top" wrapText="1"/>
    </xf>
    <xf borderId="6" fillId="5" fontId="2" numFmtId="0" xfId="0" applyAlignment="1" applyBorder="1" applyFill="1" applyFont="1">
      <alignment horizontal="center" shrinkToFit="0" vertical="top" wrapText="1"/>
    </xf>
    <xf borderId="6" fillId="3" fontId="2" numFmtId="0" xfId="0" applyAlignment="1" applyBorder="1" applyFont="1">
      <alignment horizontal="center" shrinkToFit="0" vertical="top" wrapText="1"/>
    </xf>
    <xf borderId="7" fillId="3" fontId="2" numFmtId="164" xfId="0" applyAlignment="1" applyBorder="1" applyFont="1" applyNumberFormat="1">
      <alignment horizontal="center" shrinkToFit="0" vertical="center" wrapText="1"/>
    </xf>
    <xf borderId="8" fillId="0" fontId="3" numFmtId="0" xfId="0" applyBorder="1" applyFont="1"/>
    <xf borderId="9" fillId="0" fontId="3" numFmtId="0" xfId="0" applyBorder="1" applyFont="1"/>
    <xf borderId="10" fillId="0" fontId="3" numFmtId="0" xfId="0" applyBorder="1" applyFont="1"/>
    <xf borderId="11" fillId="6" fontId="2" numFmtId="0" xfId="0" applyAlignment="1" applyBorder="1" applyFill="1" applyFont="1">
      <alignment shrinkToFit="0" vertical="top" wrapText="1"/>
    </xf>
    <xf borderId="12" fillId="0" fontId="2" numFmtId="0" xfId="0" applyAlignment="1" applyBorder="1" applyFont="1">
      <alignment horizontal="center" shrinkToFit="0" vertical="top" wrapText="1"/>
    </xf>
    <xf borderId="12" fillId="0" fontId="6" numFmtId="0" xfId="0" applyAlignment="1" applyBorder="1" applyFont="1">
      <alignment horizontal="center" vertical="top"/>
    </xf>
    <xf borderId="12" fillId="0" fontId="6" numFmtId="164" xfId="0" applyAlignment="1" applyBorder="1" applyFont="1" applyNumberFormat="1">
      <alignment horizontal="center" vertical="top"/>
    </xf>
    <xf borderId="13" fillId="0" fontId="2" numFmtId="0" xfId="0" applyAlignment="1" applyBorder="1" applyFont="1">
      <alignment horizontal="left" shrinkToFit="0" vertical="top" wrapText="1"/>
    </xf>
    <xf borderId="13" fillId="3" fontId="6" numFmtId="164" xfId="0" applyAlignment="1" applyBorder="1" applyFont="1" applyNumberFormat="1">
      <alignment horizontal="center" vertical="center"/>
    </xf>
    <xf borderId="13" fillId="4" fontId="6" numFmtId="164" xfId="0" applyAlignment="1" applyBorder="1" applyFont="1" applyNumberFormat="1">
      <alignment horizontal="center" vertical="top"/>
    </xf>
    <xf borderId="13" fillId="0" fontId="6" numFmtId="164" xfId="0" applyAlignment="1" applyBorder="1" applyFont="1" applyNumberFormat="1">
      <alignment horizontal="center" vertical="top"/>
    </xf>
    <xf borderId="13" fillId="5" fontId="6" numFmtId="164" xfId="0" applyAlignment="1" applyBorder="1" applyFont="1" applyNumberFormat="1">
      <alignment horizontal="center" vertical="top"/>
    </xf>
    <xf borderId="13" fillId="7" fontId="2" numFmtId="0" xfId="0" applyAlignment="1" applyBorder="1" applyFill="1" applyFont="1">
      <alignment horizontal="left" shrinkToFit="0" vertical="top" wrapText="1"/>
    </xf>
    <xf borderId="13" fillId="7" fontId="6" numFmtId="164" xfId="0" applyAlignment="1" applyBorder="1" applyFont="1" applyNumberFormat="1">
      <alignment horizontal="center" vertical="center"/>
    </xf>
    <xf borderId="13" fillId="7" fontId="6" numFmtId="164" xfId="0" applyAlignment="1" applyBorder="1" applyFont="1" applyNumberFormat="1">
      <alignment horizontal="center" vertical="top"/>
    </xf>
    <xf borderId="13" fillId="7" fontId="7" numFmtId="164" xfId="0" applyAlignment="1" applyBorder="1" applyFont="1" applyNumberFormat="1">
      <alignment horizontal="center" vertical="top"/>
    </xf>
    <xf borderId="13" fillId="0" fontId="6" numFmtId="164" xfId="0" applyAlignment="1" applyBorder="1" applyFont="1" applyNumberFormat="1">
      <alignment horizontal="center" vertical="center"/>
    </xf>
    <xf borderId="13" fillId="4" fontId="2" numFmtId="164" xfId="0" applyAlignment="1" applyBorder="1" applyFont="1" applyNumberFormat="1">
      <alignment horizontal="center" vertical="top"/>
    </xf>
    <xf borderId="13" fillId="0" fontId="2" numFmtId="164" xfId="0" applyAlignment="1" applyBorder="1" applyFont="1" applyNumberFormat="1">
      <alignment horizontal="center" vertical="top"/>
    </xf>
    <xf borderId="13" fillId="3" fontId="2" numFmtId="164" xfId="0" applyAlignment="1" applyBorder="1" applyFont="1" applyNumberFormat="1">
      <alignment horizontal="center" vertical="top"/>
    </xf>
    <xf borderId="13" fillId="0" fontId="7" numFmtId="164" xfId="0" applyAlignment="1" applyBorder="1" applyFont="1" applyNumberFormat="1">
      <alignment horizontal="center" vertical="top"/>
    </xf>
    <xf borderId="14" fillId="0" fontId="6" numFmtId="0" xfId="0" applyAlignment="1" applyBorder="1" applyFont="1">
      <alignment shrinkToFit="0" vertical="top" wrapText="1"/>
    </xf>
    <xf borderId="14" fillId="0" fontId="6" numFmtId="164" xfId="0" applyAlignment="1" applyBorder="1" applyFont="1" applyNumberFormat="1">
      <alignment horizontal="center" vertical="center"/>
    </xf>
    <xf borderId="14" fillId="0" fontId="6" numFmtId="164" xfId="0" applyAlignment="1" applyBorder="1" applyFont="1" applyNumberFormat="1">
      <alignment horizontal="center" vertical="top"/>
    </xf>
    <xf borderId="15" fillId="6" fontId="2" numFmtId="0" xfId="0" applyAlignment="1" applyBorder="1" applyFont="1">
      <alignment shrinkToFit="0" vertical="top" wrapText="1"/>
    </xf>
    <xf borderId="16" fillId="0" fontId="2" numFmtId="164" xfId="0" applyAlignment="1" applyBorder="1" applyFont="1" applyNumberFormat="1">
      <alignment horizontal="center" vertical="center"/>
    </xf>
    <xf borderId="16" fillId="0" fontId="2" numFmtId="164" xfId="0" applyAlignment="1" applyBorder="1" applyFont="1" applyNumberFormat="1">
      <alignment horizontal="center" shrinkToFit="0" vertical="top" wrapText="1"/>
    </xf>
    <xf borderId="16" fillId="0" fontId="2" numFmtId="164" xfId="0" applyAlignment="1" applyBorder="1" applyFont="1" applyNumberFormat="1">
      <alignment horizontal="center" vertical="top"/>
    </xf>
    <xf borderId="17" fillId="0" fontId="6" numFmtId="164" xfId="0" applyAlignment="1" applyBorder="1" applyFont="1" applyNumberFormat="1">
      <alignment horizontal="center" vertical="top"/>
    </xf>
    <xf borderId="12" fillId="0" fontId="2" numFmtId="0" xfId="0" applyAlignment="1" applyBorder="1" applyFont="1">
      <alignment horizontal="left" shrinkToFit="0" vertical="top" wrapText="1"/>
    </xf>
    <xf borderId="12" fillId="0" fontId="6" numFmtId="164" xfId="0" applyAlignment="1" applyBorder="1" applyFont="1" applyNumberFormat="1">
      <alignment horizontal="center" vertical="center"/>
    </xf>
    <xf borderId="13" fillId="0" fontId="6" numFmtId="0" xfId="0" applyAlignment="1" applyBorder="1" applyFont="1">
      <alignment horizontal="left" shrinkToFit="0" vertical="top" wrapText="1"/>
    </xf>
    <xf borderId="13" fillId="3" fontId="6" numFmtId="164" xfId="0" applyAlignment="1" applyBorder="1" applyFont="1" applyNumberFormat="1">
      <alignment horizontal="center" shrinkToFit="0" vertical="center" wrapText="1"/>
    </xf>
    <xf borderId="13" fillId="4" fontId="6" numFmtId="10" xfId="0" applyAlignment="1" applyBorder="1" applyFont="1" applyNumberFormat="1">
      <alignment horizontal="center" vertical="top"/>
    </xf>
    <xf borderId="13" fillId="0" fontId="6" numFmtId="164" xfId="0" applyAlignment="1" applyBorder="1" applyFont="1" applyNumberFormat="1">
      <alignment horizontal="center" shrinkToFit="0" vertical="top" wrapText="1"/>
    </xf>
    <xf borderId="13" fillId="0" fontId="1" numFmtId="0" xfId="0" applyBorder="1" applyFont="1"/>
    <xf borderId="13" fillId="0" fontId="1" numFmtId="164" xfId="0" applyBorder="1" applyFont="1" applyNumberFormat="1"/>
    <xf borderId="13" fillId="7" fontId="2" numFmtId="164" xfId="0" applyAlignment="1" applyBorder="1" applyFont="1" applyNumberFormat="1">
      <alignment horizontal="center" vertical="top"/>
    </xf>
    <xf borderId="13" fillId="4" fontId="2" numFmtId="10" xfId="0" applyAlignment="1" applyBorder="1" applyFont="1" applyNumberFormat="1">
      <alignment horizontal="center" vertical="top"/>
    </xf>
    <xf borderId="14" fillId="0" fontId="6" numFmtId="0" xfId="0" applyAlignment="1" applyBorder="1" applyFont="1">
      <alignment horizontal="left" shrinkToFit="0" vertical="top" wrapText="1"/>
    </xf>
    <xf borderId="16" fillId="0" fontId="2" numFmtId="164" xfId="0" applyAlignment="1" applyBorder="1" applyFont="1" applyNumberFormat="1">
      <alignment horizontal="center" shrinkToFit="0" vertical="center" wrapText="1"/>
    </xf>
    <xf borderId="13" fillId="8" fontId="6" numFmtId="164" xfId="0" applyAlignment="1" applyBorder="1" applyFill="1" applyFont="1" applyNumberFormat="1">
      <alignment horizontal="center" shrinkToFit="0" vertical="top" wrapText="1"/>
    </xf>
    <xf borderId="18" fillId="3" fontId="2" numFmtId="0" xfId="0" applyAlignment="1" applyBorder="1" applyFont="1">
      <alignment horizontal="center" shrinkToFit="0" vertical="center" wrapText="1"/>
    </xf>
    <xf borderId="19" fillId="0" fontId="3" numFmtId="0" xfId="0" applyBorder="1" applyFont="1"/>
    <xf borderId="20" fillId="0" fontId="3" numFmtId="0" xfId="0" applyBorder="1" applyFont="1"/>
    <xf borderId="13" fillId="3" fontId="2" numFmtId="164" xfId="0" applyAlignment="1" applyBorder="1" applyFont="1" applyNumberFormat="1">
      <alignment horizontal="center" vertical="center"/>
    </xf>
    <xf borderId="18" fillId="9" fontId="8" numFmtId="0" xfId="0" applyAlignment="1" applyBorder="1" applyFill="1" applyFont="1">
      <alignment horizontal="center" shrinkToFit="0" vertical="center" wrapText="1"/>
    </xf>
    <xf borderId="13" fillId="9" fontId="8" numFmtId="164" xfId="0" applyAlignment="1" applyBorder="1" applyFont="1" applyNumberFormat="1">
      <alignment horizontal="center" vertical="center"/>
    </xf>
    <xf borderId="2" fillId="3" fontId="2" numFmtId="0" xfId="0" applyAlignment="1" applyBorder="1" applyFont="1">
      <alignment horizontal="center" shrinkToFit="0" vertical="center" wrapText="1"/>
    </xf>
    <xf borderId="21" fillId="3" fontId="2" numFmtId="0" xfId="0" applyAlignment="1" applyBorder="1" applyFont="1">
      <alignment shrinkToFit="0" vertical="center" wrapText="1"/>
    </xf>
    <xf borderId="21" fillId="3" fontId="2" numFmtId="164" xfId="0" applyAlignment="1" applyBorder="1" applyFont="1" applyNumberFormat="1">
      <alignment horizontal="center" shrinkToFit="0" vertical="center" wrapText="1"/>
    </xf>
    <xf borderId="22" fillId="0" fontId="6" numFmtId="0" xfId="0" applyAlignment="1" applyBorder="1" applyFont="1">
      <alignment shrinkToFit="0" vertical="top" wrapText="1"/>
    </xf>
    <xf borderId="22" fillId="0" fontId="6" numFmtId="0" xfId="0" applyAlignment="1" applyBorder="1" applyFont="1">
      <alignment horizontal="center" shrinkToFit="0" vertical="top" wrapText="1"/>
    </xf>
    <xf borderId="22" fillId="0" fontId="6" numFmtId="0" xfId="0" applyAlignment="1" applyBorder="1" applyFont="1">
      <alignment horizontal="center" vertical="top"/>
    </xf>
    <xf borderId="22" fillId="0" fontId="6" numFmtId="164" xfId="0" applyAlignment="1" applyBorder="1" applyFont="1" applyNumberFormat="1">
      <alignment horizontal="center" vertical="top"/>
    </xf>
    <xf borderId="1" fillId="0" fontId="6" numFmtId="0" xfId="0" applyAlignment="1" applyBorder="1" applyFont="1">
      <alignment shrinkToFit="0" vertical="top" wrapText="1"/>
    </xf>
    <xf borderId="1" fillId="0" fontId="6" numFmtId="0" xfId="0" applyAlignment="1" applyBorder="1" applyFont="1">
      <alignment horizontal="center" shrinkToFit="0" vertical="top" wrapText="1"/>
    </xf>
    <xf borderId="1" fillId="0" fontId="6" numFmtId="0" xfId="0" applyAlignment="1" applyBorder="1" applyFont="1">
      <alignment horizontal="center" vertical="top"/>
    </xf>
    <xf borderId="1" fillId="0" fontId="6" numFmtId="164" xfId="0" applyAlignment="1" applyBorder="1" applyFont="1" applyNumberFormat="1">
      <alignment horizontal="center" vertical="top"/>
    </xf>
    <xf borderId="13" fillId="0" fontId="2" numFmtId="0" xfId="0" applyAlignment="1" applyBorder="1" applyFont="1">
      <alignment horizontal="center" shrinkToFit="0" vertical="center" wrapText="1"/>
    </xf>
    <xf borderId="13" fillId="4" fontId="2" numFmtId="0" xfId="0" applyAlignment="1" applyBorder="1" applyFont="1">
      <alignment horizontal="center" shrinkToFit="0" vertical="top" wrapText="1"/>
    </xf>
    <xf borderId="13" fillId="3" fontId="2" numFmtId="0" xfId="0" applyAlignment="1" applyBorder="1" applyFont="1">
      <alignment horizontal="center" shrinkToFit="0" vertical="top" wrapText="1"/>
    </xf>
    <xf borderId="13" fillId="5" fontId="2" numFmtId="0" xfId="0" applyAlignment="1" applyBorder="1" applyFont="1">
      <alignment horizontal="center" shrinkToFit="0" vertical="top" wrapText="1"/>
    </xf>
    <xf borderId="13" fillId="0" fontId="6" numFmtId="0" xfId="0" applyAlignment="1" applyBorder="1" applyFont="1">
      <alignment horizontal="center" shrinkToFit="0" vertical="top" wrapText="1"/>
    </xf>
    <xf borderId="13" fillId="0" fontId="6" numFmtId="0" xfId="0" applyAlignment="1" applyBorder="1" applyFont="1">
      <alignment horizontal="center" vertical="top"/>
    </xf>
    <xf borderId="13" fillId="7" fontId="2" numFmtId="0" xfId="0" applyAlignment="1" applyBorder="1" applyFont="1">
      <alignment horizontal="left" shrinkToFit="0" vertical="center" wrapText="1"/>
    </xf>
    <xf borderId="13" fillId="7" fontId="2" numFmtId="10" xfId="0" applyAlignment="1" applyBorder="1" applyFont="1" applyNumberFormat="1">
      <alignment horizontal="center" shrinkToFit="0" vertical="top" wrapText="1"/>
    </xf>
    <xf borderId="13" fillId="7" fontId="2" numFmtId="0" xfId="0" applyAlignment="1" applyBorder="1" applyFont="1">
      <alignment horizontal="center" shrinkToFit="0" vertical="top" wrapText="1"/>
    </xf>
    <xf borderId="13" fillId="7" fontId="2" numFmtId="164" xfId="0" applyAlignment="1" applyBorder="1" applyFont="1" applyNumberFormat="1">
      <alignment horizontal="center" shrinkToFit="0" vertical="top" wrapText="1"/>
    </xf>
    <xf borderId="13" fillId="0" fontId="6" numFmtId="0" xfId="0" applyAlignment="1" applyBorder="1" applyFont="1">
      <alignment horizontal="left" shrinkToFit="0" vertical="center" wrapText="1"/>
    </xf>
    <xf borderId="13" fillId="4" fontId="6" numFmtId="10" xfId="0" applyAlignment="1" applyBorder="1" applyFont="1" applyNumberFormat="1">
      <alignment horizontal="center" shrinkToFit="0" vertical="top" wrapText="1"/>
    </xf>
    <xf borderId="13" fillId="3" fontId="6" numFmtId="164" xfId="0" applyAlignment="1" applyBorder="1" applyFont="1" applyNumberFormat="1">
      <alignment horizontal="center" shrinkToFit="0" vertical="top" wrapText="1"/>
    </xf>
    <xf borderId="13" fillId="5" fontId="6" numFmtId="164" xfId="0" applyAlignment="1" applyBorder="1" applyFont="1" applyNumberFormat="1">
      <alignment horizontal="center" shrinkToFit="0" vertical="top" wrapText="1"/>
    </xf>
    <xf borderId="13" fillId="7" fontId="2" numFmtId="0" xfId="0" applyAlignment="1" applyBorder="1" applyFont="1">
      <alignment shrinkToFit="0" vertical="top" wrapText="1"/>
    </xf>
    <xf borderId="13" fillId="7" fontId="6" numFmtId="164" xfId="0" applyAlignment="1" applyBorder="1" applyFont="1" applyNumberFormat="1">
      <alignment horizontal="center" shrinkToFit="0" vertical="top" wrapText="1"/>
    </xf>
    <xf borderId="13" fillId="0" fontId="6" numFmtId="0" xfId="0" applyAlignment="1" applyBorder="1" applyFont="1">
      <alignment shrinkToFit="0" vertical="top" wrapText="1"/>
    </xf>
    <xf borderId="13" fillId="0" fontId="9" numFmtId="0" xfId="0" applyAlignment="1" applyBorder="1" applyFont="1">
      <alignment shrinkToFit="0" vertical="top" wrapText="1"/>
    </xf>
    <xf borderId="23" fillId="7" fontId="2" numFmtId="0" xfId="0" applyAlignment="1" applyBorder="1" applyFont="1">
      <alignment shrinkToFit="0" vertical="top" wrapText="1"/>
    </xf>
    <xf borderId="23" fillId="7" fontId="2" numFmtId="10" xfId="0" applyAlignment="1" applyBorder="1" applyFont="1" applyNumberFormat="1">
      <alignment horizontal="center" shrinkToFit="0" vertical="top" wrapText="1"/>
    </xf>
    <xf borderId="23" fillId="7" fontId="2" numFmtId="0" xfId="0" applyAlignment="1" applyBorder="1" applyFont="1">
      <alignment horizontal="center" shrinkToFit="0" vertical="top" wrapText="1"/>
    </xf>
    <xf borderId="23" fillId="7" fontId="2" numFmtId="164" xfId="0" applyAlignment="1" applyBorder="1" applyFont="1" applyNumberFormat="1">
      <alignment horizontal="center" shrinkToFit="0" vertical="top" wrapText="1"/>
    </xf>
    <xf borderId="14" fillId="0" fontId="6" numFmtId="0" xfId="0" applyAlignment="1" applyBorder="1" applyFont="1">
      <alignment horizontal="center" shrinkToFit="0" vertical="top" wrapText="1"/>
    </xf>
    <xf borderId="14" fillId="0" fontId="6" numFmtId="0" xfId="0" applyAlignment="1" applyBorder="1" applyFont="1">
      <alignment horizontal="center" vertical="top"/>
    </xf>
    <xf borderId="13" fillId="7" fontId="2" numFmtId="9" xfId="0" applyAlignment="1" applyBorder="1" applyFont="1" applyNumberFormat="1">
      <alignment horizontal="center" shrinkToFit="0" vertical="top" wrapText="1"/>
    </xf>
    <xf borderId="13" fillId="7" fontId="6" numFmtId="0" xfId="0" applyAlignment="1" applyBorder="1" applyFont="1">
      <alignment horizontal="center" shrinkToFit="0" vertical="top" wrapText="1"/>
    </xf>
    <xf borderId="13" fillId="7" fontId="2" numFmtId="2" xfId="0" applyAlignment="1" applyBorder="1" applyFont="1" applyNumberFormat="1">
      <alignment horizontal="center" shrinkToFit="0" vertical="top" wrapText="1"/>
    </xf>
    <xf borderId="24" fillId="7" fontId="2" numFmtId="0" xfId="0" applyAlignment="1" applyBorder="1" applyFont="1">
      <alignment shrinkToFit="0" vertical="top" wrapText="1"/>
    </xf>
    <xf borderId="24" fillId="7" fontId="7" numFmtId="9" xfId="0" applyAlignment="1" applyBorder="1" applyFont="1" applyNumberFormat="1">
      <alignment horizontal="center" shrinkToFit="0" vertical="top" wrapText="1"/>
    </xf>
    <xf borderId="24" fillId="7" fontId="7" numFmtId="164" xfId="0" applyAlignment="1" applyBorder="1" applyFont="1" applyNumberFormat="1">
      <alignment horizontal="center" shrinkToFit="0" vertical="top" wrapText="1"/>
    </xf>
    <xf borderId="24" fillId="0" fontId="6" numFmtId="0" xfId="0" applyAlignment="1" applyBorder="1" applyFont="1">
      <alignment horizontal="center" shrinkToFit="0" vertical="top" wrapText="1"/>
    </xf>
    <xf borderId="24" fillId="0" fontId="6" numFmtId="0" xfId="0" applyAlignment="1" applyBorder="1" applyFont="1">
      <alignment horizontal="center" vertical="top"/>
    </xf>
    <xf borderId="24" fillId="0" fontId="6" numFmtId="164" xfId="0" applyAlignment="1" applyBorder="1" applyFont="1" applyNumberFormat="1">
      <alignment horizontal="center" vertical="top"/>
    </xf>
    <xf borderId="21" fillId="3" fontId="2" numFmtId="2" xfId="0" applyAlignment="1" applyBorder="1" applyFont="1" applyNumberFormat="1">
      <alignment horizontal="center" vertical="center"/>
    </xf>
    <xf borderId="18" fillId="10" fontId="10" numFmtId="0" xfId="0" applyBorder="1" applyFill="1" applyFont="1"/>
    <xf borderId="13" fillId="0" fontId="11" numFmtId="0" xfId="0" applyAlignment="1" applyBorder="1" applyFont="1">
      <alignment horizontal="left"/>
    </xf>
    <xf borderId="13" fillId="0" fontId="11" numFmtId="10" xfId="0" applyAlignment="1" applyBorder="1" applyFont="1" applyNumberFormat="1">
      <alignment horizontal="center"/>
    </xf>
    <xf borderId="13" fillId="0" fontId="11" numFmtId="164" xfId="0" applyAlignment="1" applyBorder="1" applyFont="1" applyNumberFormat="1">
      <alignment horizontal="center"/>
    </xf>
    <xf borderId="13" fillId="0" fontId="11" numFmtId="0" xfId="0" applyAlignment="1" applyBorder="1" applyFont="1">
      <alignment horizontal="center"/>
    </xf>
    <xf borderId="13" fillId="0" fontId="12" numFmtId="0" xfId="0" applyAlignment="1" applyBorder="1" applyFont="1">
      <alignment horizontal="left" shrinkToFit="0" vertical="top" wrapText="1"/>
    </xf>
    <xf borderId="13" fillId="10" fontId="10" numFmtId="0" xfId="0" applyAlignment="1" applyBorder="1" applyFont="1">
      <alignment horizontal="left"/>
    </xf>
    <xf borderId="13" fillId="10" fontId="11" numFmtId="10" xfId="0" applyAlignment="1" applyBorder="1" applyFont="1" applyNumberFormat="1">
      <alignment horizontal="center"/>
    </xf>
    <xf borderId="13" fillId="10" fontId="11" numFmtId="0" xfId="0" applyAlignment="1" applyBorder="1" applyFont="1">
      <alignment horizontal="center"/>
    </xf>
    <xf borderId="13" fillId="11" fontId="10" numFmtId="0" xfId="0" applyAlignment="1" applyBorder="1" applyFill="1" applyFont="1">
      <alignment horizontal="left"/>
    </xf>
    <xf borderId="13" fillId="11" fontId="11" numFmtId="10" xfId="0" applyAlignment="1" applyBorder="1" applyFont="1" applyNumberFormat="1">
      <alignment horizontal="center"/>
    </xf>
    <xf borderId="13" fillId="11" fontId="11" numFmtId="0" xfId="0" applyAlignment="1" applyBorder="1" applyFont="1">
      <alignment horizontal="center"/>
    </xf>
    <xf borderId="13" fillId="11" fontId="10" numFmtId="0" xfId="0" applyAlignment="1" applyBorder="1" applyFont="1">
      <alignment horizontal="center"/>
    </xf>
    <xf borderId="18" fillId="0" fontId="4" numFmtId="0" xfId="0" applyAlignment="1" applyBorder="1" applyFont="1">
      <alignment horizontal="center" shrinkToFit="0" vertical="center" wrapText="1"/>
    </xf>
    <xf borderId="25" fillId="0" fontId="2" numFmtId="0" xfId="0" applyAlignment="1" applyBorder="1" applyFont="1">
      <alignment horizontal="left" shrinkToFit="0" vertical="center" wrapText="1"/>
    </xf>
    <xf borderId="26" fillId="0" fontId="3" numFmtId="0" xfId="0" applyBorder="1" applyFont="1"/>
    <xf borderId="27" fillId="0" fontId="3" numFmtId="0" xfId="0" applyBorder="1" applyFont="1"/>
    <xf borderId="14" fillId="0" fontId="2" numFmtId="0" xfId="0" applyAlignment="1" applyBorder="1" applyFont="1">
      <alignment shrinkToFit="0" vertical="top" wrapText="1"/>
    </xf>
    <xf borderId="25" fillId="0" fontId="2" numFmtId="0" xfId="0" applyAlignment="1" applyBorder="1" applyFont="1">
      <alignment horizontal="left" shrinkToFit="0" vertical="top" wrapText="1"/>
    </xf>
    <xf borderId="28" fillId="12" fontId="2" numFmtId="0" xfId="0" applyAlignment="1" applyBorder="1" applyFill="1" applyFont="1">
      <alignment horizontal="center" shrinkToFit="0" vertical="center" wrapText="1"/>
    </xf>
    <xf borderId="29" fillId="12" fontId="2" numFmtId="0" xfId="0" applyAlignment="1" applyBorder="1" applyFont="1">
      <alignment horizontal="center" shrinkToFit="0" vertical="center" wrapText="1"/>
    </xf>
    <xf borderId="30" fillId="12" fontId="2" numFmtId="0" xfId="0" applyAlignment="1" applyBorder="1" applyFont="1">
      <alignment horizontal="center" shrinkToFit="0" vertical="center" wrapText="1"/>
    </xf>
    <xf borderId="31" fillId="0" fontId="3" numFmtId="0" xfId="0" applyBorder="1" applyFont="1"/>
    <xf borderId="32" fillId="0" fontId="3" numFmtId="0" xfId="0" applyBorder="1" applyFont="1"/>
    <xf borderId="33" fillId="12" fontId="2" numFmtId="0" xfId="0" applyAlignment="1" applyBorder="1" applyFont="1">
      <alignment horizontal="center" shrinkToFit="0" vertical="center" wrapText="1"/>
    </xf>
    <xf borderId="34" fillId="12" fontId="2" numFmtId="0" xfId="0" applyAlignment="1" applyBorder="1" applyFont="1">
      <alignment horizontal="center" shrinkToFit="0" vertical="center" wrapText="1"/>
    </xf>
    <xf borderId="13" fillId="12" fontId="2" numFmtId="0" xfId="0" applyAlignment="1" applyBorder="1" applyFont="1">
      <alignment horizontal="center" shrinkToFit="0" vertical="center" wrapText="1"/>
    </xf>
    <xf borderId="35" fillId="12" fontId="2" numFmtId="0" xfId="0" applyAlignment="1" applyBorder="1" applyFont="1">
      <alignment horizontal="center" shrinkToFit="0" vertical="center" wrapText="1"/>
    </xf>
    <xf borderId="13" fillId="12" fontId="2" numFmtId="0" xfId="0" applyAlignment="1" applyBorder="1" applyFont="1">
      <alignment horizontal="center" shrinkToFit="0" vertical="top" wrapText="1"/>
    </xf>
    <xf borderId="13" fillId="12" fontId="2" numFmtId="0" xfId="0" applyAlignment="1" applyBorder="1" applyFont="1">
      <alignment shrinkToFit="0" vertical="top" wrapText="1"/>
    </xf>
    <xf borderId="34" fillId="13" fontId="2" numFmtId="0" xfId="0" applyAlignment="1" applyBorder="1" applyFill="1" applyFont="1">
      <alignment horizontal="center" shrinkToFit="0" vertical="top" wrapText="1"/>
    </xf>
    <xf borderId="18" fillId="13" fontId="2" numFmtId="0" xfId="0" applyAlignment="1" applyBorder="1" applyFont="1">
      <alignment horizontal="left" shrinkToFit="0" vertical="top" wrapText="1"/>
    </xf>
    <xf borderId="13" fillId="13" fontId="2" numFmtId="0" xfId="0" applyAlignment="1" applyBorder="1" applyFont="1">
      <alignment horizontal="center" shrinkToFit="0" vertical="top" wrapText="1"/>
    </xf>
    <xf borderId="13" fillId="13" fontId="2" numFmtId="0" xfId="0" applyAlignment="1" applyBorder="1" applyFont="1">
      <alignment shrinkToFit="0" vertical="top" wrapText="1"/>
    </xf>
    <xf borderId="13" fillId="14" fontId="2" numFmtId="164" xfId="0" applyAlignment="1" applyBorder="1" applyFill="1" applyFont="1" applyNumberFormat="1">
      <alignment horizontal="center" shrinkToFit="0" vertical="center" wrapText="1"/>
    </xf>
    <xf borderId="13" fillId="13" fontId="2" numFmtId="164" xfId="0" applyAlignment="1" applyBorder="1" applyFont="1" applyNumberFormat="1">
      <alignment horizontal="center" shrinkToFit="0" vertical="top" wrapText="1"/>
    </xf>
    <xf borderId="13" fillId="13" fontId="2" numFmtId="164" xfId="0" applyAlignment="1" applyBorder="1" applyFont="1" applyNumberFormat="1">
      <alignment horizontal="center" vertical="center"/>
    </xf>
    <xf borderId="35" fillId="15" fontId="2" numFmtId="164" xfId="0" applyAlignment="1" applyBorder="1" applyFill="1" applyFont="1" applyNumberFormat="1">
      <alignment horizontal="center" vertical="center"/>
    </xf>
    <xf quotePrefix="1" borderId="13" fillId="0" fontId="6" numFmtId="0" xfId="0" applyAlignment="1" applyBorder="1" applyFont="1">
      <alignment horizontal="center" shrinkToFit="0" vertical="top" wrapText="1"/>
    </xf>
    <xf borderId="13" fillId="0" fontId="2" numFmtId="164" xfId="0" applyAlignment="1" applyBorder="1" applyFont="1" applyNumberFormat="1">
      <alignment horizontal="center" shrinkToFit="0" vertical="center" wrapText="1"/>
    </xf>
    <xf borderId="13" fillId="0" fontId="6" numFmtId="164" xfId="0" applyAlignment="1" applyBorder="1" applyFont="1" applyNumberFormat="1">
      <alignment horizontal="center" shrinkToFit="0" vertical="center" wrapText="1"/>
    </xf>
    <xf borderId="13" fillId="16" fontId="2" numFmtId="164" xfId="0" applyAlignment="1" applyBorder="1" applyFill="1" applyFont="1" applyNumberFormat="1">
      <alignment horizontal="center" shrinkToFit="0" vertical="center" wrapText="1"/>
    </xf>
    <xf borderId="35" fillId="0" fontId="6" numFmtId="164" xfId="0" applyAlignment="1" applyBorder="1" applyFont="1" applyNumberFormat="1">
      <alignment horizontal="center" vertical="center"/>
    </xf>
    <xf borderId="13" fillId="17" fontId="2" numFmtId="164" xfId="0" applyAlignment="1" applyBorder="1" applyFill="1" applyFont="1" applyNumberFormat="1">
      <alignment horizontal="center" shrinkToFit="0" vertical="center" wrapText="1"/>
    </xf>
    <xf borderId="13" fillId="17" fontId="6" numFmtId="164" xfId="0" applyAlignment="1" applyBorder="1" applyFont="1" applyNumberFormat="1">
      <alignment horizontal="center" shrinkToFit="0" vertical="center" wrapText="1"/>
    </xf>
    <xf borderId="13" fillId="13" fontId="2" numFmtId="164" xfId="0" applyAlignment="1" applyBorder="1" applyFont="1" applyNumberFormat="1">
      <alignment horizontal="center" shrinkToFit="0" vertical="center" wrapText="1"/>
    </xf>
    <xf borderId="35" fillId="13" fontId="2" numFmtId="164" xfId="0" applyAlignment="1" applyBorder="1" applyFont="1" applyNumberFormat="1">
      <alignment horizontal="center" vertical="center"/>
    </xf>
    <xf borderId="13" fillId="16" fontId="6" numFmtId="164" xfId="0" applyAlignment="1" applyBorder="1" applyFont="1" applyNumberFormat="1">
      <alignment horizontal="center" shrinkToFit="0" vertical="center" wrapText="1"/>
    </xf>
    <xf quotePrefix="1" borderId="13" fillId="0" fontId="6" numFmtId="0" xfId="0" applyAlignment="1" applyBorder="1" applyFont="1">
      <alignment shrinkToFit="0" vertical="top" wrapText="1"/>
    </xf>
    <xf borderId="13" fillId="0" fontId="13" numFmtId="0" xfId="0" applyAlignment="1" applyBorder="1" applyFont="1">
      <alignment shrinkToFit="0" vertical="top" wrapText="1"/>
    </xf>
    <xf borderId="13" fillId="0" fontId="13" numFmtId="0" xfId="0" applyAlignment="1" applyBorder="1" applyFont="1">
      <alignment horizontal="center" shrinkToFit="0" vertical="top" wrapText="1"/>
    </xf>
    <xf borderId="13" fillId="0" fontId="13" numFmtId="0" xfId="0" applyAlignment="1" applyBorder="1" applyFont="1">
      <alignment horizontal="left" shrinkToFit="0" vertical="top" wrapText="1"/>
    </xf>
    <xf borderId="13" fillId="16" fontId="13" numFmtId="164" xfId="0" applyAlignment="1" applyBorder="1" applyFont="1" applyNumberFormat="1">
      <alignment horizontal="center" shrinkToFit="0" vertical="center" wrapText="1"/>
    </xf>
    <xf borderId="0" fillId="0" fontId="13" numFmtId="0" xfId="0" applyAlignment="1" applyFont="1">
      <alignment shrinkToFit="0" vertical="top" wrapText="1"/>
    </xf>
    <xf borderId="13" fillId="18" fontId="6" numFmtId="164" xfId="0" applyAlignment="1" applyBorder="1" applyFill="1" applyFont="1" applyNumberFormat="1">
      <alignment horizontal="center" shrinkToFit="0" vertical="center" wrapText="1"/>
    </xf>
    <xf borderId="13" fillId="18" fontId="6" numFmtId="0" xfId="0" applyAlignment="1" applyBorder="1" applyFont="1">
      <alignment horizontal="left" shrinkToFit="0" vertical="top" wrapText="1"/>
    </xf>
    <xf borderId="13" fillId="18" fontId="6" numFmtId="0" xfId="0" applyAlignment="1" applyBorder="1" applyFont="1">
      <alignment horizontal="center" shrinkToFit="0" vertical="top" wrapText="1"/>
    </xf>
    <xf borderId="36" fillId="13" fontId="2" numFmtId="0" xfId="0" applyAlignment="1" applyBorder="1" applyFont="1">
      <alignment horizontal="center" shrinkToFit="0" vertical="top" wrapText="1"/>
    </xf>
    <xf borderId="24" fillId="0" fontId="6" numFmtId="0" xfId="0" applyAlignment="1" applyBorder="1" applyFont="1">
      <alignment horizontal="left" shrinkToFit="0" vertical="top" wrapText="1"/>
    </xf>
    <xf quotePrefix="1" borderId="24" fillId="0" fontId="6" numFmtId="0" xfId="0" applyAlignment="1" applyBorder="1" applyFont="1">
      <alignment shrinkToFit="0" vertical="top" wrapText="1"/>
    </xf>
    <xf borderId="24" fillId="0" fontId="2" numFmtId="164" xfId="0" applyAlignment="1" applyBorder="1" applyFont="1" applyNumberFormat="1">
      <alignment horizontal="center" shrinkToFit="0" vertical="center" wrapText="1"/>
    </xf>
    <xf borderId="24" fillId="0" fontId="6" numFmtId="164" xfId="0" applyAlignment="1" applyBorder="1" applyFont="1" applyNumberFormat="1">
      <alignment horizontal="center" shrinkToFit="0" vertical="center" wrapText="1"/>
    </xf>
    <xf borderId="24" fillId="16" fontId="6" numFmtId="164" xfId="0" applyAlignment="1" applyBorder="1" applyFont="1" applyNumberFormat="1">
      <alignment horizontal="center" vertical="center"/>
    </xf>
    <xf borderId="24" fillId="0" fontId="6" numFmtId="164" xfId="0" applyAlignment="1" applyBorder="1" applyFont="1" applyNumberFormat="1">
      <alignment horizontal="center" vertical="center"/>
    </xf>
    <xf borderId="37" fillId="0" fontId="6" numFmtId="164" xfId="0" applyAlignment="1" applyBorder="1" applyFont="1" applyNumberFormat="1">
      <alignment horizontal="center" vertical="center"/>
    </xf>
    <xf borderId="0" fillId="0" fontId="6" numFmtId="0" xfId="0" applyFont="1"/>
    <xf borderId="34" fillId="18" fontId="2" numFmtId="0" xfId="0" applyAlignment="1" applyBorder="1" applyFont="1">
      <alignment horizontal="center" shrinkToFit="0" vertical="top" wrapText="1"/>
    </xf>
    <xf borderId="18" fillId="18" fontId="2" numFmtId="0" xfId="0" applyAlignment="1" applyBorder="1" applyFont="1">
      <alignment horizontal="left" shrinkToFit="0" vertical="top" wrapText="1"/>
    </xf>
    <xf borderId="13" fillId="18" fontId="2" numFmtId="164" xfId="0" applyAlignment="1" applyBorder="1" applyFont="1" applyNumberFormat="1">
      <alignment horizontal="center" shrinkToFit="0" vertical="center" wrapText="1"/>
    </xf>
    <xf borderId="21" fillId="11" fontId="1" numFmtId="164" xfId="0" applyBorder="1" applyFont="1" applyNumberFormat="1"/>
    <xf borderId="21" fillId="18" fontId="1" numFmtId="0" xfId="0" applyBorder="1" applyFont="1"/>
    <xf borderId="13" fillId="18" fontId="2" numFmtId="164" xfId="0" applyAlignment="1" applyBorder="1" applyFont="1" applyNumberFormat="1">
      <alignment horizontal="center" vertical="center"/>
    </xf>
    <xf borderId="13" fillId="18" fontId="6" numFmtId="0" xfId="0" applyAlignment="1" applyBorder="1" applyFont="1">
      <alignment shrinkToFit="0" vertical="top" wrapText="1"/>
    </xf>
    <xf borderId="0" fillId="0" fontId="1" numFmtId="0" xfId="0" applyFont="1"/>
    <xf borderId="13" fillId="18" fontId="13" numFmtId="0" xfId="0" applyAlignment="1" applyBorder="1" applyFont="1">
      <alignment shrinkToFit="0" vertical="top" wrapText="1"/>
    </xf>
    <xf borderId="13" fillId="18" fontId="14" numFmtId="0" xfId="0" applyAlignment="1" applyBorder="1" applyFont="1">
      <alignment horizontal="center" shrinkToFit="0" vertical="top" wrapText="1"/>
    </xf>
    <xf borderId="13" fillId="18" fontId="14" numFmtId="0" xfId="0" applyAlignment="1" applyBorder="1" applyFont="1">
      <alignment horizontal="left" shrinkToFit="0" vertical="top" wrapText="1"/>
    </xf>
    <xf borderId="13" fillId="18" fontId="1" numFmtId="0" xfId="0" applyBorder="1" applyFont="1"/>
    <xf borderId="21" fillId="18" fontId="2" numFmtId="164" xfId="0" applyAlignment="1" applyBorder="1" applyFont="1" applyNumberFormat="1">
      <alignment horizontal="center" vertical="center"/>
    </xf>
    <xf borderId="36" fillId="18" fontId="2" numFmtId="0" xfId="0" applyAlignment="1" applyBorder="1" applyFont="1">
      <alignment horizontal="center" shrinkToFit="0" vertical="top" wrapText="1"/>
    </xf>
    <xf borderId="24" fillId="18" fontId="6" numFmtId="0" xfId="0" applyAlignment="1" applyBorder="1" applyFont="1">
      <alignment horizontal="left" shrinkToFit="0" vertical="top" wrapText="1"/>
    </xf>
    <xf borderId="24" fillId="18" fontId="6" numFmtId="0" xfId="0" applyAlignment="1" applyBorder="1" applyFont="1">
      <alignment horizontal="center" shrinkToFit="0" vertical="top" wrapText="1"/>
    </xf>
    <xf borderId="38" fillId="0" fontId="4" numFmtId="49" xfId="0" applyAlignment="1" applyBorder="1" applyFont="1" applyNumberFormat="1">
      <alignment horizontal="center" shrinkToFit="0" vertical="top" wrapText="1"/>
    </xf>
    <xf borderId="39" fillId="0" fontId="3" numFmtId="0" xfId="0" applyBorder="1" applyFont="1"/>
    <xf borderId="40" fillId="0" fontId="3" numFmtId="0" xfId="0" applyBorder="1" applyFont="1"/>
    <xf borderId="41" fillId="0" fontId="2" numFmtId="49" xfId="0" applyAlignment="1" applyBorder="1" applyFont="1" applyNumberFormat="1">
      <alignment horizontal="left" shrinkToFit="0" vertical="center" wrapText="1"/>
    </xf>
    <xf borderId="22" fillId="0" fontId="3" numFmtId="0" xfId="0" applyBorder="1" applyFont="1"/>
    <xf borderId="39" fillId="0" fontId="2" numFmtId="49" xfId="0" applyAlignment="1" applyBorder="1" applyFont="1" applyNumberFormat="1">
      <alignment horizontal="left" shrinkToFit="0" vertical="center" wrapText="1"/>
    </xf>
    <xf borderId="22" fillId="0" fontId="2" numFmtId="49" xfId="0" applyAlignment="1" applyBorder="1" applyFont="1" applyNumberFormat="1">
      <alignment shrinkToFit="0" vertical="center" wrapText="1"/>
    </xf>
    <xf borderId="42" fillId="0" fontId="2" numFmtId="49" xfId="0" applyAlignment="1" applyBorder="1" applyFont="1" applyNumberFormat="1">
      <alignment shrinkToFit="0" vertical="center" wrapText="1"/>
    </xf>
    <xf borderId="0" fillId="0" fontId="6" numFmtId="49" xfId="0" applyAlignment="1" applyFont="1" applyNumberFormat="1">
      <alignment horizontal="center" vertical="top"/>
    </xf>
    <xf borderId="0" fillId="0" fontId="6" numFmtId="0" xfId="0" applyAlignment="1" applyFont="1">
      <alignment horizontal="left" shrinkToFit="0" vertical="top" wrapText="1"/>
    </xf>
    <xf borderId="0" fillId="0" fontId="6" numFmtId="0" xfId="0" applyAlignment="1" applyFont="1">
      <alignment horizontal="left" vertical="top"/>
    </xf>
    <xf borderId="0" fillId="0" fontId="2" numFmtId="49" xfId="0" applyAlignment="1" applyFont="1" applyNumberFormat="1">
      <alignment vertical="top"/>
    </xf>
    <xf borderId="14" fillId="6" fontId="2" numFmtId="49" xfId="0" applyAlignment="1" applyBorder="1" applyFont="1" applyNumberFormat="1">
      <alignment horizontal="center" vertical="center"/>
    </xf>
    <xf borderId="25" fillId="6" fontId="2" numFmtId="49" xfId="0" applyAlignment="1" applyBorder="1" applyFont="1" applyNumberFormat="1">
      <alignment horizontal="center" vertical="center"/>
    </xf>
    <xf borderId="14" fillId="6" fontId="2" numFmtId="0" xfId="0" applyAlignment="1" applyBorder="1" applyFont="1">
      <alignment horizontal="center" vertical="center"/>
    </xf>
    <xf borderId="14" fillId="6" fontId="2" numFmtId="0" xfId="0" applyAlignment="1" applyBorder="1" applyFont="1">
      <alignment horizontal="center" shrinkToFit="0" vertical="center" wrapText="1"/>
    </xf>
    <xf borderId="12" fillId="0" fontId="3" numFmtId="0" xfId="0" applyBorder="1" applyFont="1"/>
    <xf borderId="43" fillId="0" fontId="3" numFmtId="0" xfId="0" applyBorder="1" applyFont="1"/>
    <xf borderId="44" fillId="0" fontId="3" numFmtId="0" xfId="0" applyBorder="1" applyFont="1"/>
    <xf borderId="45" fillId="0" fontId="3" numFmtId="0" xfId="0" applyBorder="1" applyFont="1"/>
    <xf borderId="13" fillId="0" fontId="2" numFmtId="49" xfId="0" applyAlignment="1" applyBorder="1" applyFont="1" applyNumberFormat="1">
      <alignment horizontal="center" vertical="center"/>
    </xf>
    <xf borderId="44" fillId="0" fontId="2" numFmtId="49" xfId="0" applyAlignment="1" applyBorder="1" applyFont="1" applyNumberFormat="1">
      <alignment horizontal="left" vertical="center"/>
    </xf>
    <xf borderId="44" fillId="0" fontId="2" numFmtId="49" xfId="0" applyAlignment="1" applyBorder="1" applyFont="1" applyNumberFormat="1">
      <alignment horizontal="center" vertical="center"/>
    </xf>
    <xf borderId="45" fillId="0" fontId="2" numFmtId="49" xfId="0" applyAlignment="1" applyBorder="1" applyFont="1" applyNumberFormat="1">
      <alignment horizontal="center" vertical="center"/>
    </xf>
    <xf borderId="12" fillId="0" fontId="2" numFmtId="0" xfId="0" applyAlignment="1" applyBorder="1" applyFont="1">
      <alignment horizontal="center" vertical="center"/>
    </xf>
    <xf borderId="12" fillId="0" fontId="2" numFmtId="9" xfId="0" applyAlignment="1" applyBorder="1" applyFont="1" applyNumberFormat="1">
      <alignment horizontal="center" vertical="center"/>
    </xf>
    <xf borderId="12" fillId="0" fontId="2" numFmtId="10" xfId="0" applyAlignment="1" applyBorder="1" applyFont="1" applyNumberFormat="1">
      <alignment horizontal="center" vertical="center"/>
    </xf>
    <xf borderId="12" fillId="0" fontId="2" numFmtId="10" xfId="0" applyAlignment="1" applyBorder="1" applyFont="1" applyNumberFormat="1">
      <alignment horizontal="center" shrinkToFit="0" vertical="center" wrapText="1"/>
    </xf>
    <xf borderId="13" fillId="0" fontId="6" numFmtId="49" xfId="0" applyAlignment="1" applyBorder="1" applyFont="1" applyNumberFormat="1">
      <alignment horizontal="center" vertical="center"/>
    </xf>
    <xf borderId="13" fillId="0" fontId="6" numFmtId="49" xfId="0" applyAlignment="1" applyBorder="1" applyFont="1" applyNumberFormat="1">
      <alignment horizontal="left" vertical="center"/>
    </xf>
    <xf borderId="18" fillId="0" fontId="6" numFmtId="49" xfId="0" applyAlignment="1" applyBorder="1" applyFont="1" applyNumberFormat="1">
      <alignment vertical="top"/>
    </xf>
    <xf borderId="12" fillId="0" fontId="6" numFmtId="0" xfId="0" applyAlignment="1" applyBorder="1" applyFont="1">
      <alignment horizontal="center" vertical="center"/>
    </xf>
    <xf borderId="12" fillId="0" fontId="6" numFmtId="9" xfId="0" applyAlignment="1" applyBorder="1" applyFont="1" applyNumberFormat="1">
      <alignment horizontal="center" vertical="center"/>
    </xf>
    <xf borderId="12" fillId="0" fontId="6" numFmtId="10" xfId="0" applyAlignment="1" applyBorder="1" applyFont="1" applyNumberFormat="1">
      <alignment horizontal="center" vertical="center"/>
    </xf>
    <xf borderId="12" fillId="0" fontId="6" numFmtId="10" xfId="0" applyAlignment="1" applyBorder="1" applyFont="1" applyNumberFormat="1">
      <alignment horizontal="center" shrinkToFit="0" vertical="center" wrapText="1"/>
    </xf>
    <xf borderId="43" fillId="0" fontId="6" numFmtId="49" xfId="0" applyAlignment="1" applyBorder="1" applyFont="1" applyNumberFormat="1">
      <alignment vertical="top"/>
    </xf>
    <xf borderId="13" fillId="0" fontId="2" numFmtId="49" xfId="0" applyAlignment="1" applyBorder="1" applyFont="1" applyNumberFormat="1">
      <alignment horizontal="center" vertical="top"/>
    </xf>
    <xf borderId="18" fillId="0" fontId="2" numFmtId="49" xfId="0" applyAlignment="1" applyBorder="1" applyFont="1" applyNumberFormat="1">
      <alignment horizontal="left" vertical="top"/>
    </xf>
    <xf borderId="20" fillId="0" fontId="2" numFmtId="0" xfId="0" applyAlignment="1" applyBorder="1" applyFont="1">
      <alignment horizontal="left" shrinkToFit="0" vertical="top" wrapText="1"/>
    </xf>
    <xf borderId="13" fillId="0" fontId="2" numFmtId="0" xfId="0" applyAlignment="1" applyBorder="1" applyFont="1">
      <alignment horizontal="center" vertical="center"/>
    </xf>
    <xf borderId="13" fillId="0" fontId="6" numFmtId="49" xfId="0" applyAlignment="1" applyBorder="1" applyFont="1" applyNumberFormat="1">
      <alignment horizontal="center" vertical="top"/>
    </xf>
    <xf borderId="13" fillId="0" fontId="6" numFmtId="0" xfId="0" applyAlignment="1" applyBorder="1" applyFont="1">
      <alignment horizontal="center" shrinkToFit="0" vertical="center" wrapText="1"/>
    </xf>
    <xf borderId="13" fillId="0" fontId="6" numFmtId="0" xfId="0" applyAlignment="1" applyBorder="1" applyFont="1">
      <alignment horizontal="center" vertical="center"/>
    </xf>
    <xf borderId="43" fillId="0" fontId="6" numFmtId="49" xfId="0" applyAlignment="1" applyBorder="1" applyFont="1" applyNumberFormat="1">
      <alignment shrinkToFit="0" vertical="top" wrapText="1"/>
    </xf>
    <xf borderId="13" fillId="0" fontId="6" numFmtId="49" xfId="0" applyAlignment="1" applyBorder="1" applyFont="1" applyNumberFormat="1">
      <alignment vertical="top"/>
    </xf>
    <xf borderId="18" fillId="0" fontId="2" numFmtId="49" xfId="0" applyAlignment="1" applyBorder="1" applyFont="1" applyNumberFormat="1">
      <alignment horizontal="center" vertical="top"/>
    </xf>
    <xf borderId="13" fillId="0" fontId="6" numFmtId="49" xfId="0" applyAlignment="1" applyBorder="1" applyFont="1" applyNumberFormat="1">
      <alignment vertical="center"/>
    </xf>
    <xf borderId="13" fillId="0" fontId="6" numFmtId="9" xfId="0" applyAlignment="1" applyBorder="1" applyFont="1" applyNumberFormat="1">
      <alignment horizontal="center" vertical="center"/>
    </xf>
    <xf borderId="13" fillId="0" fontId="6" numFmtId="10" xfId="0" applyAlignment="1" applyBorder="1" applyFont="1" applyNumberFormat="1">
      <alignment horizontal="center" vertical="center"/>
    </xf>
    <xf borderId="13" fillId="0" fontId="2" numFmtId="10" xfId="0" applyAlignment="1" applyBorder="1" applyFont="1" applyNumberFormat="1">
      <alignment horizontal="center" vertical="center"/>
    </xf>
    <xf borderId="0" fillId="0" fontId="6" numFmtId="10" xfId="0" applyAlignment="1" applyFont="1" applyNumberFormat="1">
      <alignment horizontal="center" vertical="top"/>
    </xf>
    <xf borderId="14" fillId="6" fontId="2" numFmtId="10" xfId="0" applyAlignment="1" applyBorder="1" applyFont="1" applyNumberFormat="1">
      <alignment horizontal="center" vertical="center"/>
    </xf>
    <xf borderId="18" fillId="0" fontId="6" numFmtId="0" xfId="0" applyAlignment="1" applyBorder="1" applyFont="1">
      <alignment horizontal="left" vertical="top"/>
    </xf>
    <xf borderId="18" fillId="0" fontId="6" numFmtId="49" xfId="0" applyAlignment="1" applyBorder="1" applyFont="1" applyNumberFormat="1">
      <alignment shrinkToFit="0" vertical="center" wrapText="1"/>
    </xf>
    <xf borderId="12" fillId="0" fontId="6" numFmtId="49" xfId="0" applyAlignment="1" applyBorder="1" applyFont="1" applyNumberFormat="1">
      <alignment horizontal="center" vertical="center"/>
    </xf>
    <xf borderId="18" fillId="0" fontId="6" numFmtId="0" xfId="0" applyAlignment="1" applyBorder="1" applyFont="1">
      <alignment vertical="top"/>
    </xf>
    <xf borderId="12" fillId="0" fontId="6" numFmtId="49" xfId="0" applyAlignment="1" applyBorder="1" applyFont="1" applyNumberFormat="1">
      <alignment vertical="top"/>
    </xf>
    <xf borderId="44" fillId="0" fontId="6" numFmtId="49" xfId="0" applyAlignment="1" applyBorder="1" applyFont="1" applyNumberFormat="1">
      <alignment shrinkToFit="0" vertical="top" wrapText="1"/>
    </xf>
    <xf borderId="44" fillId="0" fontId="6" numFmtId="49" xfId="0" applyAlignment="1" applyBorder="1" applyFont="1" applyNumberFormat="1">
      <alignment vertical="top"/>
    </xf>
    <xf borderId="13" fillId="0" fontId="2" numFmtId="10" xfId="0" applyAlignment="1" applyBorder="1" applyFont="1" applyNumberFormat="1">
      <alignment horizontal="center" vertical="top"/>
    </xf>
    <xf borderId="13" fillId="0" fontId="2" numFmtId="1" xfId="0" applyAlignment="1" applyBorder="1" applyFont="1" applyNumberFormat="1">
      <alignment horizontal="center" vertical="top"/>
    </xf>
    <xf borderId="0" fillId="0" fontId="6" numFmtId="49" xfId="0" applyAlignment="1" applyFont="1" applyNumberFormat="1">
      <alignment horizontal="left" vertical="top"/>
    </xf>
    <xf borderId="0" fillId="0" fontId="13" numFmtId="0" xfId="0" applyAlignment="1" applyFont="1">
      <alignment horizontal="center" vertical="top"/>
    </xf>
    <xf borderId="0" fillId="0" fontId="15" numFmtId="0" xfId="0" applyAlignment="1" applyFont="1">
      <alignment horizontal="center" shrinkToFit="0" wrapText="1"/>
    </xf>
    <xf borderId="0" fillId="0" fontId="15" numFmtId="0" xfId="0" applyFont="1"/>
    <xf borderId="0" fillId="0" fontId="16" numFmtId="0" xfId="0" applyAlignment="1" applyFont="1">
      <alignment horizontal="left"/>
    </xf>
    <xf borderId="0" fillId="0" fontId="17" numFmtId="0" xfId="0" applyAlignment="1" applyFont="1">
      <alignment horizontal="left" shrinkToFit="0" vertical="center" wrapText="1"/>
    </xf>
    <xf borderId="0" fillId="0" fontId="17" numFmtId="0" xfId="0" applyFont="1"/>
    <xf borderId="0" fillId="0" fontId="17" numFmtId="0" xfId="0" applyAlignment="1" applyFont="1">
      <alignment horizontal="center"/>
    </xf>
    <xf borderId="0" fillId="0" fontId="18" numFmtId="0" xfId="0" applyAlignment="1" applyFont="1">
      <alignment horizontal="center"/>
    </xf>
    <xf borderId="0" fillId="0" fontId="18" numFmtId="0" xfId="0" applyFont="1"/>
    <xf borderId="14" fillId="4" fontId="19" numFmtId="0" xfId="0" applyAlignment="1" applyBorder="1" applyFont="1">
      <alignment horizontal="center" shrinkToFit="0" vertical="center" wrapText="1"/>
    </xf>
    <xf borderId="18" fillId="4" fontId="19" numFmtId="0" xfId="0" applyAlignment="1" applyBorder="1" applyFont="1">
      <alignment horizontal="center" shrinkToFit="0" vertical="center" wrapText="1"/>
    </xf>
    <xf borderId="18" fillId="16" fontId="19" numFmtId="0" xfId="0" applyAlignment="1" applyBorder="1" applyFont="1">
      <alignment horizontal="center" shrinkToFit="0" vertical="center" wrapText="1"/>
    </xf>
    <xf borderId="13" fillId="4" fontId="19" numFmtId="0" xfId="0" applyAlignment="1" applyBorder="1" applyFont="1">
      <alignment horizontal="center" shrinkToFit="0" vertical="center" wrapText="1"/>
    </xf>
    <xf borderId="13" fillId="16" fontId="19" numFmtId="0" xfId="0" applyAlignment="1" applyBorder="1" applyFont="1">
      <alignment horizontal="center" shrinkToFit="0" vertical="center" wrapText="1"/>
    </xf>
    <xf borderId="13" fillId="0" fontId="14" numFmtId="0" xfId="0" applyAlignment="1" applyBorder="1" applyFont="1">
      <alignment horizontal="center" shrinkToFit="0" vertical="top" wrapText="1"/>
    </xf>
    <xf borderId="13" fillId="19" fontId="20" numFmtId="0" xfId="0" applyAlignment="1" applyBorder="1" applyFill="1" applyFont="1">
      <alignment horizontal="left" shrinkToFit="0" vertical="top" wrapText="1"/>
    </xf>
    <xf borderId="13" fillId="19" fontId="20" numFmtId="0" xfId="0" applyAlignment="1" applyBorder="1" applyFont="1">
      <alignment shrinkToFit="0" vertical="top" wrapText="1"/>
    </xf>
    <xf borderId="13" fillId="19" fontId="20" numFmtId="165" xfId="0" applyAlignment="1" applyBorder="1" applyFont="1" applyNumberFormat="1">
      <alignment horizontal="center" shrinkToFit="0" wrapText="1"/>
    </xf>
    <xf borderId="13" fillId="0" fontId="14" numFmtId="0" xfId="0" applyAlignment="1" applyBorder="1" applyFont="1">
      <alignment horizontal="center" shrinkToFit="0" vertical="center" wrapText="1"/>
    </xf>
    <xf borderId="13" fillId="20" fontId="14" numFmtId="0" xfId="0" applyAlignment="1" applyBorder="1" applyFill="1" applyFont="1">
      <alignment horizontal="center" shrinkToFit="0" vertical="center" wrapText="1"/>
    </xf>
    <xf borderId="13" fillId="0" fontId="20" numFmtId="0" xfId="0" applyAlignment="1" applyBorder="1" applyFont="1">
      <alignment horizontal="left" shrinkToFit="0" vertical="top" wrapText="1"/>
    </xf>
    <xf borderId="13" fillId="0" fontId="20" numFmtId="0" xfId="0" applyAlignment="1" applyBorder="1" applyFont="1">
      <alignment shrinkToFit="0" vertical="top" wrapText="1"/>
    </xf>
    <xf borderId="13" fillId="0" fontId="20" numFmtId="9" xfId="0" applyAlignment="1" applyBorder="1" applyFont="1" applyNumberFormat="1">
      <alignment horizontal="center" shrinkToFit="0" wrapText="1"/>
    </xf>
    <xf borderId="13" fillId="19" fontId="20" numFmtId="0" xfId="0" applyAlignment="1" applyBorder="1" applyFont="1">
      <alignment horizontal="center" shrinkToFit="0" wrapText="1"/>
    </xf>
    <xf borderId="13" fillId="19" fontId="20" numFmtId="9" xfId="0" applyAlignment="1" applyBorder="1" applyFont="1" applyNumberFormat="1">
      <alignment horizontal="center" shrinkToFit="0" wrapText="1"/>
    </xf>
    <xf borderId="13" fillId="0" fontId="20" numFmtId="0" xfId="0" applyAlignment="1" applyBorder="1" applyFont="1">
      <alignment shrinkToFit="0" wrapText="1"/>
    </xf>
    <xf borderId="13" fillId="0" fontId="20" numFmtId="0" xfId="0" applyAlignment="1" applyBorder="1" applyFont="1">
      <alignment horizontal="center" shrinkToFit="0" wrapText="1"/>
    </xf>
    <xf borderId="13" fillId="0" fontId="18" numFmtId="0" xfId="0" applyAlignment="1" applyBorder="1" applyFont="1">
      <alignment horizontal="center" shrinkToFit="0" vertical="center" wrapText="1"/>
    </xf>
    <xf borderId="13" fillId="0" fontId="20" numFmtId="0" xfId="0" applyAlignment="1" applyBorder="1" applyFont="1">
      <alignment horizontal="center" shrinkToFit="0" vertical="center" wrapText="1"/>
    </xf>
    <xf borderId="13" fillId="17" fontId="21" numFmtId="0" xfId="0" applyAlignment="1" applyBorder="1" applyFont="1">
      <alignment horizontal="center" shrinkToFit="0" vertical="center" wrapText="1"/>
    </xf>
    <xf borderId="13" fillId="17" fontId="20" numFmtId="0" xfId="0" applyAlignment="1" applyBorder="1" applyFont="1">
      <alignment horizontal="center" shrinkToFit="0" vertical="center" wrapText="1"/>
    </xf>
    <xf borderId="13" fillId="0" fontId="21" numFmtId="0" xfId="0" applyAlignment="1" applyBorder="1" applyFont="1">
      <alignment horizontal="center" shrinkToFit="0" vertical="center" wrapText="1"/>
    </xf>
    <xf borderId="13" fillId="0" fontId="21" numFmtId="166" xfId="0" applyAlignment="1" applyBorder="1" applyFont="1" applyNumberFormat="1">
      <alignment horizontal="center" shrinkToFit="0" vertical="center" wrapText="1"/>
    </xf>
    <xf borderId="13" fillId="17" fontId="21" numFmtId="10" xfId="0" applyAlignment="1" applyBorder="1" applyFont="1" applyNumberFormat="1">
      <alignment horizontal="center" shrinkToFit="0" vertical="center" wrapText="1"/>
    </xf>
    <xf borderId="13" fillId="0" fontId="21" numFmtId="10" xfId="0" applyAlignment="1" applyBorder="1" applyFont="1" applyNumberFormat="1">
      <alignment horizontal="center" shrinkToFit="0" vertical="center" wrapText="1"/>
    </xf>
    <xf borderId="0" fillId="0" fontId="1" numFmtId="0" xfId="0" applyAlignment="1" applyFont="1">
      <alignment shrinkToFit="0" vertical="center" wrapText="1"/>
    </xf>
    <xf borderId="18" fillId="0" fontId="22" numFmtId="0" xfId="0" applyAlignment="1" applyBorder="1" applyFont="1">
      <alignment horizontal="center" shrinkToFit="0" vertical="top" wrapText="1"/>
    </xf>
    <xf borderId="0" fillId="0" fontId="1" numFmtId="0" xfId="0" applyAlignment="1" applyFont="1">
      <alignment shrinkToFit="0" wrapText="1"/>
    </xf>
    <xf borderId="18" fillId="0" fontId="22" numFmtId="0" xfId="0" applyAlignment="1" applyBorder="1" applyFont="1">
      <alignment horizontal="left" shrinkToFit="0" vertical="top" wrapText="1"/>
    </xf>
    <xf borderId="14" fillId="21" fontId="22" numFmtId="0" xfId="0" applyAlignment="1" applyBorder="1" applyFill="1" applyFont="1">
      <alignment horizontal="left" shrinkToFit="0" vertical="center" wrapText="1"/>
    </xf>
    <xf borderId="18" fillId="22" fontId="22" numFmtId="0" xfId="0" applyAlignment="1" applyBorder="1" applyFill="1" applyFont="1">
      <alignment horizontal="left" shrinkToFit="0" vertical="center" wrapText="1"/>
    </xf>
    <xf borderId="18" fillId="23" fontId="22" numFmtId="0" xfId="0" applyAlignment="1" applyBorder="1" applyFill="1" applyFont="1">
      <alignment horizontal="center" shrinkToFit="0" vertical="center" wrapText="1"/>
    </xf>
    <xf borderId="14" fillId="23" fontId="22" numFmtId="0" xfId="0" applyAlignment="1" applyBorder="1" applyFont="1">
      <alignment horizontal="center" shrinkToFit="0" vertical="center" wrapText="1"/>
    </xf>
    <xf borderId="18" fillId="16" fontId="2" numFmtId="0" xfId="0" applyAlignment="1" applyBorder="1" applyFont="1">
      <alignment horizontal="center" shrinkToFit="0" vertical="center" wrapText="1"/>
    </xf>
    <xf borderId="13" fillId="22" fontId="22" numFmtId="0" xfId="0" applyAlignment="1" applyBorder="1" applyFont="1">
      <alignment horizontal="center" shrinkToFit="0" vertical="center" wrapText="1"/>
    </xf>
    <xf borderId="13" fillId="23" fontId="22" numFmtId="0" xfId="0" applyAlignment="1" applyBorder="1" applyFont="1">
      <alignment horizontal="center" shrinkToFit="0" vertical="center" wrapText="1"/>
    </xf>
    <xf borderId="13" fillId="16" fontId="2" numFmtId="0" xfId="0" applyAlignment="1" applyBorder="1" applyFont="1">
      <alignment horizontal="center" shrinkToFit="0" vertical="center" wrapText="1"/>
    </xf>
    <xf borderId="13" fillId="18" fontId="23" numFmtId="1" xfId="0" applyAlignment="1" applyBorder="1" applyFont="1" applyNumberFormat="1">
      <alignment horizontal="left" shrinkToFit="1" vertical="center" wrapText="0"/>
    </xf>
    <xf borderId="13" fillId="18" fontId="23" numFmtId="0" xfId="0" applyAlignment="1" applyBorder="1" applyFont="1">
      <alignment horizontal="left" shrinkToFit="0" vertical="top" wrapText="1"/>
    </xf>
    <xf borderId="13" fillId="18" fontId="23" numFmtId="0" xfId="0" applyAlignment="1" applyBorder="1" applyFont="1">
      <alignment horizontal="center" shrinkToFit="0" vertical="center" wrapText="1"/>
    </xf>
    <xf borderId="13" fillId="18" fontId="6" numFmtId="0" xfId="0" applyAlignment="1" applyBorder="1" applyFont="1">
      <alignment horizontal="center" vertical="top"/>
    </xf>
    <xf borderId="13" fillId="18" fontId="1" numFmtId="0" xfId="0" applyAlignment="1" applyBorder="1" applyFont="1">
      <alignment shrinkToFit="0" wrapText="1"/>
    </xf>
    <xf borderId="13" fillId="18" fontId="1" numFmtId="0" xfId="0" applyAlignment="1" applyBorder="1" applyFont="1">
      <alignment horizontal="center" shrinkToFit="0" vertical="top" wrapText="1"/>
    </xf>
    <xf borderId="13" fillId="18" fontId="23" numFmtId="0" xfId="0" applyAlignment="1" applyBorder="1" applyFont="1">
      <alignment horizontal="center" shrinkToFit="0" vertical="top" wrapText="1"/>
    </xf>
    <xf borderId="13" fillId="15" fontId="1" numFmtId="0" xfId="0" applyAlignment="1" applyBorder="1" applyFont="1">
      <alignment shrinkToFit="0" wrapText="1"/>
    </xf>
    <xf borderId="13" fillId="18" fontId="23" numFmtId="1" xfId="0" applyAlignment="1" applyBorder="1" applyFont="1" applyNumberFormat="1">
      <alignment horizontal="center" shrinkToFit="1" vertical="center" wrapText="0"/>
    </xf>
    <xf borderId="13" fillId="18" fontId="1" numFmtId="0" xfId="0" applyAlignment="1" applyBorder="1" applyFont="1">
      <alignment horizontal="left" shrinkToFit="0" vertical="top" wrapText="1"/>
    </xf>
    <xf borderId="13" fillId="18" fontId="23" numFmtId="0" xfId="0" applyAlignment="1" applyBorder="1" applyFont="1">
      <alignment horizontal="left" shrinkToFit="0" vertical="center" wrapText="1"/>
    </xf>
    <xf borderId="13" fillId="18" fontId="1" numFmtId="0" xfId="0" applyAlignment="1" applyBorder="1" applyFont="1">
      <alignment horizontal="left" shrinkToFit="0" vertical="center" wrapText="1"/>
    </xf>
    <xf borderId="13" fillId="19" fontId="1" numFmtId="0" xfId="0" applyAlignment="1" applyBorder="1" applyFont="1">
      <alignment horizontal="left" shrinkToFit="0" wrapText="1"/>
    </xf>
    <xf borderId="13" fillId="19" fontId="23" numFmtId="1" xfId="0" applyAlignment="1" applyBorder="1" applyFont="1" applyNumberFormat="1">
      <alignment horizontal="center" shrinkToFit="1" vertical="top" wrapText="0"/>
    </xf>
    <xf borderId="13" fillId="19" fontId="1" numFmtId="0" xfId="0" applyAlignment="1" applyBorder="1" applyFont="1">
      <alignment horizontal="center" shrinkToFit="0" wrapText="1"/>
    </xf>
    <xf borderId="13" fillId="0" fontId="1" numFmtId="0" xfId="0" applyAlignment="1" applyBorder="1" applyFont="1">
      <alignment horizontal="center"/>
    </xf>
    <xf borderId="13" fillId="0" fontId="1" numFmtId="0" xfId="0" applyAlignment="1" applyBorder="1" applyFont="1">
      <alignment horizontal="center" shrinkToFit="0" wrapText="1"/>
    </xf>
    <xf borderId="13" fillId="0" fontId="1" numFmtId="0" xfId="0" applyAlignment="1" applyBorder="1" applyFont="1">
      <alignment horizontal="left" shrinkToFit="0" wrapText="1"/>
    </xf>
    <xf borderId="13" fillId="0" fontId="23" numFmtId="1" xfId="0" applyAlignment="1" applyBorder="1" applyFont="1" applyNumberFormat="1">
      <alignment horizontal="center" shrinkToFit="1" vertical="top" wrapText="0"/>
    </xf>
    <xf borderId="13" fillId="19" fontId="23" numFmtId="166" xfId="0" applyAlignment="1" applyBorder="1" applyFont="1" applyNumberFormat="1">
      <alignment horizontal="center" shrinkToFit="1" vertical="top" wrapText="0"/>
    </xf>
    <xf borderId="13" fillId="0" fontId="1" numFmtId="10" xfId="0" applyBorder="1" applyFont="1" applyNumberFormat="1"/>
    <xf borderId="13" fillId="0" fontId="1" numFmtId="10" xfId="0" applyAlignment="1" applyBorder="1" applyFont="1" applyNumberFormat="1">
      <alignment horizontal="center"/>
    </xf>
    <xf borderId="0" fillId="0" fontId="1" numFmtId="0" xfId="0" applyAlignment="1" applyFont="1">
      <alignment horizontal="center"/>
    </xf>
    <xf borderId="0" fillId="0" fontId="1" numFmtId="0" xfId="0" applyAlignment="1" applyFont="1">
      <alignment horizontal="center" shrinkToFit="0" vertical="center" wrapText="1"/>
    </xf>
    <xf borderId="0" fillId="0" fontId="4" numFmtId="0" xfId="0" applyAlignment="1" applyFont="1">
      <alignment horizontal="center" vertical="center"/>
    </xf>
    <xf borderId="0" fillId="0" fontId="4" numFmtId="0" xfId="0" applyAlignment="1" applyFont="1">
      <alignment shrinkToFit="0" wrapText="1"/>
    </xf>
    <xf borderId="0" fillId="0" fontId="4" numFmtId="0" xfId="0" applyAlignment="1" applyFont="1">
      <alignment shrinkToFit="0" vertical="center" wrapText="1"/>
    </xf>
    <xf borderId="0" fillId="0" fontId="1" numFmtId="0" xfId="0" applyAlignment="1" applyFont="1">
      <alignment horizontal="center" shrinkToFit="0" wrapText="1"/>
    </xf>
    <xf borderId="14" fillId="24" fontId="2" numFmtId="0" xfId="0" applyAlignment="1" applyBorder="1" applyFill="1" applyFont="1">
      <alignment horizontal="center" shrinkToFit="0" vertical="center" wrapText="1"/>
    </xf>
    <xf borderId="18" fillId="6" fontId="2" numFmtId="0" xfId="0" applyAlignment="1" applyBorder="1" applyFont="1">
      <alignment horizontal="center" shrinkToFit="0" vertical="center" wrapText="1"/>
    </xf>
    <xf borderId="18" fillId="25" fontId="2" numFmtId="0" xfId="0" applyAlignment="1" applyBorder="1" applyFill="1" applyFont="1">
      <alignment horizontal="center" shrinkToFit="0" vertical="center" wrapText="1"/>
    </xf>
    <xf borderId="14" fillId="26" fontId="2" numFmtId="0" xfId="0" applyAlignment="1" applyBorder="1" applyFill="1" applyFont="1">
      <alignment horizontal="center" shrinkToFit="0" vertical="center" wrapText="1"/>
    </xf>
    <xf borderId="18" fillId="26" fontId="2" numFmtId="0" xfId="0" applyAlignment="1" applyBorder="1" applyFont="1">
      <alignment horizontal="center" shrinkToFit="0" vertical="center" wrapText="1"/>
    </xf>
    <xf borderId="18" fillId="27" fontId="2" numFmtId="0" xfId="0" applyAlignment="1" applyBorder="1" applyFill="1" applyFont="1">
      <alignment horizontal="center" shrinkToFit="0" vertical="center" wrapText="1"/>
    </xf>
    <xf borderId="14" fillId="27" fontId="2" numFmtId="0" xfId="0" applyAlignment="1" applyBorder="1" applyFont="1">
      <alignment horizontal="center" shrinkToFit="0" vertical="center" wrapText="1"/>
    </xf>
    <xf borderId="13" fillId="6" fontId="2" numFmtId="0" xfId="0" applyAlignment="1" applyBorder="1" applyFont="1">
      <alignment horizontal="center" shrinkToFit="0" vertical="center" wrapText="1"/>
    </xf>
    <xf borderId="13" fillId="25" fontId="2" numFmtId="0" xfId="0" applyAlignment="1" applyBorder="1" applyFont="1">
      <alignment horizontal="center" shrinkToFit="0" vertical="center" wrapText="1"/>
    </xf>
    <xf borderId="13" fillId="26" fontId="2" numFmtId="0" xfId="0" applyAlignment="1" applyBorder="1" applyFont="1">
      <alignment horizontal="center" shrinkToFit="0" vertical="center" wrapText="1"/>
    </xf>
    <xf borderId="13" fillId="27" fontId="2" numFmtId="0" xfId="0" applyAlignment="1" applyBorder="1" applyFont="1">
      <alignment horizontal="center" shrinkToFit="0" vertical="center" wrapText="1"/>
    </xf>
    <xf borderId="13" fillId="24" fontId="2" numFmtId="0" xfId="0" applyAlignment="1" applyBorder="1" applyFont="1">
      <alignment horizontal="center" shrinkToFit="0" vertical="center" wrapText="1"/>
    </xf>
    <xf borderId="46" fillId="21" fontId="24" numFmtId="0" xfId="0" applyAlignment="1" applyBorder="1" applyFont="1">
      <alignment horizontal="left" shrinkToFit="0" vertical="center" wrapText="1"/>
    </xf>
    <xf borderId="47" fillId="0" fontId="3" numFmtId="0" xfId="0" applyBorder="1" applyFont="1"/>
    <xf borderId="48" fillId="0" fontId="3" numFmtId="0" xfId="0" applyBorder="1" applyFont="1"/>
    <xf borderId="49" fillId="28" fontId="25" numFmtId="0" xfId="0" applyAlignment="1" applyBorder="1" applyFill="1" applyFont="1">
      <alignment horizontal="left" vertical="top"/>
    </xf>
    <xf borderId="0" fillId="0" fontId="11" numFmtId="0" xfId="0" applyAlignment="1" applyFont="1">
      <alignment horizontal="left"/>
    </xf>
    <xf borderId="13" fillId="0" fontId="6" numFmtId="0" xfId="0" applyAlignment="1" applyBorder="1" applyFont="1">
      <alignment horizontal="center" shrinkToFit="0" wrapText="1"/>
    </xf>
    <xf borderId="13" fillId="0" fontId="6" numFmtId="167" xfId="0" applyAlignment="1" applyBorder="1" applyFont="1" applyNumberFormat="1">
      <alignment shrinkToFit="0" vertical="top" wrapText="1"/>
    </xf>
    <xf borderId="13" fillId="0" fontId="6" numFmtId="167" xfId="0" applyAlignment="1" applyBorder="1" applyFont="1" applyNumberFormat="1">
      <alignment horizontal="center" shrinkToFit="0" vertical="top" wrapText="1"/>
    </xf>
    <xf borderId="13" fillId="0" fontId="6" numFmtId="168" xfId="0" applyAlignment="1" applyBorder="1" applyFont="1" applyNumberFormat="1">
      <alignment shrinkToFit="0" vertical="top" wrapText="1"/>
    </xf>
    <xf borderId="13" fillId="0" fontId="6" numFmtId="9" xfId="0" applyAlignment="1" applyBorder="1" applyFont="1" applyNumberFormat="1">
      <alignment horizontal="center" shrinkToFit="0" vertical="top" wrapText="1"/>
    </xf>
    <xf borderId="13" fillId="29" fontId="6" numFmtId="0" xfId="0" applyAlignment="1" applyBorder="1" applyFill="1" applyFont="1">
      <alignment horizontal="center" vertical="top"/>
    </xf>
    <xf borderId="13" fillId="0" fontId="6" numFmtId="10" xfId="0" applyAlignment="1" applyBorder="1" applyFont="1" applyNumberFormat="1">
      <alignment shrinkToFit="0" vertical="top" wrapText="1"/>
    </xf>
    <xf borderId="13" fillId="14" fontId="6" numFmtId="0" xfId="0" applyAlignment="1" applyBorder="1" applyFont="1">
      <alignment horizontal="center" vertical="top"/>
    </xf>
    <xf quotePrefix="1" borderId="0" fillId="0" fontId="6" numFmtId="0" xfId="0" applyAlignment="1" applyFont="1">
      <alignment shrinkToFit="0" vertical="top" wrapText="1"/>
    </xf>
    <xf borderId="0" fillId="0" fontId="6" numFmtId="9" xfId="0" applyAlignment="1" applyFont="1" applyNumberFormat="1">
      <alignment horizontal="center" shrinkToFit="0" vertical="top" wrapText="1"/>
    </xf>
    <xf borderId="0" fillId="0" fontId="1" numFmtId="0" xfId="0" applyAlignment="1" applyFont="1">
      <alignment vertical="top"/>
    </xf>
    <xf borderId="13" fillId="0" fontId="6" numFmtId="10" xfId="0" applyAlignment="1" applyBorder="1" applyFont="1" applyNumberFormat="1">
      <alignment horizontal="center" shrinkToFit="0" vertical="top" wrapText="1"/>
    </xf>
    <xf borderId="13" fillId="0" fontId="26" numFmtId="0" xfId="0" applyAlignment="1" applyBorder="1" applyFont="1">
      <alignment horizontal="center" shrinkToFit="0" vertical="top" wrapText="1"/>
    </xf>
    <xf borderId="13" fillId="0" fontId="26" numFmtId="167" xfId="0" applyAlignment="1" applyBorder="1" applyFont="1" applyNumberFormat="1">
      <alignment shrinkToFit="0" vertical="top" wrapText="1"/>
    </xf>
    <xf borderId="13" fillId="0" fontId="26" numFmtId="167" xfId="0" applyAlignment="1" applyBorder="1" applyFont="1" applyNumberFormat="1">
      <alignment horizontal="center" shrinkToFit="0" vertical="top" wrapText="1"/>
    </xf>
    <xf borderId="13" fillId="0" fontId="26" numFmtId="0" xfId="0" applyAlignment="1" applyBorder="1" applyFont="1">
      <alignment shrinkToFit="0" vertical="top" wrapText="1"/>
    </xf>
    <xf borderId="13" fillId="0" fontId="26" numFmtId="9" xfId="0" applyAlignment="1" applyBorder="1" applyFont="1" applyNumberFormat="1">
      <alignment horizontal="center" shrinkToFit="0" vertical="top" wrapText="1"/>
    </xf>
    <xf borderId="13" fillId="0" fontId="26" numFmtId="0" xfId="0" applyAlignment="1" applyBorder="1" applyFont="1">
      <alignment horizontal="center" vertical="top"/>
    </xf>
    <xf borderId="13" fillId="29" fontId="26" numFmtId="0" xfId="0" applyAlignment="1" applyBorder="1" applyFont="1">
      <alignment horizontal="center" vertical="top"/>
    </xf>
    <xf borderId="0" fillId="0" fontId="26" numFmtId="0" xfId="0" applyAlignment="1" applyFont="1">
      <alignment shrinkToFit="0" vertical="top" wrapText="1"/>
    </xf>
    <xf borderId="0" fillId="0" fontId="6" numFmtId="0" xfId="0" applyAlignment="1" applyFont="1">
      <alignment shrinkToFit="0" wrapText="1"/>
    </xf>
    <xf borderId="13" fillId="0" fontId="6" numFmtId="167" xfId="0" applyAlignment="1" applyBorder="1" applyFont="1" applyNumberFormat="1">
      <alignment horizontal="center" vertical="top"/>
    </xf>
    <xf borderId="13" fillId="0" fontId="6" numFmtId="4" xfId="0" applyAlignment="1" applyBorder="1" applyFont="1" applyNumberFormat="1">
      <alignment horizontal="center" shrinkToFit="0" vertical="top" wrapText="1"/>
    </xf>
    <xf borderId="13" fillId="0" fontId="6" numFmtId="0" xfId="0" applyAlignment="1" applyBorder="1" applyFont="1">
      <alignment horizontal="left" shrinkToFit="0" wrapText="1"/>
    </xf>
    <xf borderId="0" fillId="0" fontId="1" numFmtId="0" xfId="0" applyAlignment="1" applyFont="1">
      <alignment horizontal="left"/>
    </xf>
    <xf borderId="13" fillId="19" fontId="27" numFmtId="0" xfId="0" applyAlignment="1" applyBorder="1" applyFont="1">
      <alignment horizontal="center" shrinkToFit="0" vertical="center" wrapText="1"/>
    </xf>
    <xf borderId="13" fillId="19" fontId="27" numFmtId="167" xfId="0" applyAlignment="1" applyBorder="1" applyFont="1" applyNumberFormat="1">
      <alignment shrinkToFit="0" vertical="top" wrapText="1"/>
    </xf>
    <xf borderId="13" fillId="19" fontId="27" numFmtId="167" xfId="0" applyAlignment="1" applyBorder="1" applyFont="1" applyNumberFormat="1">
      <alignment horizontal="center" shrinkToFit="0" vertical="center" wrapText="1"/>
    </xf>
    <xf borderId="13" fillId="19" fontId="27" numFmtId="167" xfId="0" applyAlignment="1" applyBorder="1" applyFont="1" applyNumberFormat="1">
      <alignment shrinkToFit="0" vertical="center" wrapText="1"/>
    </xf>
    <xf borderId="13" fillId="19" fontId="27" numFmtId="167" xfId="0" applyAlignment="1" applyBorder="1" applyFont="1" applyNumberFormat="1">
      <alignment horizontal="right" shrinkToFit="0" vertical="center" wrapText="1"/>
    </xf>
    <xf borderId="13" fillId="19" fontId="27" numFmtId="0" xfId="0" applyAlignment="1" applyBorder="1" applyFont="1">
      <alignment shrinkToFit="0" vertical="top" wrapText="1"/>
    </xf>
    <xf borderId="13" fillId="19" fontId="28" numFmtId="0" xfId="0" applyAlignment="1" applyBorder="1" applyFont="1">
      <alignment horizontal="center" shrinkToFit="0" vertical="center" wrapText="1"/>
    </xf>
    <xf borderId="13" fillId="19" fontId="27" numFmtId="0" xfId="0" applyAlignment="1" applyBorder="1" applyFont="1">
      <alignment horizontal="left" shrinkToFit="0" vertical="top" wrapText="1"/>
    </xf>
    <xf borderId="13" fillId="0" fontId="27" numFmtId="0" xfId="0" applyAlignment="1" applyBorder="1" applyFont="1">
      <alignment horizontal="center" shrinkToFit="0" vertical="center" wrapText="1"/>
    </xf>
    <xf borderId="13" fillId="0" fontId="27" numFmtId="167" xfId="0" applyAlignment="1" applyBorder="1" applyFont="1" applyNumberFormat="1">
      <alignment shrinkToFit="0" vertical="top" wrapText="1"/>
    </xf>
    <xf borderId="13" fillId="0" fontId="27" numFmtId="167" xfId="0" applyAlignment="1" applyBorder="1" applyFont="1" applyNumberFormat="1">
      <alignment horizontal="center" shrinkToFit="0" vertical="center" wrapText="1"/>
    </xf>
    <xf borderId="13" fillId="0" fontId="27" numFmtId="167" xfId="0" applyAlignment="1" applyBorder="1" applyFont="1" applyNumberFormat="1">
      <alignment shrinkToFit="0" vertical="center" wrapText="1"/>
    </xf>
    <xf borderId="13" fillId="0" fontId="27" numFmtId="167" xfId="0" applyAlignment="1" applyBorder="1" applyFont="1" applyNumberFormat="1">
      <alignment horizontal="right" shrinkToFit="0" vertical="center" wrapText="1"/>
    </xf>
    <xf borderId="13" fillId="0" fontId="27" numFmtId="0" xfId="0" applyAlignment="1" applyBorder="1" applyFont="1">
      <alignment shrinkToFit="0" vertical="top" wrapText="1"/>
    </xf>
    <xf borderId="13" fillId="0" fontId="27" numFmtId="0" xfId="0" applyAlignment="1" applyBorder="1" applyFont="1">
      <alignment horizontal="left" shrinkToFit="0" vertical="top" wrapText="1"/>
    </xf>
    <xf borderId="13" fillId="0" fontId="27" numFmtId="0" xfId="0" applyAlignment="1" applyBorder="1" applyFont="1">
      <alignment shrinkToFit="0" wrapText="1"/>
    </xf>
    <xf borderId="13" fillId="19" fontId="27" numFmtId="0" xfId="0" applyAlignment="1" applyBorder="1" applyFont="1">
      <alignment shrinkToFit="0" vertical="center" wrapText="1"/>
    </xf>
    <xf borderId="13" fillId="19" fontId="27" numFmtId="0" xfId="0" applyAlignment="1" applyBorder="1" applyFont="1">
      <alignment horizontal="right" shrinkToFit="0" vertical="center" wrapText="1"/>
    </xf>
    <xf borderId="13" fillId="0" fontId="18" numFmtId="0" xfId="0" applyAlignment="1" applyBorder="1" applyFont="1">
      <alignment horizontal="left" shrinkToFit="0" wrapText="1"/>
    </xf>
    <xf borderId="13" fillId="19" fontId="27" numFmtId="0" xfId="0" applyAlignment="1" applyBorder="1" applyFont="1">
      <alignment shrinkToFit="0" wrapText="1"/>
    </xf>
    <xf borderId="49" fillId="18" fontId="29" numFmtId="0" xfId="0" applyAlignment="1" applyBorder="1" applyFont="1">
      <alignment horizontal="left" vertical="top"/>
    </xf>
    <xf borderId="13" fillId="19" fontId="27" numFmtId="10" xfId="0" applyAlignment="1" applyBorder="1" applyFont="1" applyNumberFormat="1">
      <alignment shrinkToFit="0" vertical="top" wrapText="1"/>
    </xf>
    <xf borderId="13" fillId="0" fontId="18" numFmtId="0" xfId="0" applyAlignment="1" applyBorder="1" applyFont="1">
      <alignment horizontal="center" shrinkToFit="0" wrapText="1"/>
    </xf>
    <xf borderId="13" fillId="19" fontId="27" numFmtId="0" xfId="0" applyAlignment="1" applyBorder="1" applyFont="1">
      <alignment horizontal="center" vertical="top"/>
    </xf>
    <xf borderId="13" fillId="19" fontId="27" numFmtId="167" xfId="0" applyAlignment="1" applyBorder="1" applyFont="1" applyNumberFormat="1">
      <alignment horizontal="left" shrinkToFit="0" vertical="top" wrapText="1"/>
    </xf>
    <xf borderId="13" fillId="19" fontId="27" numFmtId="167" xfId="0" applyAlignment="1" applyBorder="1" applyFont="1" applyNumberFormat="1">
      <alignment horizontal="center" vertical="center"/>
    </xf>
    <xf borderId="13" fillId="19" fontId="27" numFmtId="167" xfId="0" applyAlignment="1" applyBorder="1" applyFont="1" applyNumberFormat="1">
      <alignment horizontal="left" shrinkToFit="0" vertical="center" wrapText="1"/>
    </xf>
    <xf borderId="13" fillId="19" fontId="27" numFmtId="0" xfId="0" applyAlignment="1" applyBorder="1" applyFont="1">
      <alignment horizontal="center" vertical="center"/>
    </xf>
    <xf borderId="13" fillId="19" fontId="27" numFmtId="0" xfId="0" applyAlignment="1" applyBorder="1" applyFont="1">
      <alignment horizontal="left" vertical="top"/>
    </xf>
    <xf borderId="13" fillId="0" fontId="27" numFmtId="0" xfId="0" applyAlignment="1" applyBorder="1" applyFont="1">
      <alignment horizontal="center" vertical="top"/>
    </xf>
    <xf borderId="13" fillId="0" fontId="27" numFmtId="167" xfId="0" applyAlignment="1" applyBorder="1" applyFont="1" applyNumberFormat="1">
      <alignment horizontal="left" shrinkToFit="0" vertical="top" wrapText="1"/>
    </xf>
    <xf borderId="13" fillId="0" fontId="27" numFmtId="167" xfId="0" applyAlignment="1" applyBorder="1" applyFont="1" applyNumberFormat="1">
      <alignment horizontal="center" vertical="center"/>
    </xf>
    <xf borderId="13" fillId="0" fontId="27" numFmtId="167" xfId="0" applyAlignment="1" applyBorder="1" applyFont="1" applyNumberFormat="1">
      <alignment horizontal="left" shrinkToFit="0" vertical="center" wrapText="1"/>
    </xf>
    <xf borderId="13" fillId="0" fontId="27" numFmtId="0" xfId="0" applyAlignment="1" applyBorder="1" applyFont="1">
      <alignment horizontal="center" vertical="center"/>
    </xf>
    <xf borderId="13" fillId="0" fontId="27" numFmtId="0" xfId="0" applyAlignment="1" applyBorder="1" applyFont="1">
      <alignment horizontal="left" vertical="top"/>
    </xf>
    <xf borderId="0" fillId="0" fontId="30" numFmtId="0" xfId="0" applyAlignment="1" applyFont="1">
      <alignment horizontal="center" vertical="center"/>
    </xf>
    <xf borderId="13" fillId="17" fontId="31" numFmtId="0" xfId="0" applyAlignment="1" applyBorder="1" applyFont="1">
      <alignment horizontal="center" shrinkToFit="0" vertical="center" wrapText="1"/>
    </xf>
    <xf borderId="13" fillId="17" fontId="28" numFmtId="0" xfId="0" applyAlignment="1" applyBorder="1" applyFont="1">
      <alignment horizontal="center" shrinkToFit="0" vertical="top" wrapText="1"/>
    </xf>
    <xf borderId="13" fillId="17" fontId="31" numFmtId="0" xfId="0" applyAlignment="1" applyBorder="1" applyFont="1">
      <alignment horizontal="center" shrinkToFit="0" vertical="top" wrapText="1"/>
    </xf>
    <xf borderId="13" fillId="0" fontId="31" numFmtId="0" xfId="0" applyAlignment="1" applyBorder="1" applyFont="1">
      <alignment horizontal="center" shrinkToFit="0" vertical="top" wrapText="1"/>
    </xf>
    <xf borderId="13" fillId="17" fontId="31" numFmtId="10" xfId="0" applyAlignment="1" applyBorder="1" applyFont="1" applyNumberFormat="1">
      <alignment horizontal="center" shrinkToFit="0" vertical="top" wrapText="1"/>
    </xf>
    <xf borderId="13" fillId="17" fontId="31" numFmtId="10" xfId="0" applyAlignment="1" applyBorder="1" applyFont="1" applyNumberFormat="1">
      <alignment horizontal="center" shrinkToFit="0" vertical="center" wrapText="1"/>
    </xf>
    <xf borderId="13" fillId="0" fontId="31" numFmtId="10" xfId="0" applyAlignment="1" applyBorder="1" applyFont="1" applyNumberFormat="1">
      <alignment horizontal="center" shrinkToFit="0" vertical="top" wrapText="1"/>
    </xf>
    <xf borderId="0" fillId="0" fontId="1" numFmtId="0" xfId="0" applyAlignment="1" applyFont="1">
      <alignment horizontal="center" vertical="center"/>
    </xf>
    <xf borderId="0" fillId="0" fontId="1" numFmtId="0" xfId="0" applyAlignment="1" applyFont="1">
      <alignment vertical="center"/>
    </xf>
    <xf borderId="50" fillId="0" fontId="4" numFmtId="0" xfId="0" applyAlignment="1" applyBorder="1" applyFont="1">
      <alignment horizontal="center" shrinkToFit="0" wrapText="1"/>
    </xf>
    <xf borderId="50" fillId="0" fontId="3" numFmtId="0" xfId="0" applyBorder="1" applyFont="1"/>
    <xf borderId="51" fillId="0" fontId="1" numFmtId="0" xfId="0" applyAlignment="1" applyBorder="1" applyFont="1">
      <alignment horizontal="center" shrinkToFit="0" vertical="center" wrapText="1"/>
    </xf>
    <xf borderId="0" fillId="0" fontId="4" numFmtId="0" xfId="0" applyAlignment="1" applyFont="1">
      <alignment horizontal="center" shrinkToFit="0" wrapText="1"/>
    </xf>
    <xf borderId="52" fillId="0" fontId="3" numFmtId="0" xfId="0" applyBorder="1" applyFont="1"/>
    <xf borderId="52" fillId="0" fontId="1" numFmtId="0" xfId="0" applyAlignment="1" applyBorder="1" applyFont="1">
      <alignment horizontal="center" shrinkToFit="0" vertical="center" wrapText="1"/>
    </xf>
    <xf borderId="44" fillId="0" fontId="1" numFmtId="0" xfId="0" applyBorder="1" applyFont="1"/>
    <xf borderId="44" fillId="0" fontId="1" numFmtId="0" xfId="0" applyAlignment="1" applyBorder="1" applyFont="1">
      <alignment shrinkToFit="0" wrapText="1"/>
    </xf>
    <xf borderId="44" fillId="0" fontId="1" numFmtId="0" xfId="0" applyAlignment="1" applyBorder="1" applyFont="1">
      <alignment horizontal="left" shrinkToFit="0" vertical="top" wrapText="1"/>
    </xf>
    <xf borderId="44" fillId="0" fontId="1" numFmtId="0" xfId="0" applyAlignment="1" applyBorder="1" applyFont="1">
      <alignment vertical="center"/>
    </xf>
    <xf borderId="44" fillId="0" fontId="1" numFmtId="0" xfId="0" applyAlignment="1" applyBorder="1" applyFont="1">
      <alignment horizontal="left" shrinkToFit="0" vertical="center" wrapText="1"/>
    </xf>
    <xf borderId="53" fillId="0" fontId="1" numFmtId="0" xfId="0" applyAlignment="1" applyBorder="1" applyFont="1">
      <alignment shrinkToFit="0" wrapText="1"/>
    </xf>
    <xf borderId="54" fillId="26" fontId="2" numFmtId="0" xfId="0" applyAlignment="1" applyBorder="1" applyFont="1">
      <alignment horizontal="center" shrinkToFit="0" vertical="center" wrapText="1"/>
    </xf>
    <xf borderId="55" fillId="6" fontId="2" numFmtId="0" xfId="0" applyAlignment="1" applyBorder="1" applyFont="1">
      <alignment horizontal="center" shrinkToFit="0" vertical="center" wrapText="1"/>
    </xf>
    <xf borderId="55" fillId="25" fontId="2" numFmtId="0" xfId="0" applyAlignment="1" applyBorder="1" applyFont="1">
      <alignment horizontal="center" shrinkToFit="0" vertical="center" wrapText="1"/>
    </xf>
    <xf borderId="55" fillId="26" fontId="2" numFmtId="0" xfId="0" applyAlignment="1" applyBorder="1" applyFont="1">
      <alignment horizontal="left" shrinkToFit="0" vertical="top" wrapText="1"/>
    </xf>
    <xf borderId="54" fillId="30" fontId="2" numFmtId="0" xfId="0" applyAlignment="1" applyBorder="1" applyFill="1" applyFont="1">
      <alignment horizontal="center" shrinkToFit="0" vertical="center" wrapText="1"/>
    </xf>
    <xf borderId="54" fillId="30" fontId="2" numFmtId="0" xfId="0" applyAlignment="1" applyBorder="1" applyFont="1">
      <alignment horizontal="left" shrinkToFit="0" vertical="top" wrapText="1"/>
    </xf>
    <xf borderId="44" fillId="0" fontId="1" numFmtId="0" xfId="0" applyAlignment="1" applyBorder="1" applyFont="1">
      <alignment horizontal="center" vertical="center"/>
    </xf>
    <xf borderId="56" fillId="30" fontId="2" numFmtId="0" xfId="0" applyAlignment="1" applyBorder="1" applyFont="1">
      <alignment horizontal="center" shrinkToFit="0" vertical="center" wrapText="1"/>
    </xf>
    <xf borderId="55" fillId="31" fontId="2" numFmtId="0" xfId="0" applyAlignment="1" applyBorder="1" applyFill="1" applyFont="1">
      <alignment horizontal="center" shrinkToFit="0" vertical="center" wrapText="1"/>
    </xf>
    <xf borderId="57" fillId="31" fontId="2" numFmtId="0" xfId="0" applyAlignment="1" applyBorder="1" applyFont="1">
      <alignment horizontal="center" shrinkToFit="0" vertical="center" wrapText="1"/>
    </xf>
    <xf borderId="58" fillId="0" fontId="3" numFmtId="0" xfId="0" applyBorder="1" applyFont="1"/>
    <xf borderId="59" fillId="6" fontId="2" numFmtId="0" xfId="0" applyAlignment="1" applyBorder="1" applyFont="1">
      <alignment horizontal="center" shrinkToFit="0" vertical="center" wrapText="1"/>
    </xf>
    <xf borderId="59" fillId="25" fontId="2" numFmtId="0" xfId="0" applyAlignment="1" applyBorder="1" applyFont="1">
      <alignment horizontal="center" shrinkToFit="0" vertical="center" wrapText="1"/>
    </xf>
    <xf borderId="59" fillId="26" fontId="2" numFmtId="0" xfId="0" applyAlignment="1" applyBorder="1" applyFont="1">
      <alignment horizontal="left" shrinkToFit="0" vertical="top" wrapText="1"/>
    </xf>
    <xf borderId="59" fillId="26" fontId="2" numFmtId="0" xfId="0" applyAlignment="1" applyBorder="1" applyFont="1">
      <alignment horizontal="center" shrinkToFit="0" vertical="center" wrapText="1"/>
    </xf>
    <xf borderId="59" fillId="30" fontId="2" numFmtId="0" xfId="0" applyAlignment="1" applyBorder="1" applyFont="1">
      <alignment horizontal="center" shrinkToFit="0" vertical="center" wrapText="1"/>
    </xf>
    <xf borderId="60" fillId="0" fontId="3" numFmtId="0" xfId="0" applyBorder="1" applyFont="1"/>
    <xf borderId="11" fillId="31" fontId="2" numFmtId="0" xfId="0" applyAlignment="1" applyBorder="1" applyFont="1">
      <alignment horizontal="center" shrinkToFit="0" vertical="center" wrapText="1"/>
    </xf>
    <xf borderId="59" fillId="31" fontId="2" numFmtId="0" xfId="0" applyAlignment="1" applyBorder="1" applyFont="1">
      <alignment horizontal="center" shrinkToFit="0" vertical="center" wrapText="1"/>
    </xf>
    <xf borderId="59" fillId="26" fontId="2" numFmtId="0" xfId="0" applyAlignment="1" applyBorder="1" applyFont="1">
      <alignment horizontal="center" shrinkToFit="0" wrapText="1"/>
    </xf>
    <xf borderId="59" fillId="6" fontId="2" numFmtId="0" xfId="0" applyAlignment="1" applyBorder="1" applyFont="1">
      <alignment horizontal="center" shrinkToFit="0" wrapText="1"/>
    </xf>
    <xf borderId="59" fillId="25" fontId="2" numFmtId="0" xfId="0" applyAlignment="1" applyBorder="1" applyFont="1">
      <alignment horizontal="center" shrinkToFit="0" wrapText="1"/>
    </xf>
    <xf borderId="59" fillId="30" fontId="2" numFmtId="0" xfId="0" applyAlignment="1" applyBorder="1" applyFont="1">
      <alignment horizontal="center" shrinkToFit="0" wrapText="1"/>
    </xf>
    <xf borderId="59" fillId="30" fontId="2" numFmtId="0" xfId="0" applyAlignment="1" applyBorder="1" applyFont="1">
      <alignment horizontal="left" shrinkToFit="0" vertical="top" wrapText="1"/>
    </xf>
    <xf borderId="61" fillId="30" fontId="2" numFmtId="0" xfId="0" applyAlignment="1" applyBorder="1" applyFont="1">
      <alignment horizontal="center" shrinkToFit="0" wrapText="1"/>
    </xf>
    <xf borderId="13" fillId="30" fontId="2" numFmtId="0" xfId="0" applyAlignment="1" applyBorder="1" applyFont="1">
      <alignment horizontal="center" shrinkToFit="0" wrapText="1"/>
    </xf>
    <xf borderId="49" fillId="30" fontId="2" numFmtId="0" xfId="0" applyAlignment="1" applyBorder="1" applyFont="1">
      <alignment horizontal="center" shrinkToFit="0" wrapText="1"/>
    </xf>
    <xf borderId="62" fillId="30" fontId="2" numFmtId="0" xfId="0" applyAlignment="1" applyBorder="1" applyFont="1">
      <alignment horizontal="center" shrinkToFit="0" wrapText="1"/>
    </xf>
    <xf borderId="46" fillId="21" fontId="24" numFmtId="0" xfId="0" applyAlignment="1" applyBorder="1" applyFont="1">
      <alignment shrinkToFit="0" wrapText="1"/>
    </xf>
    <xf borderId="49" fillId="28" fontId="25" numFmtId="0" xfId="0" applyAlignment="1" applyBorder="1" applyFont="1">
      <alignment horizontal="left" shrinkToFit="0" vertical="center" wrapText="1"/>
    </xf>
    <xf borderId="13" fillId="0" fontId="27" numFmtId="0" xfId="0" applyAlignment="1" applyBorder="1" applyFont="1">
      <alignment horizontal="left" shrinkToFit="0" vertical="center" wrapText="1"/>
    </xf>
    <xf borderId="13" fillId="0" fontId="6" numFmtId="0" xfId="0" applyAlignment="1" applyBorder="1" applyFont="1">
      <alignment shrinkToFit="0" wrapText="1"/>
    </xf>
    <xf borderId="13" fillId="0" fontId="32" numFmtId="0" xfId="0" applyAlignment="1" applyBorder="1" applyFont="1">
      <alignment horizontal="center" shrinkToFit="0" vertical="center" wrapText="1"/>
    </xf>
    <xf borderId="13" fillId="19" fontId="27" numFmtId="0" xfId="0" applyAlignment="1" applyBorder="1" applyFont="1">
      <alignment horizontal="left" shrinkToFit="0" vertical="center" wrapText="1"/>
    </xf>
    <xf borderId="13" fillId="0" fontId="6" numFmtId="10" xfId="0" applyAlignment="1" applyBorder="1" applyFont="1" applyNumberFormat="1">
      <alignment shrinkToFit="0" wrapText="1"/>
    </xf>
    <xf borderId="13" fillId="0" fontId="27" numFmtId="167" xfId="0" applyAlignment="1" applyBorder="1" applyFont="1" applyNumberFormat="1">
      <alignment horizontal="right" shrinkToFit="0" vertical="top" wrapText="1"/>
    </xf>
    <xf borderId="13" fillId="19" fontId="27" numFmtId="167" xfId="0" applyAlignment="1" applyBorder="1" applyFont="1" applyNumberFormat="1">
      <alignment horizontal="right" shrinkToFit="0" vertical="top" wrapText="1"/>
    </xf>
    <xf borderId="13" fillId="19" fontId="27" numFmtId="0" xfId="0" applyAlignment="1" applyBorder="1" applyFont="1">
      <alignment horizontal="left"/>
    </xf>
    <xf borderId="13" fillId="0" fontId="27" numFmtId="0" xfId="0" applyAlignment="1" applyBorder="1" applyFont="1">
      <alignment horizontal="left"/>
    </xf>
    <xf borderId="13" fillId="28" fontId="25" numFmtId="0" xfId="0" applyAlignment="1" applyBorder="1" applyFont="1">
      <alignment horizontal="center" shrinkToFit="0" vertical="center" wrapText="1"/>
    </xf>
    <xf borderId="18" fillId="21" fontId="24" numFmtId="0" xfId="0" applyAlignment="1" applyBorder="1" applyFont="1">
      <alignment shrinkToFit="0" wrapText="1"/>
    </xf>
    <xf borderId="13" fillId="0" fontId="27" numFmtId="0" xfId="0" applyAlignment="1" applyBorder="1" applyFont="1">
      <alignment horizontal="center" shrinkToFit="0" wrapText="1"/>
    </xf>
    <xf borderId="13" fillId="0" fontId="27" numFmtId="0" xfId="0" applyAlignment="1" applyBorder="1" applyFont="1">
      <alignment horizontal="left" vertical="center"/>
    </xf>
    <xf borderId="13" fillId="19" fontId="27" numFmtId="0" xfId="0" applyAlignment="1" applyBorder="1" applyFont="1">
      <alignment horizontal="center" shrinkToFit="0" wrapText="1"/>
    </xf>
    <xf borderId="13" fillId="19" fontId="27" numFmtId="0" xfId="0" applyAlignment="1" applyBorder="1" applyFont="1">
      <alignment horizontal="left" vertical="center"/>
    </xf>
    <xf borderId="13" fillId="0" fontId="27" numFmtId="0" xfId="0" applyAlignment="1" applyBorder="1" applyFont="1">
      <alignment horizontal="center" shrinkToFit="0" vertical="top" wrapText="1"/>
    </xf>
    <xf borderId="13" fillId="19" fontId="27" numFmtId="0" xfId="0" applyAlignment="1" applyBorder="1" applyFont="1">
      <alignment horizontal="center" shrinkToFit="0" vertical="top" wrapText="1"/>
    </xf>
    <xf borderId="13" fillId="19" fontId="27" numFmtId="3" xfId="0" applyAlignment="1" applyBorder="1" applyFont="1" applyNumberFormat="1">
      <alignment horizontal="left" vertical="center"/>
    </xf>
    <xf borderId="13" fillId="0" fontId="27" numFmtId="3" xfId="0" applyAlignment="1" applyBorder="1" applyFont="1" applyNumberFormat="1">
      <alignment horizontal="left" vertical="center"/>
    </xf>
    <xf borderId="13" fillId="0" fontId="27" numFmtId="3" xfId="0" applyAlignment="1" applyBorder="1" applyFont="1" applyNumberFormat="1">
      <alignment horizontal="center" vertical="center"/>
    </xf>
    <xf borderId="13" fillId="19" fontId="27" numFmtId="168" xfId="0" applyAlignment="1" applyBorder="1" applyFont="1" applyNumberFormat="1">
      <alignment horizontal="center" vertical="center"/>
    </xf>
    <xf borderId="13" fillId="0" fontId="27" numFmtId="168" xfId="0" applyAlignment="1" applyBorder="1" applyFont="1" applyNumberFormat="1">
      <alignment horizontal="center" vertical="center"/>
    </xf>
    <xf borderId="13" fillId="0" fontId="27" numFmtId="168" xfId="0" applyAlignment="1" applyBorder="1" applyFont="1" applyNumberFormat="1">
      <alignment horizontal="left" vertical="center"/>
    </xf>
    <xf borderId="13" fillId="19" fontId="27" numFmtId="168" xfId="0" applyAlignment="1" applyBorder="1" applyFont="1" applyNumberFormat="1">
      <alignment horizontal="left" vertical="center"/>
    </xf>
    <xf borderId="13" fillId="0" fontId="30" numFmtId="0" xfId="0" applyAlignment="1" applyBorder="1" applyFont="1">
      <alignment horizontal="left" vertical="center"/>
    </xf>
    <xf borderId="13" fillId="0" fontId="27" numFmtId="10" xfId="0" applyAlignment="1" applyBorder="1" applyFont="1" applyNumberFormat="1">
      <alignment horizontal="center" shrinkToFit="0" vertical="top" wrapText="1"/>
    </xf>
    <xf borderId="13" fillId="19" fontId="6" numFmtId="0" xfId="0" applyAlignment="1" applyBorder="1" applyFont="1">
      <alignment vertical="top"/>
    </xf>
    <xf borderId="13" fillId="0" fontId="1" numFmtId="0" xfId="0" applyAlignment="1" applyBorder="1" applyFont="1">
      <alignment shrinkToFit="0" wrapText="1"/>
    </xf>
    <xf borderId="13" fillId="0" fontId="27" numFmtId="0" xfId="0" applyAlignment="1" applyBorder="1" applyFont="1">
      <alignment horizontal="center"/>
    </xf>
    <xf borderId="13" fillId="0" fontId="27" numFmtId="0" xfId="0" applyAlignment="1" applyBorder="1" applyFont="1">
      <alignment horizontal="left" shrinkToFit="0" wrapText="1"/>
    </xf>
    <xf borderId="13" fillId="32" fontId="27" numFmtId="0" xfId="0" applyAlignment="1" applyBorder="1" applyFill="1" applyFont="1">
      <alignment horizontal="center" shrinkToFit="0" wrapText="1"/>
    </xf>
    <xf borderId="13" fillId="19" fontId="27" numFmtId="0" xfId="0" applyAlignment="1" applyBorder="1" applyFont="1">
      <alignment horizontal="center"/>
    </xf>
    <xf borderId="13" fillId="19" fontId="27" numFmtId="0" xfId="0" applyAlignment="1" applyBorder="1" applyFont="1">
      <alignment vertical="top"/>
    </xf>
    <xf borderId="13" fillId="0" fontId="27" numFmtId="0" xfId="0" applyAlignment="1" applyBorder="1" applyFont="1">
      <alignment vertical="top"/>
    </xf>
    <xf borderId="13" fillId="19" fontId="6" numFmtId="0" xfId="0" applyBorder="1" applyFont="1"/>
    <xf borderId="13" fillId="19" fontId="6" numFmtId="0" xfId="0" applyAlignment="1" applyBorder="1" applyFont="1">
      <alignment shrinkToFit="0" wrapText="1"/>
    </xf>
    <xf borderId="13" fillId="19" fontId="6" numFmtId="0" xfId="0" applyAlignment="1" applyBorder="1" applyFont="1">
      <alignment horizontal="left" shrinkToFit="0" vertical="top" wrapText="1"/>
    </xf>
    <xf borderId="13" fillId="19" fontId="6" numFmtId="0" xfId="0" applyAlignment="1" applyBorder="1" applyFont="1">
      <alignment vertical="center"/>
    </xf>
    <xf borderId="13" fillId="19" fontId="6" numFmtId="0" xfId="0" applyAlignment="1" applyBorder="1" applyFont="1">
      <alignment horizontal="left" shrinkToFit="0" vertical="center" wrapText="1"/>
    </xf>
    <xf borderId="13" fillId="0" fontId="6" numFmtId="0" xfId="0" applyBorder="1" applyFont="1"/>
    <xf borderId="13" fillId="0" fontId="6" numFmtId="0" xfId="0" applyAlignment="1" applyBorder="1" applyFont="1">
      <alignment vertical="center"/>
    </xf>
    <xf borderId="13" fillId="19" fontId="6" numFmtId="10" xfId="0" applyAlignment="1" applyBorder="1" applyFont="1" applyNumberFormat="1">
      <alignment horizontal="left" shrinkToFit="0" vertical="center" wrapText="1"/>
    </xf>
    <xf borderId="13" fillId="19" fontId="27" numFmtId="10" xfId="0" applyAlignment="1" applyBorder="1" applyFont="1" applyNumberFormat="1">
      <alignment horizontal="left" shrinkToFit="0" vertical="top" wrapText="1"/>
    </xf>
    <xf borderId="13" fillId="19" fontId="27" numFmtId="10" xfId="0" applyAlignment="1" applyBorder="1" applyFont="1" applyNumberFormat="1">
      <alignment horizontal="center" vertical="top"/>
    </xf>
    <xf borderId="13" fillId="19" fontId="27" numFmtId="10" xfId="0" applyAlignment="1" applyBorder="1" applyFont="1" applyNumberFormat="1">
      <alignment horizontal="center" shrinkToFit="0" vertical="top" wrapText="1"/>
    </xf>
    <xf borderId="0" fillId="0" fontId="1" numFmtId="0" xfId="0" applyAlignment="1" applyFont="1">
      <alignment horizontal="left" shrinkToFit="0" vertical="top" wrapText="1"/>
    </xf>
    <xf borderId="0" fillId="0" fontId="1" numFmtId="0" xfId="0" applyAlignment="1" applyFont="1">
      <alignment horizontal="left" shrinkToFit="0" vertical="center" wrapText="1"/>
    </xf>
    <xf borderId="0" fillId="0" fontId="2" numFmtId="0" xfId="0" applyAlignment="1" applyFont="1">
      <alignment horizontal="left" shrinkToFit="0" vertical="center" wrapText="1"/>
    </xf>
    <xf borderId="2" fillId="33" fontId="2" numFmtId="0" xfId="0" applyAlignment="1" applyBorder="1" applyFill="1" applyFont="1">
      <alignment horizontal="left" shrinkToFit="0" vertical="center" wrapText="1"/>
    </xf>
    <xf borderId="21" fillId="33" fontId="2" numFmtId="0" xfId="0" applyAlignment="1" applyBorder="1" applyFont="1">
      <alignment shrinkToFit="0" vertical="top" wrapText="1"/>
    </xf>
    <xf borderId="21" fillId="33" fontId="6" numFmtId="0" xfId="0" applyAlignment="1" applyBorder="1" applyFont="1">
      <alignment shrinkToFit="0" vertical="top" wrapText="1"/>
    </xf>
    <xf borderId="14" fillId="12" fontId="2" numFmtId="0" xfId="0" applyAlignment="1" applyBorder="1" applyFont="1">
      <alignment horizontal="center" shrinkToFit="0" vertical="center" wrapText="1"/>
    </xf>
    <xf borderId="18" fillId="12" fontId="2" numFmtId="0" xfId="0" applyAlignment="1" applyBorder="1" applyFont="1">
      <alignment horizontal="center" shrinkToFit="0" vertical="center" wrapText="1"/>
    </xf>
    <xf borderId="13" fillId="12" fontId="2" numFmtId="0" xfId="0" applyAlignment="1" applyBorder="1" applyFont="1">
      <alignment shrinkToFit="0" vertical="center" wrapText="1"/>
    </xf>
    <xf borderId="13" fillId="34" fontId="2" numFmtId="0" xfId="0" applyAlignment="1" applyBorder="1" applyFill="1" applyFont="1">
      <alignment horizontal="center" shrinkToFit="0" vertical="center" wrapText="1"/>
    </xf>
    <xf borderId="63" fillId="35" fontId="7" numFmtId="0" xfId="0" applyAlignment="1" applyBorder="1" applyFill="1" applyFont="1">
      <alignment horizontal="center" shrinkToFit="0" vertical="top" wrapText="1"/>
    </xf>
    <xf borderId="18" fillId="35" fontId="7" numFmtId="0" xfId="0" applyAlignment="1" applyBorder="1" applyFont="1">
      <alignment horizontal="center" shrinkToFit="0" vertical="top" wrapText="1"/>
    </xf>
    <xf borderId="14" fillId="15" fontId="19" numFmtId="2" xfId="0" applyAlignment="1" applyBorder="1" applyFont="1" applyNumberFormat="1">
      <alignment horizontal="center" shrinkToFit="0" vertical="center" wrapText="1"/>
    </xf>
    <xf borderId="14" fillId="33" fontId="2" numFmtId="0" xfId="0" applyAlignment="1" applyBorder="1" applyFont="1">
      <alignment horizontal="center" shrinkToFit="0" vertical="center" wrapText="1"/>
    </xf>
    <xf borderId="13" fillId="35" fontId="7" numFmtId="0" xfId="0" applyAlignment="1" applyBorder="1" applyFont="1">
      <alignment horizontal="center" shrinkToFit="0" vertical="top" wrapText="1"/>
    </xf>
    <xf borderId="13" fillId="35" fontId="7" numFmtId="0" xfId="0" applyAlignment="1" applyBorder="1" applyFont="1">
      <alignment horizontal="center" shrinkToFit="0" vertical="center" wrapText="1"/>
    </xf>
    <xf borderId="13" fillId="20" fontId="2" numFmtId="0" xfId="0" applyAlignment="1" applyBorder="1" applyFont="1">
      <alignment horizontal="center" shrinkToFit="0" vertical="top" wrapText="1"/>
    </xf>
    <xf borderId="23" fillId="20" fontId="2" numFmtId="0" xfId="0" applyAlignment="1" applyBorder="1" applyFont="1">
      <alignment horizontal="center" shrinkToFit="0" vertical="top" wrapText="1"/>
    </xf>
    <xf borderId="13" fillId="20" fontId="2" numFmtId="0" xfId="0" applyAlignment="1" applyBorder="1" applyFont="1">
      <alignment horizontal="center" shrinkToFit="0" vertical="center" wrapText="1"/>
    </xf>
    <xf borderId="13" fillId="14" fontId="17" numFmtId="2" xfId="0" applyAlignment="1" applyBorder="1" applyFont="1" applyNumberFormat="1">
      <alignment horizontal="center" shrinkToFit="0" vertical="center" wrapText="1"/>
    </xf>
    <xf borderId="13" fillId="33" fontId="2" numFmtId="0" xfId="0" applyAlignment="1" applyBorder="1" applyFont="1">
      <alignment horizontal="center" shrinkToFit="0" vertical="top" wrapText="1"/>
    </xf>
    <xf borderId="13" fillId="33" fontId="4" numFmtId="0" xfId="0" applyAlignment="1" applyBorder="1" applyFont="1">
      <alignment horizontal="center" shrinkToFit="0" vertical="top" wrapText="1"/>
    </xf>
    <xf borderId="64" fillId="18" fontId="6" numFmtId="0" xfId="0" applyAlignment="1" applyBorder="1" applyFont="1">
      <alignment horizontal="center" shrinkToFit="0" vertical="top" wrapText="1"/>
    </xf>
    <xf borderId="14" fillId="36" fontId="14" numFmtId="0" xfId="0" applyAlignment="1" applyBorder="1" applyFill="1" applyFont="1">
      <alignment vertical="top"/>
    </xf>
    <xf borderId="14" fillId="0" fontId="14" numFmtId="0" xfId="0" applyAlignment="1" applyBorder="1" applyFont="1">
      <alignment horizontal="center" vertical="top"/>
    </xf>
    <xf borderId="27" fillId="0" fontId="14" numFmtId="0" xfId="0" applyAlignment="1" applyBorder="1" applyFont="1">
      <alignment horizontal="left" shrinkToFit="0" vertical="top" wrapText="1"/>
    </xf>
    <xf borderId="14" fillId="0" fontId="33" numFmtId="0" xfId="0" applyAlignment="1" applyBorder="1" applyFont="1">
      <alignment horizontal="right" vertical="top"/>
    </xf>
    <xf borderId="54" fillId="37" fontId="6" numFmtId="0" xfId="0" applyAlignment="1" applyBorder="1" applyFill="1" applyFont="1">
      <alignment horizontal="left" shrinkToFit="0" vertical="center" wrapText="1"/>
    </xf>
    <xf borderId="54" fillId="37" fontId="6" numFmtId="0" xfId="0" applyAlignment="1" applyBorder="1" applyFont="1">
      <alignment horizontal="center" vertical="center"/>
    </xf>
    <xf borderId="65" fillId="0" fontId="14" numFmtId="2" xfId="0" applyAlignment="1" applyBorder="1" applyFont="1" applyNumberFormat="1">
      <alignment horizontal="center" vertical="center"/>
    </xf>
    <xf borderId="14" fillId="33" fontId="6" numFmtId="0" xfId="0" applyAlignment="1" applyBorder="1" applyFont="1">
      <alignment horizontal="center" shrinkToFit="0" vertical="top" wrapText="1"/>
    </xf>
    <xf borderId="66" fillId="0" fontId="3" numFmtId="0" xfId="0" applyBorder="1" applyFont="1"/>
    <xf borderId="67" fillId="0" fontId="3" numFmtId="0" xfId="0" applyBorder="1" applyFont="1"/>
    <xf borderId="65" fillId="0" fontId="3" numFmtId="0" xfId="0" applyBorder="1" applyFont="1"/>
    <xf borderId="68" fillId="0" fontId="3" numFmtId="0" xfId="0" applyBorder="1" applyFont="1"/>
    <xf borderId="69" fillId="0" fontId="3" numFmtId="0" xfId="0" applyBorder="1" applyFont="1"/>
    <xf borderId="11" fillId="13" fontId="1" numFmtId="0" xfId="0" applyAlignment="1" applyBorder="1" applyFont="1">
      <alignment vertical="top"/>
    </xf>
    <xf borderId="11" fillId="13" fontId="18" numFmtId="0" xfId="0" applyAlignment="1" applyBorder="1" applyFont="1">
      <alignment vertical="top"/>
    </xf>
    <xf borderId="59" fillId="13" fontId="18" numFmtId="0" xfId="0" applyAlignment="1" applyBorder="1" applyFont="1">
      <alignment horizontal="center" vertical="center"/>
    </xf>
    <xf borderId="11" fillId="13" fontId="19" numFmtId="0" xfId="0" applyAlignment="1" applyBorder="1" applyFont="1">
      <alignment horizontal="center" shrinkToFit="0" vertical="top" wrapText="1"/>
    </xf>
    <xf borderId="12" fillId="0" fontId="19" numFmtId="0" xfId="0" applyAlignment="1" applyBorder="1" applyFont="1">
      <alignment vertical="top"/>
    </xf>
    <xf borderId="59" fillId="13" fontId="19" numFmtId="0" xfId="0" applyAlignment="1" applyBorder="1" applyFont="1">
      <alignment horizontal="left" vertical="top"/>
    </xf>
    <xf borderId="11" fillId="14" fontId="19" numFmtId="0" xfId="0" applyAlignment="1" applyBorder="1" applyFont="1">
      <alignment horizontal="center" vertical="center"/>
    </xf>
    <xf borderId="13" fillId="14" fontId="19" numFmtId="2" xfId="0" applyAlignment="1" applyBorder="1" applyFont="1" applyNumberFormat="1">
      <alignment horizontal="center" shrinkToFit="0" vertical="center" wrapText="1"/>
    </xf>
    <xf borderId="65" fillId="0" fontId="14" numFmtId="0" xfId="0" applyAlignment="1" applyBorder="1" applyFont="1">
      <alignment horizontal="left" shrinkToFit="0" vertical="top" wrapText="1"/>
    </xf>
    <xf borderId="66" fillId="0" fontId="33" numFmtId="0" xfId="0" applyAlignment="1" applyBorder="1" applyFont="1">
      <alignment horizontal="right" vertical="top"/>
    </xf>
    <xf borderId="11" fillId="18" fontId="1" numFmtId="0" xfId="0" applyAlignment="1" applyBorder="1" applyFont="1">
      <alignment vertical="top"/>
    </xf>
    <xf borderId="12" fillId="0" fontId="14" numFmtId="0" xfId="0" applyAlignment="1" applyBorder="1" applyFont="1">
      <alignment vertical="top"/>
    </xf>
    <xf borderId="11" fillId="13" fontId="19" numFmtId="0" xfId="0" applyAlignment="1" applyBorder="1" applyFont="1">
      <alignment horizontal="left" vertical="top"/>
    </xf>
    <xf borderId="14" fillId="37" fontId="6" numFmtId="0" xfId="0" applyAlignment="1" applyBorder="1" applyFont="1">
      <alignment shrinkToFit="0" vertical="top" wrapText="1"/>
    </xf>
    <xf borderId="14" fillId="37" fontId="6" numFmtId="0" xfId="0" applyAlignment="1" applyBorder="1" applyFont="1">
      <alignment horizontal="center" shrinkToFit="0" vertical="top" wrapText="1"/>
    </xf>
    <xf borderId="70" fillId="36" fontId="14" numFmtId="0" xfId="0" applyAlignment="1" applyBorder="1" applyFont="1">
      <alignment vertical="top"/>
    </xf>
    <xf borderId="66" fillId="0" fontId="14" numFmtId="0" xfId="0" applyAlignment="1" applyBorder="1" applyFont="1">
      <alignment horizontal="center" vertical="top"/>
    </xf>
    <xf borderId="14" fillId="38" fontId="6" numFmtId="0" xfId="0" applyAlignment="1" applyBorder="1" applyFill="1" applyFont="1">
      <alignment shrinkToFit="0" vertical="top" wrapText="1"/>
    </xf>
    <xf borderId="14" fillId="38" fontId="6" numFmtId="0" xfId="0" applyAlignment="1" applyBorder="1" applyFont="1">
      <alignment horizontal="center" shrinkToFit="0" vertical="top" wrapText="1"/>
    </xf>
    <xf borderId="70" fillId="36" fontId="34" numFmtId="0" xfId="0" applyAlignment="1" applyBorder="1" applyFont="1">
      <alignment vertical="top"/>
    </xf>
    <xf borderId="66" fillId="0" fontId="14" numFmtId="0" xfId="0" applyAlignment="1" applyBorder="1" applyFont="1">
      <alignment horizontal="right" vertical="top"/>
    </xf>
    <xf borderId="71" fillId="0" fontId="14" numFmtId="0" xfId="0" applyAlignment="1" applyBorder="1" applyFont="1">
      <alignment horizontal="center" vertical="top"/>
    </xf>
    <xf borderId="71" fillId="0" fontId="3" numFmtId="0" xfId="0" applyBorder="1" applyFont="1"/>
    <xf borderId="72" fillId="0" fontId="3" numFmtId="0" xfId="0" applyBorder="1" applyFont="1"/>
    <xf borderId="73" fillId="13" fontId="18" numFmtId="0" xfId="0" applyAlignment="1" applyBorder="1" applyFont="1">
      <alignment vertical="top"/>
    </xf>
    <xf borderId="12" fillId="0" fontId="13" numFmtId="0" xfId="0" applyAlignment="1" applyBorder="1" applyFont="1">
      <alignment vertical="top"/>
    </xf>
    <xf borderId="73" fillId="14" fontId="19" numFmtId="0" xfId="0" applyAlignment="1" applyBorder="1" applyFont="1">
      <alignment horizontal="center" vertical="center"/>
    </xf>
    <xf borderId="14" fillId="18" fontId="6" numFmtId="0" xfId="0" applyAlignment="1" applyBorder="1" applyFont="1">
      <alignment horizontal="center" shrinkToFit="0" vertical="top" wrapText="1"/>
    </xf>
    <xf borderId="14" fillId="0" fontId="14" numFmtId="0" xfId="0" applyAlignment="1" applyBorder="1" applyFont="1">
      <alignment horizontal="left" shrinkToFit="0" vertical="top" wrapText="1"/>
    </xf>
    <xf borderId="11" fillId="37" fontId="6" numFmtId="0" xfId="0" applyAlignment="1" applyBorder="1" applyFont="1">
      <alignment shrinkToFit="0" vertical="top" wrapText="1"/>
    </xf>
    <xf borderId="11" fillId="37" fontId="6" numFmtId="0" xfId="0" applyAlignment="1" applyBorder="1" applyFont="1">
      <alignment horizontal="center" shrinkToFit="0" vertical="center" wrapText="1"/>
    </xf>
    <xf borderId="11" fillId="37" fontId="6" numFmtId="0" xfId="0" applyAlignment="1" applyBorder="1" applyFont="1">
      <alignment shrinkToFit="0" wrapText="1"/>
    </xf>
    <xf borderId="11" fillId="37" fontId="6" numFmtId="0" xfId="0" applyAlignment="1" applyBorder="1" applyFont="1">
      <alignment horizontal="center" vertical="center"/>
    </xf>
    <xf borderId="14" fillId="0" fontId="14" numFmtId="0" xfId="0" applyAlignment="1" applyBorder="1" applyFont="1">
      <alignment vertical="top"/>
    </xf>
    <xf borderId="18" fillId="13" fontId="2" numFmtId="0" xfId="0" applyAlignment="1" applyBorder="1" applyFont="1">
      <alignment horizontal="center" shrinkToFit="0" vertical="top" wrapText="1"/>
    </xf>
    <xf borderId="11" fillId="14" fontId="19" numFmtId="3" xfId="0" applyAlignment="1" applyBorder="1" applyFont="1" applyNumberFormat="1">
      <alignment horizontal="center" vertical="center"/>
    </xf>
    <xf borderId="65" fillId="0" fontId="6" numFmtId="2" xfId="0" applyAlignment="1" applyBorder="1" applyFont="1" applyNumberFormat="1">
      <alignment horizontal="center"/>
    </xf>
    <xf borderId="13" fillId="0" fontId="28" numFmtId="0" xfId="0" applyAlignment="1" applyBorder="1" applyFont="1">
      <alignment horizontal="center" shrinkToFit="0" vertical="top" wrapText="1"/>
    </xf>
    <xf borderId="13" fillId="0" fontId="28" numFmtId="0" xfId="0" applyAlignment="1" applyBorder="1" applyFont="1">
      <alignment shrinkToFit="0" vertical="top" wrapText="1"/>
    </xf>
    <xf borderId="65" fillId="0" fontId="35" numFmtId="0" xfId="0" applyBorder="1" applyFont="1"/>
    <xf borderId="14" fillId="37" fontId="36" numFmtId="0" xfId="0" applyAlignment="1" applyBorder="1" applyFont="1">
      <alignment vertical="top"/>
    </xf>
    <xf borderId="65" fillId="0" fontId="6" numFmtId="2" xfId="0" applyAlignment="1" applyBorder="1" applyFont="1" applyNumberFormat="1">
      <alignment horizontal="center" vertical="center"/>
    </xf>
    <xf borderId="11" fillId="14" fontId="19" numFmtId="169" xfId="0" applyAlignment="1" applyBorder="1" applyFont="1" applyNumberFormat="1">
      <alignment horizontal="center" vertical="center"/>
    </xf>
    <xf borderId="66" fillId="0" fontId="14" numFmtId="0" xfId="0" applyAlignment="1" applyBorder="1" applyFont="1">
      <alignment vertical="top"/>
    </xf>
    <xf borderId="14" fillId="0" fontId="28" numFmtId="0" xfId="0" applyAlignment="1" applyBorder="1" applyFont="1">
      <alignment horizontal="left" shrinkToFit="0" vertical="top" wrapText="1"/>
    </xf>
    <xf borderId="70" fillId="38" fontId="6" numFmtId="0" xfId="0" applyAlignment="1" applyBorder="1" applyFont="1">
      <alignment shrinkToFit="0" vertical="top" wrapText="1"/>
    </xf>
    <xf borderId="74" fillId="0" fontId="6" numFmtId="0" xfId="0" applyAlignment="1" applyBorder="1" applyFont="1">
      <alignment horizontal="center" shrinkToFit="0" vertical="top" wrapText="1"/>
    </xf>
    <xf borderId="74" fillId="0" fontId="3" numFmtId="0" xfId="0" applyBorder="1" applyFont="1"/>
    <xf borderId="14" fillId="36" fontId="14" numFmtId="0" xfId="0" applyAlignment="1" applyBorder="1" applyFont="1">
      <alignment horizontal="left" vertical="top"/>
    </xf>
    <xf borderId="54" fillId="37" fontId="6" numFmtId="0" xfId="0" applyAlignment="1" applyBorder="1" applyFont="1">
      <alignment horizontal="left" shrinkToFit="0" vertical="top" wrapText="1"/>
    </xf>
    <xf borderId="14" fillId="18" fontId="6" numFmtId="0" xfId="0" applyAlignment="1" applyBorder="1" applyFont="1">
      <alignment horizontal="left" shrinkToFit="0" vertical="top" wrapText="1"/>
    </xf>
    <xf borderId="75" fillId="13" fontId="18" numFmtId="0" xfId="0" applyAlignment="1" applyBorder="1" applyFont="1">
      <alignment horizontal="center" vertical="center"/>
    </xf>
    <xf quotePrefix="1" borderId="14" fillId="37" fontId="6" numFmtId="0" xfId="0" applyAlignment="1" applyBorder="1" applyFont="1">
      <alignment shrinkToFit="0" vertical="top" wrapText="1"/>
    </xf>
    <xf borderId="65" fillId="0" fontId="14" numFmtId="0" xfId="0" applyAlignment="1" applyBorder="1" applyFont="1">
      <alignment shrinkToFit="0" vertical="top" wrapText="1"/>
    </xf>
    <xf borderId="11" fillId="13" fontId="18" numFmtId="0" xfId="0" applyAlignment="1" applyBorder="1" applyFont="1">
      <alignment shrinkToFit="0" vertical="top" wrapText="1"/>
    </xf>
    <xf borderId="45" fillId="0" fontId="14" numFmtId="0" xfId="0" applyAlignment="1" applyBorder="1" applyFont="1">
      <alignment shrinkToFit="0" vertical="top" wrapText="1"/>
    </xf>
    <xf borderId="13" fillId="0" fontId="6" numFmtId="0" xfId="0" applyAlignment="1" applyBorder="1" applyFont="1">
      <alignment horizontal="left" vertical="top"/>
    </xf>
    <xf borderId="14" fillId="0" fontId="37" numFmtId="0" xfId="0" applyAlignment="1" applyBorder="1" applyFont="1">
      <alignment vertical="top"/>
    </xf>
    <xf borderId="59" fillId="37" fontId="6" numFmtId="0" xfId="0" applyAlignment="1" applyBorder="1" applyFont="1">
      <alignment horizontal="center" vertical="center"/>
    </xf>
    <xf borderId="14" fillId="37" fontId="13" numFmtId="0" xfId="0" applyAlignment="1" applyBorder="1" applyFont="1">
      <alignment horizontal="center" shrinkToFit="0" vertical="top" wrapText="1"/>
    </xf>
    <xf borderId="76" fillId="0" fontId="3" numFmtId="0" xfId="0" applyBorder="1" applyFont="1"/>
    <xf borderId="0" fillId="0" fontId="6" numFmtId="0" xfId="0" applyAlignment="1" applyFont="1">
      <alignment horizontal="center" shrinkToFit="0" vertical="center" wrapText="1"/>
    </xf>
    <xf borderId="13" fillId="0" fontId="14" numFmtId="2" xfId="0" applyAlignment="1" applyBorder="1" applyFont="1" applyNumberFormat="1">
      <alignment horizontal="center" shrinkToFit="0" vertical="center" wrapText="1"/>
    </xf>
    <xf borderId="13" fillId="0" fontId="1" numFmtId="2" xfId="0" applyAlignment="1" applyBorder="1" applyFont="1" applyNumberFormat="1">
      <alignment horizontal="center" shrinkToFit="0" vertical="center" wrapText="1"/>
    </xf>
    <xf borderId="21" fillId="33" fontId="1" numFmtId="0" xfId="0" applyBorder="1" applyFont="1"/>
    <xf borderId="0" fillId="0" fontId="2" numFmtId="0" xfId="0" applyAlignment="1" applyFont="1">
      <alignment shrinkToFit="0" vertical="top" wrapText="1"/>
    </xf>
    <xf borderId="18" fillId="12" fontId="2" numFmtId="0" xfId="0" applyAlignment="1" applyBorder="1" applyFont="1">
      <alignment horizontal="center" shrinkToFit="0" vertical="top" wrapText="1"/>
    </xf>
    <xf borderId="14" fillId="18" fontId="2" numFmtId="0" xfId="0" applyAlignment="1" applyBorder="1" applyFont="1">
      <alignment horizontal="center" shrinkToFit="0" vertical="top" wrapText="1"/>
    </xf>
    <xf borderId="14" fillId="39" fontId="2" numFmtId="0" xfId="0" applyAlignment="1" applyBorder="1" applyFill="1" applyFont="1">
      <alignment horizontal="center" shrinkToFit="0" wrapText="1"/>
    </xf>
    <xf borderId="14" fillId="31" fontId="2" numFmtId="0" xfId="0" applyAlignment="1" applyBorder="1" applyFont="1">
      <alignment horizontal="center" shrinkToFit="0" vertical="center" wrapText="1"/>
    </xf>
    <xf borderId="14" fillId="39" fontId="2" numFmtId="0" xfId="0" applyAlignment="1" applyBorder="1" applyFont="1">
      <alignment horizontal="center" shrinkToFit="0" vertical="center" wrapText="1"/>
    </xf>
    <xf borderId="14" fillId="35" fontId="22" numFmtId="0" xfId="0" applyAlignment="1" applyBorder="1" applyFont="1">
      <alignment horizontal="center" shrinkToFit="0" vertical="center" wrapText="1"/>
    </xf>
    <xf borderId="13" fillId="14" fontId="4" numFmtId="0" xfId="0" applyAlignment="1" applyBorder="1" applyFont="1">
      <alignment horizontal="center" shrinkToFit="0" vertical="top" wrapText="1"/>
    </xf>
    <xf borderId="13" fillId="13" fontId="1" numFmtId="0" xfId="0" applyAlignment="1" applyBorder="1" applyFont="1">
      <alignment vertical="top"/>
    </xf>
    <xf borderId="13" fillId="40" fontId="4" numFmtId="0" xfId="0" applyAlignment="1" applyBorder="1" applyFill="1" applyFont="1">
      <alignment horizontal="center" shrinkToFit="0" vertical="top" wrapText="1"/>
    </xf>
    <xf borderId="11" fillId="13" fontId="2" numFmtId="0" xfId="0" applyAlignment="1" applyBorder="1" applyFont="1">
      <alignment horizontal="center" shrinkToFit="0" vertical="top" wrapText="1"/>
    </xf>
    <xf borderId="14" fillId="0" fontId="1" numFmtId="0" xfId="0" applyAlignment="1" applyBorder="1" applyFont="1">
      <alignment horizontal="center" shrinkToFit="0" vertical="top" wrapText="1"/>
    </xf>
    <xf borderId="14" fillId="0" fontId="1" numFmtId="0" xfId="0" applyAlignment="1" applyBorder="1" applyFont="1">
      <alignment horizontal="left" shrinkToFit="0" vertical="top" wrapText="1"/>
    </xf>
    <xf borderId="13" fillId="41" fontId="6" numFmtId="0" xfId="0" applyAlignment="1" applyBorder="1" applyFill="1" applyFont="1">
      <alignment horizontal="center" shrinkToFit="0" vertical="top" wrapText="1"/>
    </xf>
    <xf borderId="20" fillId="0" fontId="6" numFmtId="0" xfId="0" applyAlignment="1" applyBorder="1" applyFont="1">
      <alignment shrinkToFit="0" vertical="top" wrapText="1"/>
    </xf>
    <xf borderId="27" fillId="0" fontId="38" numFmtId="0" xfId="0" applyAlignment="1" applyBorder="1" applyFont="1">
      <alignment horizontal="center" shrinkToFit="0" vertical="top" wrapText="1"/>
    </xf>
    <xf borderId="77" fillId="37" fontId="39" numFmtId="0" xfId="0" applyAlignment="1" applyBorder="1" applyFont="1">
      <alignment shrinkToFit="0" vertical="top" wrapText="1"/>
    </xf>
    <xf borderId="27" fillId="0" fontId="6" numFmtId="0" xfId="0" applyAlignment="1" applyBorder="1" applyFont="1">
      <alignment horizontal="center" shrinkToFit="0" vertical="top" wrapText="1"/>
    </xf>
    <xf borderId="77" fillId="40" fontId="6" numFmtId="0" xfId="0" applyAlignment="1" applyBorder="1" applyFont="1">
      <alignment horizontal="center" shrinkToFit="0" vertical="top" wrapText="1"/>
    </xf>
    <xf borderId="14" fillId="37" fontId="40" numFmtId="0" xfId="0" applyAlignment="1" applyBorder="1" applyFont="1">
      <alignment shrinkToFit="0" vertical="center" wrapText="1"/>
    </xf>
    <xf borderId="11" fillId="18" fontId="6" numFmtId="0" xfId="0" applyAlignment="1" applyBorder="1" applyFont="1">
      <alignment horizontal="center" shrinkToFit="0" vertical="top" wrapText="1"/>
    </xf>
    <xf borderId="45" fillId="0" fontId="6" numFmtId="0" xfId="0" applyAlignment="1" applyBorder="1" applyFont="1">
      <alignment shrinkToFit="0" vertical="top" wrapText="1"/>
    </xf>
    <xf borderId="77" fillId="37" fontId="38" numFmtId="0" xfId="0" applyAlignment="1" applyBorder="1" applyFont="1">
      <alignment shrinkToFit="0" vertical="top" wrapText="1"/>
    </xf>
    <xf borderId="14" fillId="42" fontId="41" numFmtId="0" xfId="0" applyAlignment="1" applyBorder="1" applyFill="1" applyFont="1">
      <alignment horizontal="center" shrinkToFit="0" vertical="top" wrapText="1"/>
    </xf>
    <xf borderId="11" fillId="41" fontId="6" numFmtId="0" xfId="0" applyAlignment="1" applyBorder="1" applyFont="1">
      <alignment horizontal="center" shrinkToFit="0" vertical="top" wrapText="1"/>
    </xf>
    <xf borderId="65" fillId="0" fontId="38" numFmtId="0" xfId="0" applyAlignment="1" applyBorder="1" applyFont="1">
      <alignment horizontal="center" shrinkToFit="0" vertical="top" wrapText="1"/>
    </xf>
    <xf borderId="54" fillId="37" fontId="39" numFmtId="0" xfId="0" applyAlignment="1" applyBorder="1" applyFont="1">
      <alignment shrinkToFit="0" vertical="top" wrapText="1"/>
    </xf>
    <xf borderId="65" fillId="0" fontId="6" numFmtId="0" xfId="0" applyAlignment="1" applyBorder="1" applyFont="1">
      <alignment horizontal="center" shrinkToFit="0" vertical="top" wrapText="1"/>
    </xf>
    <xf borderId="54" fillId="40" fontId="6" numFmtId="0" xfId="0" applyAlignment="1" applyBorder="1" applyFont="1">
      <alignment horizontal="center" shrinkToFit="0" vertical="top" wrapText="1"/>
    </xf>
    <xf borderId="59" fillId="18" fontId="6" numFmtId="0" xfId="0" applyAlignment="1" applyBorder="1" applyFont="1">
      <alignment shrinkToFit="0" vertical="top" wrapText="1"/>
    </xf>
    <xf borderId="59" fillId="37" fontId="6" numFmtId="0" xfId="0" applyAlignment="1" applyBorder="1" applyFont="1">
      <alignment shrinkToFit="0" vertical="top" wrapText="1"/>
    </xf>
    <xf borderId="11" fillId="18" fontId="28" numFmtId="0" xfId="0" applyAlignment="1" applyBorder="1" applyFont="1">
      <alignment horizontal="center" shrinkToFit="0" vertical="top" wrapText="1"/>
    </xf>
    <xf borderId="59" fillId="37" fontId="28" numFmtId="0" xfId="0" applyAlignment="1" applyBorder="1" applyFont="1">
      <alignment shrinkToFit="0" vertical="top" wrapText="1"/>
    </xf>
    <xf borderId="11" fillId="41" fontId="28" numFmtId="0" xfId="0" applyAlignment="1" applyBorder="1" applyFont="1">
      <alignment horizontal="center" shrinkToFit="0" vertical="top" wrapText="1"/>
    </xf>
    <xf borderId="14" fillId="37" fontId="42" numFmtId="0" xfId="0" applyAlignment="1" applyBorder="1" applyFont="1">
      <alignment shrinkToFit="0" vertical="center" wrapText="1"/>
    </xf>
    <xf borderId="13" fillId="13" fontId="43" numFmtId="0" xfId="0" applyAlignment="1" applyBorder="1" applyFont="1">
      <alignment horizontal="center" shrinkToFit="0" vertical="top" wrapText="1"/>
    </xf>
    <xf borderId="18" fillId="13" fontId="43" numFmtId="0" xfId="0" applyAlignment="1" applyBorder="1" applyFont="1">
      <alignment horizontal="left" shrinkToFit="0" vertical="top" wrapText="1"/>
    </xf>
    <xf borderId="49" fillId="37" fontId="6" numFmtId="0" xfId="0" applyAlignment="1" applyBorder="1" applyFont="1">
      <alignment shrinkToFit="0" vertical="top" wrapText="1"/>
    </xf>
    <xf borderId="14" fillId="0" fontId="44" numFmtId="0" xfId="0" applyAlignment="1" applyBorder="1" applyFont="1">
      <alignment shrinkToFit="0" wrapText="1"/>
    </xf>
    <xf borderId="0" fillId="0" fontId="38" numFmtId="0" xfId="0" applyAlignment="1" applyFont="1">
      <alignment horizontal="center" shrinkToFit="0" vertical="top" wrapText="1"/>
    </xf>
    <xf borderId="14" fillId="0" fontId="45" numFmtId="0" xfId="0" applyBorder="1" applyFont="1"/>
    <xf borderId="77" fillId="43" fontId="6" numFmtId="0" xfId="0" applyAlignment="1" applyBorder="1" applyFill="1" applyFont="1">
      <alignment horizontal="center" shrinkToFit="0" vertical="top" wrapText="1"/>
    </xf>
    <xf borderId="14" fillId="0" fontId="46" numFmtId="0" xfId="0" applyAlignment="1" applyBorder="1" applyFont="1">
      <alignment readingOrder="0"/>
    </xf>
    <xf borderId="27" fillId="0" fontId="38" numFmtId="0" xfId="0" applyAlignment="1" applyBorder="1" applyFont="1">
      <alignment shrinkToFit="0" vertical="top" wrapText="1"/>
    </xf>
    <xf borderId="20" fillId="0" fontId="14" numFmtId="0" xfId="0" applyAlignment="1" applyBorder="1" applyFont="1">
      <alignment vertical="top"/>
    </xf>
    <xf borderId="20" fillId="0" fontId="6" numFmtId="0" xfId="0" applyAlignment="1" applyBorder="1" applyFont="1">
      <alignment vertical="top"/>
    </xf>
    <xf borderId="45" fillId="0" fontId="6" numFmtId="0" xfId="0" applyAlignment="1" applyBorder="1" applyFont="1">
      <alignment vertical="top"/>
    </xf>
    <xf borderId="18" fillId="13" fontId="2" numFmtId="0" xfId="0" applyAlignment="1" applyBorder="1" applyFont="1">
      <alignment horizontal="left" readingOrder="0" shrinkToFit="0" vertical="top" wrapText="1"/>
    </xf>
    <xf borderId="54" fillId="37" fontId="47" numFmtId="0" xfId="0" applyAlignment="1" applyBorder="1" applyFont="1">
      <alignment shrinkToFit="0" vertical="top" wrapText="1"/>
    </xf>
    <xf borderId="78" fillId="18" fontId="6" numFmtId="0" xfId="0" applyAlignment="1" applyBorder="1" applyFont="1">
      <alignment horizontal="center" shrinkToFit="0" vertical="top" wrapText="1"/>
    </xf>
    <xf borderId="79" fillId="0" fontId="6" numFmtId="0" xfId="0" applyAlignment="1" applyBorder="1" applyFont="1">
      <alignment shrinkToFit="0" vertical="top" wrapText="1"/>
    </xf>
    <xf borderId="21" fillId="18" fontId="6" numFmtId="0" xfId="0" applyAlignment="1" applyBorder="1" applyFont="1">
      <alignment horizontal="center" shrinkToFit="0" vertical="top" wrapText="1"/>
    </xf>
    <xf borderId="80" fillId="0" fontId="4" numFmtId="0" xfId="0" applyAlignment="1" applyBorder="1" applyFont="1">
      <alignment horizontal="center" shrinkToFit="0" vertical="top" wrapText="1"/>
    </xf>
    <xf borderId="44" fillId="0" fontId="2" numFmtId="0" xfId="0" applyAlignment="1" applyBorder="1" applyFont="1">
      <alignment horizontal="left" shrinkToFit="0" vertical="center" wrapText="1"/>
    </xf>
    <xf borderId="0" fillId="0" fontId="2" numFmtId="0" xfId="0" applyAlignment="1" applyFont="1">
      <alignment shrinkToFit="0" vertical="center" wrapText="1"/>
    </xf>
    <xf borderId="21" fillId="18" fontId="2" numFmtId="0" xfId="0" applyAlignment="1" applyBorder="1" applyFont="1">
      <alignment shrinkToFit="0" vertical="top" wrapText="1"/>
    </xf>
    <xf borderId="81" fillId="12" fontId="2" numFmtId="0" xfId="0" applyAlignment="1" applyBorder="1" applyFont="1">
      <alignment horizontal="center" shrinkToFit="0" vertical="center" wrapText="1"/>
    </xf>
    <xf borderId="70" fillId="12" fontId="2" numFmtId="0" xfId="0" applyAlignment="1" applyBorder="1" applyFont="1">
      <alignment horizontal="center" shrinkToFit="0" vertical="center" wrapText="1"/>
    </xf>
    <xf borderId="46" fillId="12" fontId="2" numFmtId="0" xfId="0" applyAlignment="1" applyBorder="1" applyFont="1">
      <alignment horizontal="center" shrinkToFit="0" vertical="center" wrapText="1"/>
    </xf>
    <xf borderId="70" fillId="18" fontId="2" numFmtId="0" xfId="0" applyAlignment="1" applyBorder="1" applyFont="1">
      <alignment horizontal="center" shrinkToFit="0" vertical="center" wrapText="1"/>
    </xf>
    <xf borderId="64" fillId="12" fontId="2" numFmtId="0" xfId="0" applyAlignment="1" applyBorder="1" applyFont="1">
      <alignment horizontal="center" shrinkToFit="0" vertical="center" wrapText="1"/>
    </xf>
    <xf borderId="14" fillId="18" fontId="2" numFmtId="0" xfId="0" applyAlignment="1" applyBorder="1" applyFont="1">
      <alignment horizontal="center" shrinkToFit="0" vertical="center" wrapText="1"/>
    </xf>
    <xf borderId="82" fillId="0" fontId="3" numFmtId="0" xfId="0" applyBorder="1" applyFont="1"/>
    <xf borderId="83" fillId="0" fontId="3" numFmtId="0" xfId="0" applyBorder="1" applyFont="1"/>
    <xf borderId="11" fillId="12" fontId="2" numFmtId="0" xfId="0" applyAlignment="1" applyBorder="1" applyFont="1">
      <alignment horizontal="center" shrinkToFit="0" vertical="center" wrapText="1"/>
    </xf>
    <xf borderId="84" fillId="0" fontId="3" numFmtId="0" xfId="0" applyBorder="1" applyFont="1"/>
    <xf borderId="85" fillId="13" fontId="2" numFmtId="0" xfId="0" applyAlignment="1" applyBorder="1" applyFont="1">
      <alignment horizontal="center" shrinkToFit="0" vertical="top" wrapText="1"/>
    </xf>
    <xf borderId="86" fillId="0" fontId="3" numFmtId="0" xfId="0" applyBorder="1" applyFont="1"/>
    <xf borderId="11" fillId="14" fontId="4" numFmtId="0" xfId="0" applyAlignment="1" applyBorder="1" applyFont="1">
      <alignment horizontal="center" shrinkToFit="0" vertical="top" wrapText="1"/>
    </xf>
    <xf borderId="11" fillId="18" fontId="4" numFmtId="0" xfId="0" applyAlignment="1" applyBorder="1" applyFont="1">
      <alignment horizontal="center" shrinkToFit="0" vertical="top" wrapText="1"/>
    </xf>
    <xf borderId="87" fillId="0" fontId="6" numFmtId="0" xfId="0" applyAlignment="1" applyBorder="1" applyFont="1">
      <alignment horizontal="center" shrinkToFit="0" vertical="top" wrapText="1"/>
    </xf>
    <xf borderId="14" fillId="0" fontId="48" numFmtId="0" xfId="0" applyAlignment="1" applyBorder="1" applyFont="1">
      <alignment shrinkToFit="0" wrapText="1"/>
    </xf>
    <xf borderId="88" fillId="0" fontId="3" numFmtId="0" xfId="0" applyBorder="1" applyFont="1"/>
    <xf borderId="13" fillId="18" fontId="4" numFmtId="0" xfId="0" applyAlignment="1" applyBorder="1" applyFont="1">
      <alignment horizontal="center" shrinkToFit="0" vertical="top" wrapText="1"/>
    </xf>
    <xf borderId="89" fillId="0" fontId="3" numFmtId="0" xfId="0" applyBorder="1" applyFont="1"/>
    <xf borderId="77" fillId="18" fontId="6" numFmtId="0" xfId="0" applyAlignment="1" applyBorder="1" applyFont="1">
      <alignment horizontal="center" shrinkToFit="0" vertical="top" wrapText="1"/>
    </xf>
    <xf quotePrefix="1" borderId="14" fillId="0" fontId="6" numFmtId="0" xfId="0" applyAlignment="1" applyBorder="1" applyFont="1">
      <alignment shrinkToFit="0" vertical="top" wrapText="1"/>
    </xf>
    <xf borderId="54" fillId="37" fontId="38" numFmtId="0" xfId="0" applyAlignment="1" applyBorder="1" applyFont="1">
      <alignment shrinkToFit="0" vertical="top" wrapText="1"/>
    </xf>
    <xf borderId="13" fillId="0" fontId="49" numFmtId="0" xfId="0" applyAlignment="1" applyBorder="1" applyFont="1">
      <alignment shrinkToFit="0" wrapText="1"/>
    </xf>
    <xf borderId="14" fillId="0" fontId="1" numFmtId="0" xfId="0" applyAlignment="1" applyBorder="1" applyFont="1">
      <alignment shrinkToFit="0" wrapText="1"/>
    </xf>
    <xf borderId="90" fillId="13" fontId="2" numFmtId="0" xfId="0" applyAlignment="1" applyBorder="1" applyFont="1">
      <alignment horizontal="center" shrinkToFit="0" vertical="top" wrapText="1"/>
    </xf>
    <xf borderId="54" fillId="18" fontId="6" numFmtId="0" xfId="0" applyAlignment="1" applyBorder="1" applyFont="1">
      <alignment horizontal="center" shrinkToFit="0" vertical="top" wrapText="1"/>
    </xf>
    <xf borderId="34" fillId="13" fontId="2" numFmtId="169" xfId="0" applyAlignment="1" applyBorder="1" applyFont="1" applyNumberFormat="1">
      <alignment horizontal="center" shrinkToFit="0" vertical="top" wrapText="1"/>
    </xf>
    <xf borderId="88" fillId="0" fontId="6" numFmtId="0" xfId="0" applyAlignment="1" applyBorder="1" applyFont="1">
      <alignment horizontal="center" shrinkToFit="0" vertical="top" wrapText="1"/>
    </xf>
    <xf borderId="66" fillId="0" fontId="6" numFmtId="0" xfId="0" applyAlignment="1" applyBorder="1" applyFont="1">
      <alignment horizontal="left" shrinkToFit="0" vertical="top" wrapText="1"/>
    </xf>
    <xf borderId="87" fillId="18" fontId="6" numFmtId="0" xfId="0" applyAlignment="1" applyBorder="1" applyFont="1">
      <alignment horizontal="center" shrinkToFit="0" vertical="top" wrapText="1"/>
    </xf>
    <xf borderId="77" fillId="18" fontId="38" numFmtId="0" xfId="0" applyAlignment="1" applyBorder="1" applyFont="1">
      <alignment shrinkToFit="0" vertical="top" wrapText="1"/>
    </xf>
    <xf borderId="66" fillId="0" fontId="6" numFmtId="0" xfId="0" applyAlignment="1" applyBorder="1" applyFont="1">
      <alignment horizontal="center" shrinkToFit="0" vertical="top" wrapText="1"/>
    </xf>
    <xf borderId="91" fillId="0" fontId="6" numFmtId="0" xfId="0" applyAlignment="1" applyBorder="1" applyFont="1">
      <alignment horizontal="center" shrinkToFit="0" vertical="top" wrapText="1"/>
    </xf>
    <xf borderId="80" fillId="0" fontId="3" numFmtId="0" xfId="0" applyBorder="1" applyFont="1"/>
    <xf borderId="41" fillId="0" fontId="3" numFmtId="0" xfId="0" applyBorder="1" applyFont="1"/>
    <xf borderId="92" fillId="0" fontId="3" numFmtId="0" xfId="0" applyBorder="1" applyFont="1"/>
    <xf borderId="21" fillId="18" fontId="6" numFmtId="0" xfId="0" applyAlignment="1" applyBorder="1" applyFont="1">
      <alignment shrinkToFit="0" vertical="top" wrapText="1"/>
    </xf>
    <xf borderId="13" fillId="36" fontId="19" numFmtId="0" xfId="0" applyAlignment="1" applyBorder="1" applyFont="1">
      <alignment horizontal="left" shrinkToFit="0" vertical="top" wrapText="1"/>
    </xf>
    <xf borderId="49" fillId="14" fontId="17" numFmtId="3" xfId="0" applyAlignment="1" applyBorder="1" applyFont="1" applyNumberFormat="1">
      <alignment horizontal="center" vertical="top"/>
    </xf>
    <xf borderId="13" fillId="44" fontId="4" numFmtId="0" xfId="0" applyAlignment="1" applyBorder="1" applyFill="1" applyFont="1">
      <alignment horizontal="center" shrinkToFit="0" vertical="top" wrapText="1"/>
    </xf>
    <xf borderId="13" fillId="0" fontId="2" numFmtId="0" xfId="0" applyAlignment="1" applyBorder="1" applyFont="1">
      <alignment horizontal="center" shrinkToFit="0" vertical="top" wrapText="1"/>
    </xf>
    <xf borderId="13" fillId="14" fontId="6" numFmtId="0" xfId="0" applyAlignment="1" applyBorder="1" applyFont="1">
      <alignment horizontal="center" shrinkToFit="0" vertical="top" wrapText="1"/>
    </xf>
    <xf borderId="66" fillId="0" fontId="14" numFmtId="0" xfId="0" applyAlignment="1" applyBorder="1" applyFont="1">
      <alignment horizontal="left" shrinkToFit="0" vertical="top" wrapText="1"/>
    </xf>
    <xf borderId="14" fillId="40" fontId="6" numFmtId="0" xfId="0" applyAlignment="1" applyBorder="1" applyFont="1">
      <alignment horizontal="center" shrinkToFit="0" vertical="top" wrapText="1"/>
    </xf>
    <xf borderId="14" fillId="44" fontId="6" numFmtId="0" xfId="0" applyAlignment="1" applyBorder="1" applyFont="1">
      <alignment horizontal="center" shrinkToFit="0" vertical="top" wrapText="1"/>
    </xf>
    <xf borderId="14" fillId="0" fontId="50" numFmtId="0" xfId="0" applyAlignment="1" applyBorder="1" applyFont="1">
      <alignment shrinkToFit="0" wrapText="1"/>
    </xf>
    <xf borderId="12" fillId="0" fontId="6" numFmtId="0" xfId="0" applyAlignment="1" applyBorder="1" applyFont="1">
      <alignment horizontal="center" shrinkToFit="0" vertical="top" wrapText="1"/>
    </xf>
    <xf borderId="65" fillId="0" fontId="1" numFmtId="0" xfId="0" applyBorder="1" applyFont="1"/>
    <xf borderId="66" fillId="0" fontId="1" numFmtId="0" xfId="0" applyBorder="1" applyFont="1"/>
    <xf borderId="71" fillId="0" fontId="1" numFmtId="0" xfId="0" applyBorder="1" applyFont="1"/>
    <xf borderId="45" fillId="0" fontId="1" numFmtId="0" xfId="0" applyBorder="1" applyFont="1"/>
    <xf borderId="12" fillId="0" fontId="1" numFmtId="0" xfId="0" applyBorder="1" applyFont="1"/>
    <xf borderId="72" fillId="0" fontId="1" numFmtId="0" xfId="0" applyBorder="1" applyFont="1"/>
    <xf borderId="45" fillId="0" fontId="6" numFmtId="0" xfId="0" applyAlignment="1" applyBorder="1" applyFont="1">
      <alignment horizontal="center" shrinkToFit="0" vertical="top" wrapText="1"/>
    </xf>
    <xf borderId="66" fillId="0" fontId="14" numFmtId="0" xfId="0" applyAlignment="1" applyBorder="1" applyFont="1">
      <alignment horizontal="left" shrinkToFit="0" wrapText="1"/>
    </xf>
    <xf borderId="11" fillId="14" fontId="6" numFmtId="0" xfId="0" applyAlignment="1" applyBorder="1" applyFont="1">
      <alignment horizontal="center" shrinkToFit="0" vertical="top" wrapText="1"/>
    </xf>
    <xf borderId="73" fillId="45" fontId="14" numFmtId="0" xfId="0" applyAlignment="1" applyBorder="1" applyFill="1" applyFont="1">
      <alignment horizontal="left" shrinkToFit="0" wrapText="1"/>
    </xf>
    <xf borderId="11" fillId="36" fontId="19" numFmtId="0" xfId="0" applyAlignment="1" applyBorder="1" applyFont="1">
      <alignment horizontal="left" shrinkToFit="0" vertical="top" wrapText="1"/>
    </xf>
    <xf borderId="59" fillId="14" fontId="17" numFmtId="0" xfId="0" applyAlignment="1" applyBorder="1" applyFont="1">
      <alignment horizontal="center" vertical="top"/>
    </xf>
    <xf borderId="20" fillId="0" fontId="6" numFmtId="0" xfId="0" applyAlignment="1" applyBorder="1" applyFont="1">
      <alignment horizontal="center" shrinkToFit="0" vertical="top" wrapText="1"/>
    </xf>
    <xf borderId="59" fillId="14" fontId="6" numFmtId="0" xfId="0" applyAlignment="1" applyBorder="1" applyFont="1">
      <alignment shrinkToFit="0" vertical="top" wrapText="1"/>
    </xf>
    <xf borderId="14" fillId="46" fontId="6" numFmtId="0" xfId="0" applyAlignment="1" applyBorder="1" applyFill="1" applyFont="1">
      <alignment horizontal="center" shrinkToFit="0" vertical="top" wrapText="1"/>
    </xf>
    <xf borderId="59" fillId="14" fontId="17" numFmtId="3" xfId="0" applyAlignment="1" applyBorder="1" applyFont="1" applyNumberFormat="1">
      <alignment horizontal="center" vertical="top"/>
    </xf>
    <xf borderId="12" fillId="0" fontId="28" numFmtId="0" xfId="0" applyAlignment="1" applyBorder="1" applyFont="1">
      <alignment horizontal="center" shrinkToFit="0" vertical="top" wrapText="1"/>
    </xf>
    <xf borderId="11" fillId="14" fontId="28" numFmtId="0" xfId="0" applyAlignment="1" applyBorder="1" applyFont="1">
      <alignment horizontal="center" shrinkToFit="0" vertical="top" wrapText="1"/>
    </xf>
    <xf borderId="13" fillId="0" fontId="28" numFmtId="0" xfId="0" applyAlignment="1" applyBorder="1" applyFont="1">
      <alignment horizontal="left" shrinkToFit="0" vertical="top" wrapText="1"/>
    </xf>
    <xf borderId="13" fillId="13" fontId="2" numFmtId="169" xfId="0" applyAlignment="1" applyBorder="1" applyFont="1" applyNumberFormat="1">
      <alignment horizontal="center" shrinkToFit="0" vertical="top" wrapText="1"/>
    </xf>
    <xf borderId="13" fillId="37" fontId="6" numFmtId="0" xfId="0" applyAlignment="1" applyBorder="1" applyFont="1">
      <alignment horizontal="center" shrinkToFit="0" vertical="top" wrapText="1"/>
    </xf>
    <xf borderId="11" fillId="37" fontId="6" numFmtId="0" xfId="0" applyAlignment="1" applyBorder="1" applyFont="1">
      <alignment horizontal="center" shrinkToFit="0" vertical="top" wrapText="1"/>
    </xf>
    <xf borderId="13" fillId="13" fontId="43" numFmtId="169" xfId="0" applyAlignment="1" applyBorder="1" applyFont="1" applyNumberFormat="1">
      <alignment horizontal="center" shrinkToFit="0" vertical="top" wrapText="1"/>
    </xf>
    <xf borderId="11" fillId="36" fontId="51" numFmtId="0" xfId="0" applyAlignment="1" applyBorder="1" applyFont="1">
      <alignment horizontal="left" shrinkToFit="0" vertical="top" wrapText="1"/>
    </xf>
    <xf borderId="59" fillId="14" fontId="52" numFmtId="169" xfId="0" applyAlignment="1" applyBorder="1" applyFont="1" applyNumberFormat="1">
      <alignment horizontal="center" vertical="top"/>
    </xf>
    <xf borderId="13" fillId="40" fontId="53" numFmtId="0" xfId="0" applyAlignment="1" applyBorder="1" applyFont="1">
      <alignment horizontal="center" shrinkToFit="0" vertical="top" wrapText="1"/>
    </xf>
    <xf borderId="13" fillId="44" fontId="53" numFmtId="0" xfId="0" applyAlignment="1" applyBorder="1" applyFont="1">
      <alignment horizontal="center" shrinkToFit="0" vertical="top" wrapText="1"/>
    </xf>
    <xf borderId="75" fillId="37" fontId="54" numFmtId="0" xfId="0" applyBorder="1" applyFont="1"/>
    <xf borderId="59" fillId="14" fontId="17" numFmtId="169" xfId="0" applyAlignment="1" applyBorder="1" applyFont="1" applyNumberFormat="1">
      <alignment horizontal="center" vertical="top"/>
    </xf>
    <xf borderId="13" fillId="47" fontId="4" numFmtId="0" xfId="0" applyAlignment="1" applyBorder="1" applyFill="1" applyFont="1">
      <alignment horizontal="center" shrinkToFit="0" vertical="top" wrapText="1"/>
    </xf>
    <xf borderId="14" fillId="47" fontId="6" numFmtId="0" xfId="0" applyAlignment="1" applyBorder="1" applyFont="1">
      <alignment horizontal="center" shrinkToFit="0" vertical="top" wrapText="1"/>
    </xf>
    <xf borderId="45" fillId="0" fontId="55" numFmtId="0" xfId="0" applyAlignment="1" applyBorder="1" applyFont="1">
      <alignment shrinkToFit="0" vertical="top" wrapText="1"/>
    </xf>
    <xf borderId="93" fillId="0" fontId="6" numFmtId="0" xfId="0" applyAlignment="1" applyBorder="1" applyFont="1">
      <alignment horizontal="center" shrinkToFit="0" vertical="top" wrapText="1"/>
    </xf>
    <xf borderId="79" fillId="0" fontId="6" numFmtId="0" xfId="0" applyAlignment="1" applyBorder="1" applyFont="1">
      <alignment horizontal="center" shrinkToFit="0" vertical="top" wrapText="1"/>
    </xf>
    <xf borderId="93" fillId="0" fontId="1" numFmtId="0" xfId="0" applyBorder="1" applyFont="1"/>
    <xf borderId="94" fillId="0" fontId="1" numFmtId="0" xfId="0" applyBorder="1" applyFont="1"/>
    <xf borderId="0" fillId="0" fontId="6" numFmtId="3" xfId="0" applyAlignment="1" applyFont="1" applyNumberFormat="1">
      <alignment shrinkToFit="0" vertical="top" wrapText="1"/>
    </xf>
    <xf borderId="38" fillId="0" fontId="4" numFmtId="0" xfId="0" applyAlignment="1" applyBorder="1" applyFont="1">
      <alignment horizontal="center" shrinkToFit="0" vertical="center" wrapText="1"/>
    </xf>
    <xf borderId="38" fillId="0" fontId="2" numFmtId="0" xfId="0" applyAlignment="1" applyBorder="1" applyFont="1">
      <alignment horizontal="left" shrinkToFit="0" vertical="center" wrapText="1"/>
    </xf>
    <xf borderId="39" fillId="0" fontId="2" numFmtId="0" xfId="0" applyAlignment="1" applyBorder="1" applyFont="1">
      <alignment shrinkToFit="0" vertical="center" wrapText="1"/>
    </xf>
    <xf borderId="40" fillId="0" fontId="2" numFmtId="0" xfId="0" applyAlignment="1" applyBorder="1" applyFont="1">
      <alignment shrinkToFit="0" vertical="center" wrapText="1"/>
    </xf>
    <xf borderId="81" fillId="48" fontId="56" numFmtId="0" xfId="0" applyAlignment="1" applyBorder="1" applyFill="1" applyFont="1">
      <alignment horizontal="center" readingOrder="1" shrinkToFit="0" vertical="center" wrapText="1"/>
    </xf>
    <xf borderId="46" fillId="48" fontId="56" numFmtId="0" xfId="0" applyAlignment="1" applyBorder="1" applyFont="1">
      <alignment horizontal="center" readingOrder="1" shrinkToFit="0" vertical="center" wrapText="1"/>
    </xf>
    <xf borderId="95" fillId="48" fontId="56" numFmtId="0" xfId="0" applyAlignment="1" applyBorder="1" applyFont="1">
      <alignment horizontal="center" readingOrder="1" shrinkToFit="0" vertical="center" wrapText="1"/>
    </xf>
    <xf borderId="13" fillId="48" fontId="56" numFmtId="0" xfId="0" applyAlignment="1" applyBorder="1" applyFont="1">
      <alignment horizontal="center" readingOrder="1" shrinkToFit="0" vertical="center" wrapText="1"/>
    </xf>
    <xf borderId="18" fillId="48" fontId="56" numFmtId="0" xfId="0" applyAlignment="1" applyBorder="1" applyFont="1">
      <alignment horizontal="center" readingOrder="1" shrinkToFit="0" vertical="center" wrapText="1"/>
    </xf>
    <xf borderId="96" fillId="0" fontId="3" numFmtId="0" xfId="0" applyBorder="1" applyFont="1"/>
    <xf borderId="34" fillId="0" fontId="19" numFmtId="0" xfId="0" applyAlignment="1" applyBorder="1" applyFont="1">
      <alignment horizontal="center" readingOrder="1" shrinkToFit="0" vertical="top" wrapText="1"/>
    </xf>
    <xf borderId="18" fillId="0" fontId="19" numFmtId="0" xfId="0" applyAlignment="1" applyBorder="1" applyFont="1">
      <alignment horizontal="left" readingOrder="1" shrinkToFit="0" vertical="top" wrapText="1"/>
    </xf>
    <xf borderId="97" fillId="0" fontId="3" numFmtId="0" xfId="0" applyBorder="1" applyFont="1"/>
    <xf borderId="34" fillId="0" fontId="14" numFmtId="0" xfId="0" applyAlignment="1" applyBorder="1" applyFont="1">
      <alignment horizontal="right" readingOrder="1" shrinkToFit="0" vertical="top" wrapText="1"/>
    </xf>
    <xf borderId="13" fillId="0" fontId="6" numFmtId="0" xfId="0" applyAlignment="1" applyBorder="1" applyFont="1">
      <alignment horizontal="left" readingOrder="1" shrinkToFit="0" vertical="top" wrapText="1"/>
    </xf>
    <xf borderId="18" fillId="0" fontId="9" numFmtId="0" xfId="0" applyAlignment="1" applyBorder="1" applyFont="1">
      <alignment horizontal="left" readingOrder="1" shrinkToFit="0" vertical="top" wrapText="1"/>
    </xf>
    <xf borderId="35" fillId="0" fontId="6" numFmtId="0" xfId="0" applyAlignment="1" applyBorder="1" applyFont="1">
      <alignment horizontal="center" shrinkToFit="0" vertical="top" wrapText="1"/>
    </xf>
    <xf borderId="18" fillId="0" fontId="9" numFmtId="0" xfId="0" applyAlignment="1" applyBorder="1" applyFont="1">
      <alignment horizontal="center" readingOrder="1" shrinkToFit="0" vertical="top" wrapText="1"/>
    </xf>
    <xf borderId="18" fillId="0" fontId="2" numFmtId="0" xfId="0" applyAlignment="1" applyBorder="1" applyFont="1">
      <alignment horizontal="left" readingOrder="1" shrinkToFit="0" vertical="top" wrapText="1"/>
    </xf>
    <xf borderId="34" fillId="0" fontId="14" numFmtId="0" xfId="0" applyAlignment="1" applyBorder="1" applyFont="1">
      <alignment horizontal="center" readingOrder="1" shrinkToFit="0" vertical="top" wrapText="1"/>
    </xf>
    <xf borderId="0" fillId="0" fontId="57" numFmtId="0" xfId="0" applyAlignment="1" applyFont="1">
      <alignment horizontal="left" shrinkToFit="0" vertical="center" wrapText="1"/>
    </xf>
    <xf borderId="0" fillId="0" fontId="57" numFmtId="0" xfId="0" applyAlignment="1" applyFont="1">
      <alignment vertical="center"/>
    </xf>
    <xf borderId="44" fillId="0" fontId="58" numFmtId="0" xfId="0" applyAlignment="1" applyBorder="1" applyFont="1">
      <alignment horizontal="right" shrinkToFit="0" vertical="center" wrapText="1"/>
    </xf>
    <xf borderId="0" fillId="0" fontId="58" numFmtId="0" xfId="0" applyAlignment="1" applyFont="1">
      <alignment shrinkToFit="0" vertical="center" wrapText="1"/>
    </xf>
    <xf borderId="14" fillId="49" fontId="2" numFmtId="0" xfId="0" applyAlignment="1" applyBorder="1" applyFill="1" applyFont="1">
      <alignment horizontal="center" shrinkToFit="0" vertical="center" wrapText="1"/>
    </xf>
    <xf borderId="14" fillId="49" fontId="2" numFmtId="0" xfId="0" applyAlignment="1" applyBorder="1" applyFont="1">
      <alignment horizontal="center" vertical="center"/>
    </xf>
    <xf borderId="18" fillId="49" fontId="2" numFmtId="0" xfId="0" applyAlignment="1" applyBorder="1" applyFont="1">
      <alignment horizontal="center" shrinkToFit="0" vertical="center" wrapText="1"/>
    </xf>
    <xf borderId="13" fillId="49" fontId="2" numFmtId="0" xfId="0" applyAlignment="1" applyBorder="1" applyFont="1">
      <alignment horizontal="center" shrinkToFit="0" vertical="center" wrapText="1"/>
    </xf>
    <xf borderId="13" fillId="3" fontId="2" numFmtId="0" xfId="0" applyAlignment="1" applyBorder="1" applyFont="1">
      <alignment horizontal="center" shrinkToFit="0" vertical="center" wrapText="1"/>
    </xf>
    <xf borderId="13" fillId="0" fontId="6" numFmtId="10" xfId="0" applyAlignment="1" applyBorder="1" applyFont="1" applyNumberFormat="1">
      <alignment horizontal="center" shrinkToFit="0" vertical="center" wrapText="1"/>
    </xf>
    <xf borderId="75" fillId="37" fontId="28" numFmtId="0" xfId="0" applyAlignment="1" applyBorder="1" applyFont="1">
      <alignment horizontal="left" shrinkToFit="0" vertical="top" wrapText="1"/>
    </xf>
    <xf borderId="59" fillId="37" fontId="28" numFmtId="0" xfId="0" applyAlignment="1" applyBorder="1" applyFont="1">
      <alignment horizontal="left" vertical="top"/>
    </xf>
    <xf borderId="23" fillId="19" fontId="27" numFmtId="0" xfId="0" applyAlignment="1" applyBorder="1" applyFont="1">
      <alignment horizontal="center" shrinkToFit="0" vertical="center" wrapText="1"/>
    </xf>
    <xf borderId="14" fillId="0" fontId="6" numFmtId="10" xfId="0" applyAlignment="1" applyBorder="1" applyFont="1" applyNumberFormat="1">
      <alignment horizontal="center" shrinkToFit="0" vertical="center" wrapText="1"/>
    </xf>
    <xf borderId="13" fillId="0" fontId="59" numFmtId="0" xfId="0" applyAlignment="1" applyBorder="1" applyFont="1">
      <alignment horizontal="center" shrinkToFit="0" vertical="center" wrapText="1"/>
    </xf>
    <xf borderId="13" fillId="15" fontId="2" numFmtId="10" xfId="0" applyAlignment="1" applyBorder="1" applyFont="1" applyNumberFormat="1">
      <alignment horizontal="center" shrinkToFit="0" vertical="center" wrapText="1"/>
    </xf>
    <xf borderId="13" fillId="15" fontId="2" numFmtId="0" xfId="0" applyAlignment="1" applyBorder="1" applyFont="1">
      <alignment horizontal="center" shrinkToFit="0" vertical="center" wrapText="1"/>
    </xf>
    <xf borderId="18" fillId="0" fontId="6" numFmtId="0" xfId="0" applyAlignment="1" applyBorder="1" applyFont="1">
      <alignment horizontal="center" shrinkToFit="0" vertical="center" wrapText="1"/>
    </xf>
    <xf borderId="13" fillId="0" fontId="1" numFmtId="0" xfId="0" applyAlignment="1" applyBorder="1" applyFont="1">
      <alignment shrinkToFit="0" vertical="top" wrapText="1"/>
    </xf>
    <xf borderId="0" fillId="0" fontId="1" numFmtId="0" xfId="0" applyAlignment="1" applyFont="1">
      <alignment shrinkToFit="0" vertical="top" wrapText="1"/>
    </xf>
    <xf borderId="13" fillId="0" fontId="1" numFmtId="0" xfId="0" applyAlignment="1" applyBorder="1" applyFont="1">
      <alignment horizontal="center" vertical="center"/>
    </xf>
    <xf borderId="13" fillId="0" fontId="1" numFmtId="9" xfId="0" applyAlignment="1" applyBorder="1" applyFont="1" applyNumberFormat="1">
      <alignment horizontal="center" vertical="center"/>
    </xf>
    <xf borderId="59" fillId="37" fontId="28" numFmtId="0" xfId="0" applyAlignment="1" applyBorder="1" applyFont="1">
      <alignment horizontal="left" shrinkToFit="0" vertical="top" wrapText="1"/>
    </xf>
    <xf borderId="12" fillId="0" fontId="27" numFmtId="4" xfId="0" applyAlignment="1" applyBorder="1" applyFont="1" applyNumberFormat="1">
      <alignment horizontal="center" vertical="center"/>
    </xf>
    <xf borderId="13" fillId="0" fontId="6" numFmtId="9" xfId="0" applyAlignment="1" applyBorder="1" applyFont="1" applyNumberFormat="1">
      <alignment horizontal="center" shrinkToFit="0" vertical="center" wrapText="1"/>
    </xf>
    <xf borderId="13" fillId="0" fontId="27" numFmtId="4" xfId="0" applyAlignment="1" applyBorder="1" applyFont="1" applyNumberFormat="1">
      <alignment horizontal="center" vertical="center"/>
    </xf>
    <xf borderId="23" fillId="19" fontId="27" numFmtId="0" xfId="0" applyAlignment="1" applyBorder="1" applyFont="1">
      <alignment horizontal="center" vertical="center"/>
    </xf>
    <xf borderId="20" fillId="0" fontId="6" numFmtId="0" xfId="0" applyAlignment="1" applyBorder="1" applyFont="1">
      <alignment horizontal="center" shrinkToFit="0" vertical="center" wrapText="1"/>
    </xf>
    <xf borderId="73" fillId="19" fontId="27" numFmtId="4" xfId="0" applyAlignment="1" applyBorder="1" applyFont="1" applyNumberFormat="1">
      <alignment horizontal="center" vertical="center"/>
    </xf>
    <xf borderId="66" fillId="0" fontId="6" numFmtId="10" xfId="0" applyAlignment="1" applyBorder="1" applyFont="1" applyNumberFormat="1">
      <alignment horizontal="center" shrinkToFit="0" vertical="center" wrapText="1"/>
    </xf>
    <xf borderId="11" fillId="19" fontId="27" numFmtId="0" xfId="0" applyAlignment="1" applyBorder="1" applyFont="1">
      <alignment horizontal="center" vertical="center"/>
    </xf>
    <xf borderId="13" fillId="0" fontId="2" numFmtId="0" xfId="0" applyAlignment="1" applyBorder="1" applyFont="1">
      <alignment shrinkToFit="0" vertical="top" wrapText="1"/>
    </xf>
    <xf borderId="13" fillId="0" fontId="2" numFmtId="0" xfId="0" applyAlignment="1" applyBorder="1" applyFont="1">
      <alignment horizontal="left" vertical="top"/>
    </xf>
    <xf borderId="18" fillId="0" fontId="6" numFmtId="10" xfId="0" applyAlignment="1" applyBorder="1" applyFont="1" applyNumberFormat="1">
      <alignment horizontal="center" shrinkToFit="0" vertical="top" wrapText="1"/>
    </xf>
    <xf borderId="13" fillId="0" fontId="6" numFmtId="0" xfId="0" applyAlignment="1" applyBorder="1" applyFont="1">
      <alignment vertical="top"/>
    </xf>
    <xf borderId="13" fillId="0" fontId="2" numFmtId="0" xfId="0" applyAlignment="1" applyBorder="1" applyFont="1">
      <alignment horizontal="right" vertical="center"/>
    </xf>
    <xf borderId="98" fillId="14" fontId="60" numFmtId="0" xfId="0" applyAlignment="1" applyBorder="1" applyFont="1">
      <alignment horizontal="center" vertical="center"/>
    </xf>
    <xf borderId="0" fillId="0" fontId="23" numFmtId="0" xfId="0" applyAlignment="1" applyFont="1">
      <alignment shrinkToFit="0" vertical="top" wrapText="1"/>
    </xf>
    <xf borderId="0" fillId="0" fontId="6" numFmtId="9" xfId="0" applyAlignment="1" applyFont="1" applyNumberFormat="1">
      <alignment horizontal="left" shrinkToFit="0" vertical="top" wrapText="1"/>
    </xf>
    <xf borderId="0" fillId="0" fontId="1" numFmtId="10" xfId="0" applyFont="1" applyNumberFormat="1"/>
    <xf borderId="0" fillId="0" fontId="1" numFmtId="9" xfId="0" applyFont="1" applyNumberFormat="1"/>
    <xf borderId="18" fillId="0" fontId="1" numFmtId="0" xfId="0" applyAlignment="1" applyBorder="1" applyFont="1">
      <alignment horizontal="center" shrinkToFit="0" vertical="top" wrapText="1"/>
    </xf>
    <xf borderId="0" fillId="0" fontId="1" numFmtId="0" xfId="0" applyAlignment="1" applyFont="1">
      <alignment horizontal="left" vertical="top"/>
    </xf>
    <xf borderId="18" fillId="0" fontId="1" numFmtId="0" xfId="0" applyAlignment="1" applyBorder="1" applyFont="1">
      <alignment horizontal="left" shrinkToFit="0" vertical="top" wrapText="1"/>
    </xf>
    <xf borderId="14" fillId="50" fontId="22" numFmtId="0" xfId="0" applyAlignment="1" applyBorder="1" applyFill="1" applyFont="1">
      <alignment horizontal="left" shrinkToFit="0" vertical="center" wrapText="1"/>
    </xf>
    <xf borderId="14" fillId="50" fontId="22" numFmtId="0" xfId="0" applyAlignment="1" applyBorder="1" applyFont="1">
      <alignment horizontal="center" shrinkToFit="0" vertical="top" wrapText="1"/>
    </xf>
    <xf borderId="14" fillId="50" fontId="22" numFmtId="0" xfId="0" applyAlignment="1" applyBorder="1" applyFont="1">
      <alignment horizontal="left" shrinkToFit="0" vertical="top" wrapText="1"/>
    </xf>
    <xf borderId="18" fillId="50" fontId="22" numFmtId="0" xfId="0" applyAlignment="1" applyBorder="1" applyFont="1">
      <alignment horizontal="left" shrinkToFit="0" vertical="top" wrapText="1"/>
    </xf>
    <xf borderId="18" fillId="50" fontId="22" numFmtId="0" xfId="0" applyAlignment="1" applyBorder="1" applyFont="1">
      <alignment horizontal="center" shrinkToFit="0" vertical="top" wrapText="1"/>
    </xf>
    <xf borderId="13" fillId="50" fontId="22" numFmtId="0" xfId="0" applyAlignment="1" applyBorder="1" applyFont="1">
      <alignment horizontal="center" shrinkToFit="0" vertical="top" wrapText="1"/>
    </xf>
    <xf borderId="13" fillId="50" fontId="22" numFmtId="0" xfId="0" applyAlignment="1" applyBorder="1" applyFont="1">
      <alignment horizontal="center" shrinkToFit="0" vertical="center" wrapText="1"/>
    </xf>
    <xf borderId="13" fillId="50" fontId="22" numFmtId="0" xfId="0" applyAlignment="1" applyBorder="1" applyFont="1">
      <alignment horizontal="left" shrinkToFit="0" vertical="top" wrapText="1"/>
    </xf>
    <xf borderId="13" fillId="19" fontId="61" numFmtId="1" xfId="0" applyAlignment="1" applyBorder="1" applyFont="1" applyNumberFormat="1">
      <alignment horizontal="center" shrinkToFit="1" vertical="center" wrapText="0"/>
    </xf>
    <xf borderId="13" fillId="19" fontId="23" numFmtId="0" xfId="0" applyAlignment="1" applyBorder="1" applyFont="1">
      <alignment horizontal="center" shrinkToFit="0" vertical="top" wrapText="1"/>
    </xf>
    <xf borderId="13" fillId="19" fontId="23" numFmtId="0" xfId="0" applyAlignment="1" applyBorder="1" applyFont="1">
      <alignment horizontal="center" shrinkToFit="0" vertical="center" wrapText="1"/>
    </xf>
    <xf borderId="13" fillId="19" fontId="1" numFmtId="0" xfId="0" applyAlignment="1" applyBorder="1" applyFont="1">
      <alignment horizontal="center" shrinkToFit="0" vertical="top" wrapText="1"/>
    </xf>
    <xf borderId="13" fillId="19" fontId="61" numFmtId="170" xfId="0" applyAlignment="1" applyBorder="1" applyFont="1" applyNumberFormat="1">
      <alignment horizontal="left" shrinkToFit="1" vertical="center" wrapText="0"/>
    </xf>
    <xf borderId="13" fillId="19" fontId="61" numFmtId="171" xfId="0" applyAlignment="1" applyBorder="1" applyFont="1" applyNumberFormat="1">
      <alignment horizontal="center" shrinkToFit="1" vertical="center" wrapText="0"/>
    </xf>
    <xf borderId="13" fillId="4" fontId="6" numFmtId="0" xfId="0" applyAlignment="1" applyBorder="1" applyFont="1">
      <alignment horizontal="center" shrinkToFit="0" vertical="center" wrapText="1"/>
    </xf>
    <xf borderId="13" fillId="0" fontId="61" numFmtId="1" xfId="0" applyAlignment="1" applyBorder="1" applyFont="1" applyNumberFormat="1">
      <alignment horizontal="center" shrinkToFit="1" vertical="center" wrapText="0"/>
    </xf>
    <xf borderId="13" fillId="0" fontId="23" numFmtId="0" xfId="0" applyAlignment="1" applyBorder="1" applyFont="1">
      <alignment horizontal="center" shrinkToFit="0" vertical="top" wrapText="1"/>
    </xf>
    <xf borderId="13" fillId="0" fontId="23" numFmtId="0" xfId="0" applyAlignment="1" applyBorder="1" applyFont="1">
      <alignment horizontal="center" shrinkToFit="0" vertical="center" wrapText="1"/>
    </xf>
    <xf borderId="13" fillId="0" fontId="1" numFmtId="0" xfId="0" applyAlignment="1" applyBorder="1" applyFont="1">
      <alignment horizontal="center" shrinkToFit="0" vertical="top" wrapText="1"/>
    </xf>
    <xf borderId="13" fillId="0" fontId="61" numFmtId="170" xfId="0" applyAlignment="1" applyBorder="1" applyFont="1" applyNumberFormat="1">
      <alignment horizontal="left" shrinkToFit="1" vertical="center" wrapText="0"/>
    </xf>
    <xf borderId="13" fillId="0" fontId="23" numFmtId="0" xfId="0" applyAlignment="1" applyBorder="1" applyFont="1">
      <alignment horizontal="left" shrinkToFit="0" vertical="center" wrapText="1"/>
    </xf>
    <xf borderId="13" fillId="19" fontId="23" numFmtId="0" xfId="0" applyAlignment="1" applyBorder="1" applyFont="1">
      <alignment horizontal="left" shrinkToFit="0" vertical="center" wrapText="1"/>
    </xf>
    <xf borderId="21" fillId="4" fontId="6" numFmtId="0" xfId="0" applyAlignment="1" applyBorder="1" applyFont="1">
      <alignment horizontal="center" shrinkToFit="0" vertical="center" wrapText="1"/>
    </xf>
    <xf borderId="21" fillId="51" fontId="1" numFmtId="10" xfId="0" applyAlignment="1" applyBorder="1" applyFill="1" applyFont="1" applyNumberFormat="1">
      <alignment horizontal="left" vertical="top"/>
    </xf>
    <xf borderId="13" fillId="0" fontId="61" numFmtId="171" xfId="0" applyAlignment="1" applyBorder="1" applyFont="1" applyNumberFormat="1">
      <alignment horizontal="center" shrinkToFit="1" vertical="center" wrapText="0"/>
    </xf>
    <xf borderId="13" fillId="0" fontId="1" numFmtId="0" xfId="0" applyAlignment="1" applyBorder="1" applyFont="1">
      <alignment horizontal="center" shrinkToFit="0" vertical="center" wrapText="1"/>
    </xf>
    <xf borderId="13" fillId="19" fontId="1" numFmtId="0" xfId="0" applyAlignment="1" applyBorder="1" applyFont="1">
      <alignment horizontal="left" shrinkToFit="0" vertical="top" wrapText="1"/>
    </xf>
    <xf borderId="13" fillId="19" fontId="61" numFmtId="1" xfId="0" applyAlignment="1" applyBorder="1" applyFont="1" applyNumberFormat="1">
      <alignment horizontal="left" shrinkToFit="1" vertical="center" wrapText="0"/>
    </xf>
    <xf borderId="13" fillId="0" fontId="61" numFmtId="1" xfId="0" applyAlignment="1" applyBorder="1" applyFont="1" applyNumberFormat="1">
      <alignment horizontal="left" shrinkToFit="1" vertical="center" wrapText="0"/>
    </xf>
    <xf borderId="23" fillId="19" fontId="61" numFmtId="1" xfId="0" applyAlignment="1" applyBorder="1" applyFont="1" applyNumberFormat="1">
      <alignment horizontal="left" shrinkToFit="1" vertical="center" wrapText="0"/>
    </xf>
    <xf borderId="23" fillId="19" fontId="23" numFmtId="0" xfId="0" applyAlignment="1" applyBorder="1" applyFont="1">
      <alignment horizontal="center" shrinkToFit="0" vertical="top" wrapText="1"/>
    </xf>
    <xf borderId="23" fillId="19" fontId="23" numFmtId="0" xfId="0" applyAlignment="1" applyBorder="1" applyFont="1">
      <alignment horizontal="center" shrinkToFit="0" vertical="center" wrapText="1"/>
    </xf>
    <xf borderId="23" fillId="19" fontId="1" numFmtId="0" xfId="0" applyAlignment="1" applyBorder="1" applyFont="1">
      <alignment horizontal="center" shrinkToFit="0" vertical="top" wrapText="1"/>
    </xf>
    <xf borderId="23" fillId="19" fontId="23" numFmtId="0" xfId="0" applyAlignment="1" applyBorder="1" applyFont="1">
      <alignment horizontal="left" shrinkToFit="0" vertical="center" wrapText="1"/>
    </xf>
    <xf borderId="23" fillId="19" fontId="61" numFmtId="170" xfId="0" applyAlignment="1" applyBorder="1" applyFont="1" applyNumberFormat="1">
      <alignment horizontal="left" shrinkToFit="1" vertical="center" wrapText="0"/>
    </xf>
    <xf borderId="12" fillId="0" fontId="61" numFmtId="1" xfId="0" applyAlignment="1" applyBorder="1" applyFont="1" applyNumberFormat="1">
      <alignment horizontal="left" shrinkToFit="1" vertical="center" wrapText="0"/>
    </xf>
    <xf borderId="12" fillId="0" fontId="23" numFmtId="0" xfId="0" applyAlignment="1" applyBorder="1" applyFont="1">
      <alignment horizontal="center" shrinkToFit="0" vertical="top" wrapText="1"/>
    </xf>
    <xf borderId="12" fillId="0" fontId="23" numFmtId="0" xfId="0" applyAlignment="1" applyBorder="1" applyFont="1">
      <alignment horizontal="center" shrinkToFit="0" vertical="center" wrapText="1"/>
    </xf>
    <xf borderId="12" fillId="0" fontId="1" numFmtId="0" xfId="0" applyAlignment="1" applyBorder="1" applyFont="1">
      <alignment horizontal="center" shrinkToFit="0" vertical="top" wrapText="1"/>
    </xf>
    <xf borderId="12" fillId="0" fontId="23" numFmtId="0" xfId="0" applyAlignment="1" applyBorder="1" applyFont="1">
      <alignment horizontal="left" shrinkToFit="0" vertical="center" wrapText="1"/>
    </xf>
    <xf borderId="12" fillId="0" fontId="61" numFmtId="170" xfId="0" applyAlignment="1" applyBorder="1" applyFont="1" applyNumberFormat="1">
      <alignment horizontal="left" shrinkToFit="1" vertical="center" wrapText="0"/>
    </xf>
    <xf borderId="12" fillId="0" fontId="61" numFmtId="171" xfId="0" applyAlignment="1" applyBorder="1" applyFont="1" applyNumberFormat="1">
      <alignment horizontal="center" shrinkToFit="1" vertical="center" wrapText="0"/>
    </xf>
    <xf borderId="13" fillId="19" fontId="23" numFmtId="0" xfId="0" applyAlignment="1" applyBorder="1" applyFont="1">
      <alignment horizontal="left" shrinkToFit="0" vertical="top" wrapText="1"/>
    </xf>
    <xf borderId="13" fillId="0" fontId="23" numFmtId="0" xfId="0" applyAlignment="1" applyBorder="1" applyFont="1">
      <alignment horizontal="left" shrinkToFit="0" vertical="top" wrapText="1"/>
    </xf>
    <xf borderId="21" fillId="52" fontId="1" numFmtId="10" xfId="0" applyAlignment="1" applyBorder="1" applyFill="1" applyFont="1" applyNumberFormat="1">
      <alignment horizontal="left" vertical="top"/>
    </xf>
    <xf borderId="21" fillId="15" fontId="13" numFmtId="0" xfId="0" applyAlignment="1" applyBorder="1" applyFont="1">
      <alignment horizontal="center" shrinkToFit="0" vertical="center" wrapText="1"/>
    </xf>
    <xf borderId="13" fillId="14" fontId="2" numFmtId="10" xfId="0" applyAlignment="1" applyBorder="1" applyFont="1" applyNumberFormat="1">
      <alignment horizontal="center" shrinkToFit="0" vertical="center" wrapText="1"/>
    </xf>
    <xf borderId="18" fillId="0" fontId="23" numFmtId="0" xfId="0" applyAlignment="1" applyBorder="1" applyFont="1">
      <alignment horizontal="left" shrinkToFit="0" vertical="top" wrapText="1"/>
    </xf>
    <xf borderId="18" fillId="19" fontId="1" numFmtId="0" xfId="0" applyAlignment="1" applyBorder="1" applyFont="1">
      <alignment horizontal="left" shrinkToFit="0" vertical="center" wrapText="1"/>
    </xf>
    <xf borderId="13" fillId="14" fontId="60" numFmtId="0" xfId="0" applyAlignment="1" applyBorder="1" applyFont="1">
      <alignment horizontal="center" shrinkToFit="0" vertical="center" wrapText="1"/>
    </xf>
    <xf borderId="18" fillId="19" fontId="23" numFmtId="0" xfId="0" applyAlignment="1" applyBorder="1" applyFont="1">
      <alignment horizontal="left" shrinkToFit="0" vertical="top" wrapText="1"/>
    </xf>
    <xf borderId="0" fillId="0" fontId="1" numFmtId="10" xfId="0" applyAlignment="1" applyFont="1" applyNumberFormat="1">
      <alignment horizontal="left" vertical="top"/>
    </xf>
    <xf borderId="14" fillId="50" fontId="22" numFmtId="0" xfId="0" applyAlignment="1" applyBorder="1" applyFont="1">
      <alignment horizontal="center" shrinkToFit="0" vertical="center" wrapText="1"/>
    </xf>
    <xf borderId="13" fillId="16" fontId="2" numFmtId="10" xfId="0" applyAlignment="1" applyBorder="1" applyFont="1" applyNumberFormat="1">
      <alignment horizontal="center" shrinkToFit="0" vertical="center" wrapText="1"/>
    </xf>
    <xf borderId="13" fillId="19" fontId="61" numFmtId="1" xfId="0" applyAlignment="1" applyBorder="1" applyFont="1" applyNumberFormat="1">
      <alignment horizontal="center" shrinkToFit="1" vertical="top" wrapText="0"/>
    </xf>
    <xf borderId="13" fillId="19" fontId="61" numFmtId="170" xfId="0" applyAlignment="1" applyBorder="1" applyFont="1" applyNumberFormat="1">
      <alignment horizontal="left" shrinkToFit="1" vertical="top" wrapText="0"/>
    </xf>
    <xf borderId="13" fillId="53" fontId="19" numFmtId="0" xfId="0" applyAlignment="1" applyBorder="1" applyFill="1" applyFont="1">
      <alignment horizontal="center" shrinkToFit="0" vertical="center" wrapText="1"/>
    </xf>
    <xf borderId="13" fillId="0" fontId="61" numFmtId="1" xfId="0" applyAlignment="1" applyBorder="1" applyFont="1" applyNumberFormat="1">
      <alignment horizontal="center" shrinkToFit="1" vertical="top" wrapText="0"/>
    </xf>
    <xf borderId="13" fillId="0" fontId="61" numFmtId="170" xfId="0" applyAlignment="1" applyBorder="1" applyFont="1" applyNumberFormat="1">
      <alignment horizontal="left" shrinkToFit="1" vertical="top" wrapText="0"/>
    </xf>
    <xf borderId="13" fillId="0" fontId="61" numFmtId="10" xfId="0" applyAlignment="1" applyBorder="1" applyFont="1" applyNumberFormat="1">
      <alignment horizontal="center" shrinkToFit="1" vertical="top" wrapText="0"/>
    </xf>
    <xf borderId="13" fillId="19" fontId="61" numFmtId="10" xfId="0" applyAlignment="1" applyBorder="1" applyFont="1" applyNumberFormat="1">
      <alignment horizontal="center" shrinkToFit="1" vertical="top" wrapText="0"/>
    </xf>
    <xf borderId="13" fillId="19" fontId="61" numFmtId="10" xfId="0" applyAlignment="1" applyBorder="1" applyFont="1" applyNumberFormat="1">
      <alignment horizontal="center" shrinkToFit="1" vertical="center" wrapText="0"/>
    </xf>
    <xf borderId="13" fillId="0" fontId="61" numFmtId="10" xfId="0" applyAlignment="1" applyBorder="1" applyFont="1" applyNumberFormat="1">
      <alignment horizontal="center" shrinkToFit="1" vertical="center" wrapText="0"/>
    </xf>
    <xf borderId="13" fillId="0" fontId="1" numFmtId="0" xfId="0" applyAlignment="1" applyBorder="1" applyFont="1">
      <alignment horizontal="left" shrinkToFit="0" vertical="top" wrapText="1"/>
    </xf>
    <xf borderId="13" fillId="0" fontId="61" numFmtId="170" xfId="0" applyAlignment="1" applyBorder="1" applyFont="1" applyNumberFormat="1">
      <alignment horizontal="right" shrinkToFit="1" vertical="top" wrapText="0"/>
    </xf>
    <xf borderId="13" fillId="19" fontId="61" numFmtId="170" xfId="0" applyAlignment="1" applyBorder="1" applyFont="1" applyNumberFormat="1">
      <alignment horizontal="right" shrinkToFit="1" vertical="center" wrapText="0"/>
    </xf>
    <xf borderId="13" fillId="0" fontId="61" numFmtId="170" xfId="0" applyAlignment="1" applyBorder="1" applyFont="1" applyNumberFormat="1">
      <alignment horizontal="right" shrinkToFit="1" vertical="center" wrapText="0"/>
    </xf>
    <xf borderId="13" fillId="14" fontId="62" numFmtId="10" xfId="0" applyAlignment="1" applyBorder="1" applyFont="1" applyNumberFormat="1">
      <alignment horizontal="center" shrinkToFit="0" vertical="center" wrapText="1"/>
    </xf>
    <xf borderId="18" fillId="0" fontId="1" numFmtId="0" xfId="0" applyAlignment="1" applyBorder="1" applyFont="1">
      <alignment horizontal="left" shrinkToFit="0" wrapText="1"/>
    </xf>
    <xf borderId="13" fillId="14" fontId="63" numFmtId="0" xfId="0" applyAlignment="1" applyBorder="1" applyFont="1">
      <alignment horizontal="center" shrinkToFit="0" vertical="center" wrapText="1"/>
    </xf>
    <xf borderId="18" fillId="0" fontId="64" numFmtId="0" xfId="0" applyAlignment="1" applyBorder="1" applyFont="1">
      <alignment horizontal="center" shrinkToFit="0" vertical="top" wrapText="1"/>
    </xf>
    <xf borderId="14" fillId="19" fontId="27" numFmtId="0" xfId="0" applyAlignment="1" applyBorder="1" applyFont="1">
      <alignment horizontal="left"/>
    </xf>
    <xf borderId="63" fillId="19" fontId="27" numFmtId="0" xfId="0" applyAlignment="1" applyBorder="1" applyFont="1">
      <alignment horizontal="left" vertical="top"/>
    </xf>
    <xf borderId="66" fillId="0" fontId="27" numFmtId="0" xfId="0" applyAlignment="1" applyBorder="1" applyFont="1">
      <alignment horizontal="center"/>
    </xf>
    <xf borderId="66" fillId="0" fontId="27" numFmtId="0" xfId="0" applyAlignment="1" applyBorder="1" applyFont="1">
      <alignment horizontal="left"/>
    </xf>
    <xf borderId="66" fillId="0" fontId="27" numFmtId="0" xfId="0" applyAlignment="1" applyBorder="1" applyFont="1">
      <alignment horizontal="left" vertical="top"/>
    </xf>
    <xf borderId="66" fillId="0" fontId="30" numFmtId="0" xfId="0" applyAlignment="1" applyBorder="1" applyFont="1">
      <alignment horizontal="left" vertical="top"/>
    </xf>
    <xf borderId="70" fillId="19" fontId="27" numFmtId="0" xfId="0" applyAlignment="1" applyBorder="1" applyFont="1">
      <alignment horizontal="center"/>
    </xf>
    <xf borderId="70" fillId="19" fontId="27" numFmtId="0" xfId="0" applyAlignment="1" applyBorder="1" applyFont="1">
      <alignment horizontal="left"/>
    </xf>
    <xf borderId="70" fillId="19" fontId="27" numFmtId="0" xfId="0" applyAlignment="1" applyBorder="1" applyFont="1">
      <alignment horizontal="left" vertical="top"/>
    </xf>
    <xf borderId="18" fillId="19" fontId="27" numFmtId="0" xfId="0" applyAlignment="1" applyBorder="1" applyFont="1">
      <alignment horizontal="left" vertical="top"/>
    </xf>
    <xf borderId="18" fillId="0" fontId="27" numFmtId="0" xfId="0" applyAlignment="1" applyBorder="1" applyFont="1">
      <alignment horizontal="left" vertical="top"/>
    </xf>
    <xf borderId="63" fillId="19" fontId="27" numFmtId="0" xfId="0" applyAlignment="1" applyBorder="1" applyFont="1">
      <alignment horizontal="center" vertical="top"/>
    </xf>
    <xf borderId="18" fillId="19" fontId="65" numFmtId="0" xfId="0" applyAlignment="1" applyBorder="1" applyFont="1">
      <alignment horizontal="left" vertical="top"/>
    </xf>
    <xf borderId="63" fillId="19" fontId="65" numFmtId="0" xfId="0" applyAlignment="1" applyBorder="1" applyFont="1">
      <alignment horizontal="center" vertical="top"/>
    </xf>
    <xf borderId="19" fillId="0" fontId="27" numFmtId="0" xfId="0" applyAlignment="1" applyBorder="1" applyFont="1">
      <alignment horizontal="center" vertical="top"/>
    </xf>
    <xf borderId="18" fillId="0" fontId="64" numFmtId="0" xfId="0" applyAlignment="1" applyBorder="1" applyFont="1">
      <alignment horizontal="left" shrinkToFit="0" vertical="top" wrapText="1"/>
    </xf>
    <xf borderId="13" fillId="0" fontId="28" numFmtId="0" xfId="0" applyAlignment="1" applyBorder="1" applyFont="1">
      <alignment horizontal="left" vertical="top"/>
    </xf>
    <xf borderId="0" fillId="0" fontId="30" numFmtId="0" xfId="0" applyAlignment="1" applyFont="1">
      <alignment horizontal="left" vertical="top"/>
    </xf>
    <xf borderId="63" fillId="54" fontId="27" numFmtId="0" xfId="0" applyAlignment="1" applyBorder="1" applyFill="1" applyFont="1">
      <alignment horizontal="center" vertical="top"/>
    </xf>
    <xf borderId="18" fillId="19" fontId="27" numFmtId="0" xfId="0" applyAlignment="1" applyBorder="1" applyFont="1">
      <alignment horizontal="center" vertical="top"/>
    </xf>
    <xf borderId="80" fillId="0" fontId="2" numFmtId="0" xfId="0" applyAlignment="1" applyBorder="1" applyFont="1">
      <alignment horizontal="left" shrinkToFit="0" vertical="center" wrapText="1"/>
    </xf>
    <xf borderId="99" fillId="0" fontId="2" numFmtId="0" xfId="0" applyAlignment="1" applyBorder="1" applyFont="1">
      <alignment shrinkToFit="0" vertical="center" wrapText="1"/>
    </xf>
    <xf borderId="34" fillId="0" fontId="66" numFmtId="0" xfId="0" applyAlignment="1" applyBorder="1" applyFont="1">
      <alignment horizontal="center" shrinkToFit="0" vertical="top" wrapText="1"/>
    </xf>
    <xf borderId="13" fillId="0" fontId="66" numFmtId="0" xfId="0" applyAlignment="1" applyBorder="1" applyFont="1">
      <alignment horizontal="center" shrinkToFit="0" vertical="top" wrapText="1"/>
    </xf>
    <xf borderId="45" fillId="0" fontId="16" numFmtId="0" xfId="0" applyAlignment="1" applyBorder="1" applyFont="1">
      <alignment horizontal="center" vertical="top"/>
    </xf>
    <xf borderId="45" fillId="0" fontId="16" numFmtId="0" xfId="0" applyAlignment="1" applyBorder="1" applyFont="1">
      <alignment horizontal="center"/>
    </xf>
    <xf borderId="34" fillId="0" fontId="66" numFmtId="0" xfId="0" applyAlignment="1" applyBorder="1" applyFont="1">
      <alignment shrinkToFit="0" vertical="top" wrapText="1"/>
    </xf>
    <xf borderId="14" fillId="0" fontId="2" numFmtId="0" xfId="0" applyAlignment="1" applyBorder="1" applyFont="1">
      <alignment horizontal="left" shrinkToFit="0" vertical="top" wrapText="1"/>
    </xf>
    <xf borderId="13" fillId="0" fontId="28" numFmtId="0" xfId="0" applyAlignment="1" applyBorder="1" applyFont="1">
      <alignment horizontal="center" vertical="top"/>
    </xf>
    <xf borderId="20" fillId="0" fontId="28" numFmtId="0" xfId="0" applyAlignment="1" applyBorder="1" applyFont="1">
      <alignment horizontal="center" vertical="top"/>
    </xf>
    <xf borderId="13" fillId="0" fontId="67" numFmtId="0" xfId="0" applyAlignment="1" applyBorder="1" applyFont="1">
      <alignment horizontal="left" shrinkToFit="0" vertical="top" wrapText="1"/>
    </xf>
    <xf borderId="45" fillId="0" fontId="28" numFmtId="0" xfId="0" applyAlignment="1" applyBorder="1" applyFont="1">
      <alignment horizontal="center" vertical="top"/>
    </xf>
    <xf borderId="12" fillId="0" fontId="28" numFmtId="0" xfId="0" applyAlignment="1" applyBorder="1" applyFont="1">
      <alignment horizontal="center" vertical="top"/>
    </xf>
    <xf borderId="91" fillId="0" fontId="66" numFmtId="0" xfId="0" applyAlignment="1" applyBorder="1" applyFont="1">
      <alignment horizontal="left" shrinkToFit="0" vertical="top" wrapText="1"/>
    </xf>
    <xf borderId="21" fillId="55" fontId="66" numFmtId="0" xfId="0" applyAlignment="1" applyBorder="1" applyFill="1" applyFont="1">
      <alignment horizontal="center" shrinkToFit="0" vertical="top" wrapText="1"/>
    </xf>
    <xf borderId="0" fillId="0" fontId="66" numFmtId="0" xfId="0" applyAlignment="1" applyFont="1">
      <alignment shrinkToFit="0" vertical="top" wrapText="1"/>
    </xf>
    <xf borderId="99" fillId="0" fontId="66" numFmtId="0" xfId="0" applyAlignment="1" applyBorder="1" applyFont="1">
      <alignment shrinkToFit="0" vertical="top" wrapText="1"/>
    </xf>
    <xf borderId="80" fillId="0" fontId="66" numFmtId="0" xfId="0" applyAlignment="1" applyBorder="1" applyFont="1">
      <alignment horizontal="left" shrinkToFit="0" vertical="top" wrapText="1"/>
    </xf>
    <xf borderId="99" fillId="0" fontId="3" numFmtId="0" xfId="0" applyBorder="1" applyFont="1"/>
    <xf borderId="0" fillId="0" fontId="66" numFmtId="0" xfId="0" applyAlignment="1" applyFont="1">
      <alignment horizontal="left" shrinkToFit="0" vertical="top" wrapText="1"/>
    </xf>
    <xf borderId="99" fillId="0" fontId="66" numFmtId="0" xfId="0" applyAlignment="1" applyBorder="1" applyFont="1">
      <alignment horizontal="left" shrinkToFit="0" vertical="top" wrapText="1"/>
    </xf>
    <xf borderId="80" fillId="0" fontId="28" numFmtId="0" xfId="0" applyAlignment="1" applyBorder="1" applyFont="1">
      <alignment horizontal="left" shrinkToFit="0" vertical="top" wrapText="1"/>
    </xf>
    <xf borderId="80" fillId="0" fontId="28" numFmtId="0" xfId="0" applyAlignment="1" applyBorder="1" applyFont="1">
      <alignment horizontal="left" vertical="top"/>
    </xf>
    <xf borderId="0" fillId="0" fontId="28" numFmtId="0" xfId="0" applyAlignment="1" applyFont="1">
      <alignment vertical="top"/>
    </xf>
    <xf borderId="0" fillId="0" fontId="28" numFmtId="0" xfId="0" applyAlignment="1" applyFont="1">
      <alignment horizontal="left" vertical="top"/>
    </xf>
    <xf borderId="0" fillId="0" fontId="28" numFmtId="0" xfId="0" applyAlignment="1" applyFont="1">
      <alignment horizontal="left" shrinkToFit="0" vertical="top" wrapText="1"/>
    </xf>
    <xf borderId="99" fillId="0" fontId="28" numFmtId="0" xfId="0" applyAlignment="1" applyBorder="1" applyFont="1">
      <alignment horizontal="left" shrinkToFit="0" vertical="top" wrapText="1"/>
    </xf>
    <xf borderId="80" fillId="0" fontId="28" numFmtId="0" xfId="0" applyAlignment="1" applyBorder="1" applyFont="1">
      <alignment horizontal="center" vertical="top"/>
    </xf>
    <xf borderId="0" fillId="0" fontId="23" numFmtId="0" xfId="0" applyAlignment="1" applyFont="1">
      <alignment horizontal="center" shrinkToFit="0" vertical="top" wrapText="1"/>
    </xf>
    <xf borderId="21" fillId="55" fontId="28" numFmtId="0" xfId="0" applyAlignment="1" applyBorder="1" applyFont="1">
      <alignment horizontal="center" shrinkToFit="0" vertical="top" wrapText="1"/>
    </xf>
    <xf borderId="80" fillId="0" fontId="16" numFmtId="0" xfId="0" applyAlignment="1" applyBorder="1" applyFont="1">
      <alignment horizontal="left" shrinkToFit="0" vertical="top" wrapText="1"/>
    </xf>
    <xf borderId="80" fillId="0" fontId="28" numFmtId="0" xfId="0" applyAlignment="1" applyBorder="1" applyFont="1">
      <alignment horizontal="left" shrinkToFit="0" vertical="center" wrapText="1"/>
    </xf>
    <xf borderId="80" fillId="0" fontId="20" numFmtId="0" xfId="0" applyBorder="1" applyFont="1"/>
    <xf borderId="0" fillId="0" fontId="20" numFmtId="0" xfId="0" applyFont="1"/>
    <xf borderId="99" fillId="0" fontId="20" numFmtId="0" xfId="0" applyBorder="1" applyFont="1"/>
    <xf borderId="80" fillId="0" fontId="68" numFmtId="0" xfId="0" applyBorder="1" applyFont="1"/>
    <xf borderId="18" fillId="0" fontId="69" numFmtId="0" xfId="0" applyAlignment="1" applyBorder="1" applyFont="1">
      <alignment horizontal="left"/>
    </xf>
    <xf borderId="13" fillId="0" fontId="69" numFmtId="0" xfId="0" applyAlignment="1" applyBorder="1" applyFont="1">
      <alignment horizontal="center"/>
    </xf>
    <xf borderId="0" fillId="0" fontId="68" numFmtId="0" xfId="0" applyFont="1"/>
    <xf borderId="99" fillId="0" fontId="68" numFmtId="0" xfId="0" applyBorder="1" applyFont="1"/>
    <xf borderId="18" fillId="0" fontId="68" numFmtId="0" xfId="0" applyAlignment="1" applyBorder="1" applyFont="1">
      <alignment horizontal="left"/>
    </xf>
    <xf borderId="13" fillId="0" fontId="68" numFmtId="0" xfId="0" applyAlignment="1" applyBorder="1" applyFont="1">
      <alignment horizontal="center"/>
    </xf>
    <xf borderId="0" fillId="0" fontId="57" numFmtId="0" xfId="0" applyFont="1"/>
    <xf borderId="0" fillId="0" fontId="1" numFmtId="3" xfId="0" applyFont="1" applyNumberFormat="1"/>
    <xf borderId="21" fillId="14" fontId="1" numFmtId="0" xfId="0" applyBorder="1" applyFont="1"/>
    <xf borderId="21" fillId="14" fontId="1" numFmtId="3" xfId="0" applyBorder="1" applyFont="1" applyNumberFormat="1"/>
    <xf borderId="21" fillId="14" fontId="1" numFmtId="164" xfId="0" applyBorder="1" applyFont="1" applyNumberFormat="1"/>
    <xf borderId="21" fillId="14" fontId="1" numFmtId="10" xfId="0" applyBorder="1" applyFont="1" applyNumberFormat="1"/>
    <xf borderId="0" fillId="0" fontId="4" numFmtId="0" xfId="0" applyAlignment="1" applyFont="1">
      <alignment vertical="center"/>
    </xf>
    <xf borderId="14" fillId="30" fontId="2" numFmtId="0" xfId="0" applyAlignment="1" applyBorder="1" applyFont="1">
      <alignment horizontal="center" shrinkToFit="0" vertical="center" wrapText="1"/>
    </xf>
    <xf borderId="18" fillId="30" fontId="2" numFmtId="0" xfId="0" applyAlignment="1" applyBorder="1" applyFont="1">
      <alignment horizontal="center" shrinkToFit="0" vertical="center" wrapText="1"/>
    </xf>
    <xf borderId="13" fillId="6" fontId="22" numFmtId="0" xfId="0" applyAlignment="1" applyBorder="1" applyFont="1">
      <alignment horizontal="center" shrinkToFit="0" vertical="center" wrapText="1"/>
    </xf>
    <xf borderId="13" fillId="25" fontId="22" numFmtId="0" xfId="0" applyAlignment="1" applyBorder="1" applyFont="1">
      <alignment horizontal="center" shrinkToFit="0" vertical="center" wrapText="1"/>
    </xf>
    <xf borderId="13" fillId="30" fontId="2" numFmtId="0" xfId="0" applyAlignment="1" applyBorder="1" applyFont="1">
      <alignment horizontal="center" shrinkToFit="0" vertical="center" wrapText="1"/>
    </xf>
    <xf borderId="18" fillId="28" fontId="25" numFmtId="0" xfId="0" applyAlignment="1" applyBorder="1" applyFont="1">
      <alignment horizontal="left" shrinkToFit="0" vertical="center" wrapText="1"/>
    </xf>
    <xf borderId="13" fillId="0" fontId="14" numFmtId="167" xfId="0" applyAlignment="1" applyBorder="1" applyFont="1" applyNumberFormat="1">
      <alignment horizontal="center" shrinkToFit="0" vertical="center" wrapText="1"/>
    </xf>
    <xf borderId="13" fillId="0" fontId="14" numFmtId="168" xfId="0" applyAlignment="1" applyBorder="1" applyFont="1" applyNumberFormat="1">
      <alignment horizontal="center" shrinkToFit="0" vertical="center" wrapText="1"/>
    </xf>
    <xf borderId="13" fillId="37" fontId="14" numFmtId="168" xfId="0" applyAlignment="1" applyBorder="1" applyFont="1" applyNumberFormat="1">
      <alignment horizontal="center" shrinkToFit="0" vertical="center" wrapText="1"/>
    </xf>
    <xf borderId="13" fillId="0" fontId="14" numFmtId="3" xfId="0" applyAlignment="1" applyBorder="1" applyFont="1" applyNumberFormat="1">
      <alignment horizontal="center" shrinkToFit="0" vertical="center" wrapText="1"/>
    </xf>
    <xf borderId="13" fillId="56" fontId="14" numFmtId="0" xfId="0" applyAlignment="1" applyBorder="1" applyFill="1" applyFont="1">
      <alignment horizontal="center" shrinkToFit="0" vertical="center" wrapText="1"/>
    </xf>
    <xf borderId="13" fillId="0" fontId="18" numFmtId="167" xfId="0" applyAlignment="1" applyBorder="1" applyFont="1" applyNumberFormat="1">
      <alignment horizontal="center" shrinkToFit="0" vertical="center" wrapText="1"/>
    </xf>
    <xf borderId="13" fillId="0" fontId="18" numFmtId="168" xfId="0" applyAlignment="1" applyBorder="1" applyFont="1" applyNumberFormat="1">
      <alignment horizontal="center" shrinkToFit="0" vertical="center" wrapText="1"/>
    </xf>
    <xf borderId="13" fillId="0" fontId="14" numFmtId="10" xfId="0" applyAlignment="1" applyBorder="1" applyFont="1" applyNumberFormat="1">
      <alignment horizontal="center" shrinkToFit="0" vertical="center" wrapText="1"/>
    </xf>
    <xf borderId="13" fillId="37" fontId="14" numFmtId="0" xfId="0" applyAlignment="1" applyBorder="1" applyFont="1">
      <alignment horizontal="center" shrinkToFit="0" vertical="center" wrapText="1"/>
    </xf>
    <xf borderId="13" fillId="0" fontId="18" numFmtId="10" xfId="0" applyAlignment="1" applyBorder="1" applyFont="1" applyNumberFormat="1">
      <alignment horizontal="center" shrinkToFit="0" vertical="center" wrapText="1"/>
    </xf>
    <xf borderId="13" fillId="0" fontId="14" numFmtId="9" xfId="0" applyAlignment="1" applyBorder="1" applyFont="1" applyNumberFormat="1">
      <alignment horizontal="center" shrinkToFit="0" vertical="center" wrapText="1"/>
    </xf>
    <xf borderId="13" fillId="56" fontId="14" numFmtId="9" xfId="0" applyAlignment="1" applyBorder="1" applyFont="1" applyNumberFormat="1">
      <alignment horizontal="center" shrinkToFit="0" vertical="center" wrapText="1"/>
    </xf>
    <xf borderId="13" fillId="0" fontId="14" numFmtId="49" xfId="0" applyAlignment="1" applyBorder="1" applyFont="1" applyNumberFormat="1">
      <alignment horizontal="center" shrinkToFit="0" vertical="center" wrapText="1"/>
    </xf>
    <xf borderId="13" fillId="0" fontId="1" numFmtId="167" xfId="0" applyAlignment="1" applyBorder="1" applyFont="1" applyNumberFormat="1">
      <alignment horizontal="center" shrinkToFit="0" vertical="center" wrapText="1"/>
    </xf>
    <xf borderId="13" fillId="14" fontId="14" numFmtId="49" xfId="0" applyAlignment="1" applyBorder="1" applyFont="1" applyNumberFormat="1">
      <alignment horizontal="center" shrinkToFit="0" vertical="center" wrapText="1"/>
    </xf>
    <xf borderId="13" fillId="56" fontId="1" numFmtId="0" xfId="0" applyAlignment="1" applyBorder="1" applyFont="1">
      <alignment horizontal="center" shrinkToFit="0" vertical="center" wrapText="1"/>
    </xf>
    <xf borderId="13" fillId="0" fontId="6" numFmtId="167" xfId="0" applyAlignment="1" applyBorder="1" applyFont="1" applyNumberFormat="1">
      <alignment horizontal="center" shrinkToFit="0" vertical="center" wrapText="1"/>
    </xf>
    <xf borderId="13" fillId="48" fontId="14" numFmtId="49" xfId="0" applyAlignment="1" applyBorder="1" applyFont="1" applyNumberFormat="1">
      <alignment horizontal="center" shrinkToFit="0" vertical="center" wrapText="1"/>
    </xf>
    <xf borderId="13" fillId="0" fontId="56" numFmtId="0" xfId="0" applyAlignment="1" applyBorder="1" applyFont="1">
      <alignment horizontal="center" shrinkToFit="0" vertical="center" wrapText="1"/>
    </xf>
    <xf borderId="13" fillId="14" fontId="14" numFmtId="0" xfId="0" applyAlignment="1" applyBorder="1" applyFont="1">
      <alignment horizontal="center" shrinkToFit="0" vertical="center" wrapText="1"/>
    </xf>
    <xf borderId="13" fillId="56" fontId="56" numFmtId="0" xfId="0" applyAlignment="1" applyBorder="1" applyFont="1">
      <alignment horizontal="center" shrinkToFit="0" vertical="center" wrapText="1"/>
    </xf>
    <xf borderId="13" fillId="15" fontId="14" numFmtId="0" xfId="0" applyAlignment="1" applyBorder="1" applyFont="1">
      <alignment horizontal="center" shrinkToFit="0" vertical="center" wrapText="1"/>
    </xf>
    <xf borderId="13" fillId="56" fontId="6" numFmtId="0" xfId="0" applyAlignment="1" applyBorder="1" applyFont="1">
      <alignment horizontal="center" shrinkToFit="0" vertical="center" wrapText="1"/>
    </xf>
    <xf borderId="13" fillId="56" fontId="1" numFmtId="9" xfId="0" applyAlignment="1" applyBorder="1" applyFont="1" applyNumberFormat="1">
      <alignment horizontal="center" shrinkToFit="0" vertical="center" wrapText="1"/>
    </xf>
    <xf borderId="13" fillId="0" fontId="6" numFmtId="168" xfId="0" applyAlignment="1" applyBorder="1" applyFont="1" applyNumberFormat="1">
      <alignment horizontal="center" shrinkToFit="0" vertical="center" wrapText="1"/>
    </xf>
    <xf borderId="13" fillId="0" fontId="6" numFmtId="3" xfId="0" applyAlignment="1" applyBorder="1" applyFont="1" applyNumberFormat="1">
      <alignment horizontal="center" shrinkToFit="0" vertical="center" wrapText="1"/>
    </xf>
    <xf borderId="13" fillId="56" fontId="6" numFmtId="9" xfId="0" applyAlignment="1" applyBorder="1" applyFont="1" applyNumberFormat="1">
      <alignment horizontal="center" shrinkToFit="0" vertical="center" wrapText="1"/>
    </xf>
    <xf borderId="13" fillId="0" fontId="1" numFmtId="10" xfId="0" applyAlignment="1" applyBorder="1" applyFont="1" applyNumberFormat="1">
      <alignment horizontal="center" shrinkToFit="0" vertical="center" wrapText="1"/>
    </xf>
    <xf borderId="13" fillId="0" fontId="6" numFmtId="172" xfId="0" applyAlignment="1" applyBorder="1" applyFont="1" applyNumberFormat="1">
      <alignment horizontal="center" shrinkToFit="0" vertical="center" wrapText="1"/>
    </xf>
    <xf borderId="13" fillId="17" fontId="1" numFmtId="0" xfId="0" applyAlignment="1" applyBorder="1" applyFont="1">
      <alignment horizontal="center" shrinkToFit="0" vertical="center" wrapText="1"/>
    </xf>
    <xf borderId="13" fillId="0" fontId="31" numFmtId="0" xfId="0" applyAlignment="1" applyBorder="1" applyFont="1">
      <alignment horizontal="center" shrinkToFit="0" vertical="center" wrapText="1"/>
    </xf>
    <xf borderId="13" fillId="17" fontId="1" numFmtId="10" xfId="0" applyAlignment="1" applyBorder="1" applyFont="1" applyNumberFormat="1">
      <alignment horizontal="center" shrinkToFit="0" vertical="center" wrapText="1"/>
    </xf>
    <xf borderId="13" fillId="0" fontId="31" numFmtId="10" xfId="0" applyAlignment="1" applyBorder="1" applyFont="1" applyNumberFormat="1">
      <alignment horizontal="center" shrinkToFit="0" vertical="center" wrapText="1"/>
    </xf>
    <xf borderId="13" fillId="12" fontId="2" numFmtId="0" xfId="0" applyAlignment="1" applyBorder="1" applyFont="1">
      <alignment horizontal="center" shrinkToFit="0" wrapText="1"/>
    </xf>
    <xf borderId="63" fillId="12" fontId="2" numFmtId="0" xfId="0" applyAlignment="1" applyBorder="1" applyFont="1">
      <alignment horizontal="center" shrinkToFit="0" vertical="top" wrapText="1"/>
    </xf>
    <xf borderId="100" fillId="0" fontId="3" numFmtId="0" xfId="0" applyBorder="1" applyFont="1"/>
    <xf borderId="77" fillId="12" fontId="2" numFmtId="0" xfId="0" applyAlignment="1" applyBorder="1" applyFont="1">
      <alignment horizontal="center" shrinkToFit="0" vertical="top" wrapText="1"/>
    </xf>
    <xf borderId="11" fillId="12" fontId="2" numFmtId="0" xfId="0" applyAlignment="1" applyBorder="1" applyFont="1">
      <alignment horizontal="center" shrinkToFit="0" wrapText="1"/>
    </xf>
    <xf borderId="59" fillId="12" fontId="2" numFmtId="0" xfId="0" applyAlignment="1" applyBorder="1" applyFont="1">
      <alignment horizontal="center" shrinkToFit="0" vertical="top" wrapText="1"/>
    </xf>
    <xf borderId="61" fillId="12" fontId="2" numFmtId="0" xfId="0" applyAlignment="1" applyBorder="1" applyFont="1">
      <alignment horizontal="center" shrinkToFit="0" vertical="top" wrapText="1"/>
    </xf>
    <xf borderId="59" fillId="13" fontId="1" numFmtId="0" xfId="0" applyAlignment="1" applyBorder="1" applyFont="1">
      <alignment vertical="top"/>
    </xf>
    <xf borderId="61" fillId="13" fontId="1" numFmtId="0" xfId="0" applyAlignment="1" applyBorder="1" applyFont="1">
      <alignment vertical="top"/>
    </xf>
    <xf borderId="59" fillId="14" fontId="2" numFmtId="0" xfId="0" applyAlignment="1" applyBorder="1" applyFont="1">
      <alignment horizontal="center" shrinkToFit="0" vertical="top" wrapText="1"/>
    </xf>
    <xf borderId="70" fillId="15" fontId="6" numFmtId="0" xfId="0" applyAlignment="1" applyBorder="1" applyFont="1">
      <alignment horizontal="center" shrinkToFit="0" vertical="top" wrapText="1"/>
    </xf>
    <xf borderId="54" fillId="37" fontId="14" numFmtId="0" xfId="0" applyAlignment="1" applyBorder="1" applyFont="1">
      <alignment shrinkToFit="0" vertical="top" wrapText="1"/>
    </xf>
    <xf borderId="65" fillId="0" fontId="6" numFmtId="0" xfId="0" applyAlignment="1" applyBorder="1" applyFont="1">
      <alignment shrinkToFit="0" vertical="top" wrapText="1"/>
    </xf>
    <xf borderId="54" fillId="37" fontId="6" numFmtId="0" xfId="0" applyAlignment="1" applyBorder="1" applyFont="1">
      <alignment shrinkToFit="0" vertical="top" wrapText="1"/>
    </xf>
    <xf borderId="52" fillId="0" fontId="6" numFmtId="0" xfId="0" applyAlignment="1" applyBorder="1" applyFont="1">
      <alignment horizontal="center" shrinkToFit="0" vertical="top" wrapText="1"/>
    </xf>
    <xf quotePrefix="1" borderId="65" fillId="0" fontId="6" numFmtId="0" xfId="0" applyAlignment="1" applyBorder="1" applyFont="1">
      <alignment shrinkToFit="0" vertical="top" wrapText="1"/>
    </xf>
    <xf borderId="53" fillId="0" fontId="3" numFmtId="0" xfId="0" applyBorder="1" applyFont="1"/>
    <xf borderId="59" fillId="36" fontId="1" numFmtId="0" xfId="0" applyAlignment="1" applyBorder="1" applyFont="1">
      <alignment vertical="top"/>
    </xf>
    <xf borderId="54" fillId="37" fontId="13" numFmtId="0" xfId="0" applyAlignment="1" applyBorder="1" applyFont="1">
      <alignment shrinkToFit="0" vertical="top" wrapText="1"/>
    </xf>
    <xf borderId="54" fillId="37" fontId="14" numFmtId="0" xfId="0" applyAlignment="1" applyBorder="1" applyFont="1">
      <alignment shrinkToFit="0" wrapText="1"/>
    </xf>
    <xf borderId="54" fillId="37" fontId="36" numFmtId="0" xfId="0" applyAlignment="1" applyBorder="1" applyFont="1">
      <alignment shrinkToFit="0" vertical="top" wrapText="1"/>
    </xf>
    <xf borderId="54" fillId="57" fontId="6" numFmtId="0" xfId="0" applyAlignment="1" applyBorder="1" applyFill="1" applyFont="1">
      <alignment horizontal="center" shrinkToFit="0" vertical="top" wrapText="1"/>
    </xf>
    <xf quotePrefix="1" borderId="54" fillId="37" fontId="6" numFmtId="0" xfId="0" applyAlignment="1" applyBorder="1" applyFont="1">
      <alignment shrinkToFit="0" vertical="top" wrapText="1"/>
    </xf>
    <xf borderId="54" fillId="37" fontId="34" numFmtId="0" xfId="0" applyAlignment="1" applyBorder="1" applyFont="1">
      <alignment shrinkToFit="0" vertical="top" wrapText="1"/>
    </xf>
    <xf borderId="54" fillId="14" fontId="6" numFmtId="0" xfId="0" applyAlignment="1" applyBorder="1" applyFont="1">
      <alignment horizontal="center" shrinkToFit="0" vertical="top" wrapText="1"/>
    </xf>
    <xf borderId="54" fillId="37" fontId="70" numFmtId="0" xfId="0" applyAlignment="1" applyBorder="1" applyFont="1">
      <alignment shrinkToFit="0" vertical="top" wrapText="1"/>
    </xf>
    <xf borderId="54" fillId="58" fontId="6" numFmtId="0" xfId="0" applyAlignment="1" applyBorder="1" applyFill="1" applyFont="1">
      <alignment horizontal="center" shrinkToFit="0" vertical="top" wrapText="1"/>
    </xf>
    <xf borderId="54" fillId="14" fontId="6" numFmtId="0" xfId="0" applyAlignment="1" applyBorder="1" applyFont="1">
      <alignment shrinkToFit="0" vertical="top" wrapText="1"/>
    </xf>
    <xf borderId="54" fillId="37" fontId="6" numFmtId="0" xfId="0" applyAlignment="1" applyBorder="1" applyFont="1">
      <alignment horizontal="center" shrinkToFit="0" vertical="top" wrapText="1"/>
    </xf>
    <xf borderId="54" fillId="15" fontId="36" numFmtId="0" xfId="0" applyAlignment="1" applyBorder="1" applyFont="1">
      <alignment shrinkToFit="0" vertical="top" wrapText="1"/>
    </xf>
    <xf borderId="54" fillId="15" fontId="6" numFmtId="0" xfId="0" applyAlignment="1" applyBorder="1" applyFont="1">
      <alignment horizontal="center" shrinkToFit="0" vertical="top" wrapText="1"/>
    </xf>
    <xf borderId="54" fillId="15" fontId="6" numFmtId="0" xfId="0" applyAlignment="1" applyBorder="1" applyFont="1">
      <alignment shrinkToFit="0" vertical="top" wrapText="1"/>
    </xf>
    <xf borderId="54" fillId="15" fontId="14" numFmtId="0" xfId="0" applyAlignment="1" applyBorder="1" applyFont="1">
      <alignment shrinkToFit="0" vertical="top" wrapText="1"/>
    </xf>
    <xf borderId="56" fillId="15" fontId="6" numFmtId="0" xfId="0" applyAlignment="1" applyBorder="1" applyFont="1">
      <alignment horizontal="center" shrinkToFit="0" vertical="top" wrapText="1"/>
    </xf>
    <xf quotePrefix="1" borderId="54" fillId="15" fontId="6" numFmtId="0" xfId="0" applyAlignment="1" applyBorder="1" applyFont="1">
      <alignment shrinkToFit="0" vertical="top" wrapText="1"/>
    </xf>
    <xf borderId="101" fillId="0" fontId="3" numFmtId="0" xfId="0" applyBorder="1" applyFont="1"/>
    <xf borderId="11" fillId="15" fontId="1" numFmtId="0" xfId="0" applyAlignment="1" applyBorder="1" applyFont="1">
      <alignment vertical="top"/>
    </xf>
    <xf borderId="59" fillId="15" fontId="1" numFmtId="0" xfId="0" applyAlignment="1" applyBorder="1" applyFont="1">
      <alignment vertical="top"/>
    </xf>
    <xf borderId="61" fillId="15" fontId="1" numFmtId="0" xfId="0" applyAlignment="1" applyBorder="1" applyFont="1">
      <alignment vertical="top"/>
    </xf>
    <xf borderId="59" fillId="15" fontId="2" numFmtId="0" xfId="0" applyAlignment="1" applyBorder="1" applyFont="1">
      <alignment horizontal="center" shrinkToFit="0" vertical="top" wrapText="1"/>
    </xf>
    <xf borderId="65" fillId="0" fontId="6" numFmtId="0" xfId="0" applyAlignment="1" applyBorder="1" applyFont="1">
      <alignment shrinkToFit="0" wrapText="1"/>
    </xf>
    <xf borderId="65" fillId="0" fontId="71" numFmtId="0" xfId="0" applyAlignment="1" applyBorder="1" applyFont="1">
      <alignment shrinkToFit="0" vertical="top" wrapText="1"/>
    </xf>
    <xf borderId="65" fillId="0" fontId="14" numFmtId="0" xfId="0" applyAlignment="1" applyBorder="1" applyFont="1">
      <alignment vertical="top"/>
    </xf>
    <xf borderId="93" fillId="0" fontId="3" numFmtId="0" xfId="0" applyBorder="1" applyFont="1"/>
    <xf borderId="102" fillId="0" fontId="3" numFmtId="0" xfId="0" applyBorder="1" applyFont="1"/>
    <xf borderId="79" fillId="0" fontId="3" numFmtId="0" xfId="0" applyBorder="1" applyFont="1"/>
    <xf borderId="103" fillId="0" fontId="3" numFmtId="0" xfId="0" applyBorder="1" applyFont="1"/>
    <xf borderId="80" fillId="0" fontId="7" numFmtId="0" xfId="0" applyAlignment="1" applyBorder="1" applyFont="1">
      <alignment horizontal="center" shrinkToFit="0" vertical="top" wrapText="1"/>
    </xf>
    <xf borderId="0" fillId="0" fontId="4" numFmtId="0" xfId="0" applyAlignment="1" applyFont="1">
      <alignment shrinkToFit="0" vertical="top" wrapText="1"/>
    </xf>
    <xf borderId="0" fillId="0" fontId="2" numFmtId="0" xfId="0" applyAlignment="1" applyFont="1">
      <alignment vertical="center"/>
    </xf>
    <xf borderId="13" fillId="30" fontId="2" numFmtId="0" xfId="0" applyAlignment="1" applyBorder="1" applyFont="1">
      <alignment horizontal="center" vertical="center"/>
    </xf>
    <xf borderId="13" fillId="30" fontId="2" numFmtId="0" xfId="0" applyAlignment="1" applyBorder="1" applyFont="1">
      <alignment shrinkToFit="0" vertical="center" wrapText="1"/>
    </xf>
    <xf borderId="0" fillId="0" fontId="6" numFmtId="0" xfId="0" applyAlignment="1" applyFont="1">
      <alignment vertical="center"/>
    </xf>
    <xf borderId="13" fillId="0" fontId="2" numFmtId="0" xfId="0" applyAlignment="1" applyBorder="1" applyFont="1">
      <alignment shrinkToFit="0" wrapText="1"/>
    </xf>
    <xf borderId="13" fillId="0" fontId="2" numFmtId="0" xfId="0" applyAlignment="1" applyBorder="1" applyFont="1">
      <alignment horizontal="center"/>
    </xf>
    <xf borderId="0" fillId="0" fontId="2" numFmtId="0" xfId="0" applyAlignment="1" applyFont="1">
      <alignment horizontal="center"/>
    </xf>
    <xf borderId="13" fillId="0" fontId="28" numFmtId="0" xfId="0" applyAlignment="1" applyBorder="1" applyFont="1">
      <alignment horizontal="center"/>
    </xf>
    <xf borderId="104" fillId="2" fontId="72" numFmtId="0" xfId="0" applyAlignment="1" applyBorder="1" applyFont="1">
      <alignment horizontal="center"/>
    </xf>
    <xf borderId="105" fillId="0" fontId="3" numFmtId="0" xfId="0" applyBorder="1" applyFont="1"/>
    <xf borderId="104" fillId="48" fontId="72" numFmtId="0" xfId="0" applyAlignment="1" applyBorder="1" applyFont="1">
      <alignment horizontal="center"/>
    </xf>
    <xf quotePrefix="1" borderId="106" fillId="2" fontId="73" numFmtId="20" xfId="0" applyAlignment="1" applyBorder="1" applyFont="1" applyNumberFormat="1">
      <alignment horizontal="center"/>
    </xf>
    <xf quotePrefix="1" borderId="106" fillId="48" fontId="73" numFmtId="20" xfId="0" applyAlignment="1" applyBorder="1" applyFont="1" applyNumberFormat="1">
      <alignment horizontal="center"/>
    </xf>
    <xf quotePrefix="1" borderId="106" fillId="48" fontId="73" numFmtId="0" xfId="0" applyAlignment="1" applyBorder="1" applyFont="1">
      <alignment horizontal="center"/>
    </xf>
    <xf quotePrefix="1" borderId="106" fillId="2" fontId="73" numFmtId="0" xfId="0" applyAlignment="1" applyBorder="1" applyFont="1">
      <alignment horizontal="center"/>
    </xf>
    <xf borderId="13" fillId="0" fontId="6" numFmtId="0" xfId="0" applyAlignment="1" applyBorder="1" applyFont="1">
      <alignment horizontal="center"/>
    </xf>
    <xf borderId="106" fillId="48" fontId="73" numFmtId="0" xfId="0" applyAlignment="1" applyBorder="1" applyFont="1">
      <alignment horizontal="center"/>
    </xf>
    <xf borderId="106" fillId="0" fontId="72" numFmtId="0" xfId="0" applyBorder="1" applyFont="1"/>
    <xf borderId="106" fillId="0" fontId="73" numFmtId="0" xfId="0" applyBorder="1" applyFont="1"/>
    <xf borderId="0" fillId="0" fontId="6" numFmtId="0" xfId="0" applyAlignment="1" applyFont="1">
      <alignment horizontal="left" shrinkToFit="0" wrapText="1"/>
    </xf>
    <xf borderId="0" fillId="0" fontId="2" numFmtId="0" xfId="0" applyAlignment="1" applyFont="1">
      <alignment horizontal="center" vertical="center"/>
    </xf>
    <xf borderId="0" fillId="0" fontId="6" numFmtId="0" xfId="0" applyAlignment="1" applyFont="1">
      <alignment horizontal="center"/>
    </xf>
  </cellXfs>
  <cellStyles count="1">
    <cellStyle xfId="0" name="Normal" builtinId="0"/>
  </cellStyles>
  <dxfs count="11">
    <dxf>
      <font>
        <b/>
        <color rgb="FF990033"/>
      </font>
      <fill>
        <patternFill patternType="solid">
          <fgColor rgb="FFFFA7A7"/>
          <bgColor rgb="FFFFA7A7"/>
        </patternFill>
      </fill>
      <border/>
    </dxf>
    <dxf>
      <font/>
      <fill>
        <patternFill patternType="solid">
          <fgColor rgb="FFFF0000"/>
          <bgColor rgb="FFFF0000"/>
        </patternFill>
      </fill>
      <border/>
    </dxf>
    <dxf>
      <font>
        <color rgb="FF8E0000"/>
      </font>
      <fill>
        <patternFill patternType="solid">
          <fgColor rgb="FFFFA3A3"/>
          <bgColor rgb="FFFFA3A3"/>
        </patternFill>
      </fill>
      <border/>
    </dxf>
    <dxf>
      <font/>
      <fill>
        <patternFill patternType="solid">
          <fgColor rgb="FF00B050"/>
          <bgColor rgb="FF00B050"/>
        </patternFill>
      </fill>
      <border/>
    </dxf>
    <dxf>
      <font/>
      <fill>
        <patternFill patternType="solid">
          <fgColor rgb="FFB7E1CD"/>
          <bgColor rgb="FFB7E1CD"/>
        </patternFill>
      </fill>
      <border/>
    </dxf>
    <dxf>
      <font>
        <color rgb="FF8E0000"/>
      </font>
      <fill>
        <patternFill patternType="solid">
          <fgColor rgb="FFFFCDCD"/>
          <bgColor rgb="FFFFCDCD"/>
        </patternFill>
      </fill>
      <border/>
    </dxf>
    <dxf>
      <font/>
      <fill>
        <patternFill patternType="solid">
          <fgColor rgb="FFFFBEBE"/>
          <bgColor rgb="FFFFBEBE"/>
        </patternFill>
      </fill>
      <border/>
    </dxf>
    <dxf>
      <font>
        <color rgb="FFA50021"/>
      </font>
      <fill>
        <patternFill patternType="solid">
          <fgColor rgb="FFFFCDCD"/>
          <bgColor rgb="FFFFCDCD"/>
        </patternFill>
      </fill>
      <border/>
    </dxf>
    <dxf>
      <font>
        <color rgb="FFA50021"/>
      </font>
      <fill>
        <patternFill patternType="solid">
          <fgColor rgb="FFFFC5C5"/>
          <bgColor rgb="FFFFC5C5"/>
        </patternFill>
      </fill>
      <border/>
    </dxf>
    <dxf>
      <font>
        <color rgb="FF8E0000"/>
      </font>
      <fill>
        <patternFill patternType="solid">
          <fgColor rgb="FFFFC9C9"/>
          <bgColor rgb="FFFFC9C9"/>
        </patternFill>
      </fill>
      <border/>
    </dxf>
    <dxf>
      <font/>
      <fill>
        <patternFill patternType="solid">
          <fgColor rgb="FFC00000"/>
          <bgColor rgb="FFC00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58</xdr:row>
      <xdr:rowOff>0</xdr:rowOff>
    </xdr:from>
    <xdr:ext cx="1095375" cy="571500"/>
    <xdr:sp>
      <xdr:nvSpPr>
        <xdr:cNvPr id="3" name="Shape 3"/>
        <xdr:cNvSpPr/>
      </xdr:nvSpPr>
      <xdr:spPr>
        <a:xfrm>
          <a:off x="4803075" y="3499013"/>
          <a:ext cx="1085850" cy="561975"/>
        </a:xfrm>
        <a:custGeom>
          <a:rect b="b" l="l" r="r" t="t"/>
          <a:pathLst>
            <a:path extrusionOk="0" h="549275" w="1068705">
              <a:moveTo>
                <a:pt x="1068324" y="0"/>
              </a:moveTo>
              <a:lnTo>
                <a:pt x="0" y="0"/>
              </a:lnTo>
              <a:lnTo>
                <a:pt x="0" y="548957"/>
              </a:lnTo>
              <a:lnTo>
                <a:pt x="1068324" y="548957"/>
              </a:lnTo>
              <a:lnTo>
                <a:pt x="1068324" y="0"/>
              </a:lnTo>
              <a:close/>
            </a:path>
          </a:pathLst>
        </a:custGeom>
        <a:solidFill>
          <a:srgbClr val="FFFFFF">
            <a:alpha val="49019"/>
          </a:srgbClr>
        </a:solidFill>
        <a:ln>
          <a:noFill/>
        </a:ln>
      </xdr:spPr>
    </xdr: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postel.go.id/" TargetMode="External"/><Relationship Id="rId3" Type="http://schemas.openxmlformats.org/officeDocument/2006/relationships/drawing" Target="../drawings/drawing10.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drive/folders/138fq1Hk3xPgqf2nIdGT0ZfaUpq4XSHfw" TargetMode="External"/><Relationship Id="rId20" Type="http://schemas.openxmlformats.org/officeDocument/2006/relationships/hyperlink" Target="https://drive.google.com/drive/folders/1EiS8UPF9LTIf7FrGA67xClYnQDwpc844" TargetMode="External"/><Relationship Id="rId42" Type="http://schemas.openxmlformats.org/officeDocument/2006/relationships/hyperlink" Target="https://drive.google.com/drive/folders/1YkD0BdhnMrBldvw2uEyscfik4gjRl7SR" TargetMode="External"/><Relationship Id="rId41" Type="http://schemas.openxmlformats.org/officeDocument/2006/relationships/hyperlink" Target="https://drive.google.com/drive/folders/1ZIT1FeCBa1B4T-78rKXWwFO66FJ-O04D" TargetMode="External"/><Relationship Id="rId22" Type="http://schemas.openxmlformats.org/officeDocument/2006/relationships/hyperlink" Target="https://drive.google.com/drive/folders/1ZalrsADytmB6-rMpDRyY1P_w0CVl45Cp" TargetMode="External"/><Relationship Id="rId44" Type="http://schemas.openxmlformats.org/officeDocument/2006/relationships/drawing" Target="../drawings/drawing11.xml"/><Relationship Id="rId21" Type="http://schemas.openxmlformats.org/officeDocument/2006/relationships/hyperlink" Target="https://drive.google.com/drive/folders/1LnNnhFbr11ikWnvkdAEvKg4Qy68Pmgrl" TargetMode="External"/><Relationship Id="rId43" Type="http://schemas.openxmlformats.org/officeDocument/2006/relationships/hyperlink" Target="https://drive.google.com/drive/folders/14jUr7ycniFZLV-YcRdp8_xMor5DeEfmv" TargetMode="External"/><Relationship Id="rId24" Type="http://schemas.openxmlformats.org/officeDocument/2006/relationships/hyperlink" Target="https://drive.google.com/drive/folders/143PNW-UQDJwUczonB4rf6CVV5nJYe8iW" TargetMode="External"/><Relationship Id="rId23" Type="http://schemas.openxmlformats.org/officeDocument/2006/relationships/hyperlink" Target="https://drive.google.com/drive/folders/1ZalrsADytmB6-rMpDRyY1P_w0CVl45Cp" TargetMode="External"/><Relationship Id="rId1" Type="http://schemas.openxmlformats.org/officeDocument/2006/relationships/hyperlink" Target="https://drive.google.com/drive/folders/11gondY70Wz0WfgDju8Dun5Ts3JrBrcsP" TargetMode="External"/><Relationship Id="rId2" Type="http://schemas.openxmlformats.org/officeDocument/2006/relationships/hyperlink" Target="https://drive.google.com/drive/folders/1i80Iy_nhLlthOiKvI1yqzwnsnYvrJO8c" TargetMode="External"/><Relationship Id="rId3" Type="http://schemas.openxmlformats.org/officeDocument/2006/relationships/hyperlink" Target="https://drive.google.com/drive/folders/1SSKsdsKQ5_UcKQx96Q_jqukhf--QJikw" TargetMode="External"/><Relationship Id="rId4" Type="http://schemas.openxmlformats.org/officeDocument/2006/relationships/hyperlink" Target="https://drive.google.com/drive/folders/1CmdZ2xBFC63weUTw4e8990-zTus29mBL" TargetMode="External"/><Relationship Id="rId9" Type="http://schemas.openxmlformats.org/officeDocument/2006/relationships/hyperlink" Target="https://drive.google.com/drive/folders/16TyWDHfLwAF3tBgylbzbP00vxpa_3Gem" TargetMode="External"/><Relationship Id="rId26" Type="http://schemas.openxmlformats.org/officeDocument/2006/relationships/hyperlink" Target="https://drive.google.com/drive/folders/1ykijYmzpjhmktZUo5Ps5Eakkx6dH81rf" TargetMode="External"/><Relationship Id="rId25" Type="http://schemas.openxmlformats.org/officeDocument/2006/relationships/hyperlink" Target="https://drive.google.com/drive/folders/1gKNN1T3a8fgB_rvuYzElqvkCp0c31TL2" TargetMode="External"/><Relationship Id="rId28" Type="http://schemas.openxmlformats.org/officeDocument/2006/relationships/hyperlink" Target="https://drive.google.com/drive/folders/1w9Oug6DPrGHRujuxUurdJtm19SNLtdug" TargetMode="External"/><Relationship Id="rId27" Type="http://schemas.openxmlformats.org/officeDocument/2006/relationships/hyperlink" Target="https://drive.google.com/drive/folders/1YDKtLZv6gq3C1pbnyYtIUEN7EwvBJGGI" TargetMode="External"/><Relationship Id="rId5" Type="http://schemas.openxmlformats.org/officeDocument/2006/relationships/hyperlink" Target="https://drive.google.com/drive/folders/1BI4YRnD7GprR6eIZipGC_kSEnwJzodlB" TargetMode="External"/><Relationship Id="rId6" Type="http://schemas.openxmlformats.org/officeDocument/2006/relationships/hyperlink" Target="https://drive.google.com/drive/folders/1CyPNFAlU6JMSmieHXR-UYgjP9p5NlEik" TargetMode="External"/><Relationship Id="rId29" Type="http://schemas.openxmlformats.org/officeDocument/2006/relationships/hyperlink" Target="https://drive.google.com/drive/folders/1RhCZfrOOWpg_u-PB74M8dRNR4CI1KgzV" TargetMode="External"/><Relationship Id="rId7" Type="http://schemas.openxmlformats.org/officeDocument/2006/relationships/hyperlink" Target="https://drive.google.com/drive/folders/17qH3sfE_fJSxxizQ_RKbYqXOZd-Qq5FG" TargetMode="External"/><Relationship Id="rId8" Type="http://schemas.openxmlformats.org/officeDocument/2006/relationships/hyperlink" Target="https://drive.google.com/drive/folders/1_xT5Z2gan449LcM06q-MD83-2XpcGL0f" TargetMode="External"/><Relationship Id="rId31" Type="http://schemas.openxmlformats.org/officeDocument/2006/relationships/hyperlink" Target="https://drive.google.com/drive/folders/1npDwbid3NELo4MQK1Iu_ouk932E4sERT" TargetMode="External"/><Relationship Id="rId30" Type="http://schemas.openxmlformats.org/officeDocument/2006/relationships/hyperlink" Target="https://drive.google.com/drive/folders/1qyFpR2qhX8SFNOWBcdvq3CHTPJFdW7T4" TargetMode="External"/><Relationship Id="rId11" Type="http://schemas.openxmlformats.org/officeDocument/2006/relationships/hyperlink" Target="https://drive.google.com/drive/folders/1usnxS_pceTwTgVB-3vthbJRo8zqixtbx" TargetMode="External"/><Relationship Id="rId33" Type="http://schemas.openxmlformats.org/officeDocument/2006/relationships/hyperlink" Target="https://drive.google.com/drive/folders/1dzNJxV05Vc55KhjsZFi92p2iQUxNp_pS" TargetMode="External"/><Relationship Id="rId10" Type="http://schemas.openxmlformats.org/officeDocument/2006/relationships/hyperlink" Target="https://drive.google.com/drive/folders/1MGnod9i7-lLaxzSSWY2sbu15n0a2heeL" TargetMode="External"/><Relationship Id="rId32" Type="http://schemas.openxmlformats.org/officeDocument/2006/relationships/hyperlink" Target="https://drive.google.com/drive/folders/102zKUZqY9QEbvOF2t7icF9jLZVD6TcaP" TargetMode="External"/><Relationship Id="rId13" Type="http://schemas.openxmlformats.org/officeDocument/2006/relationships/hyperlink" Target="https://drive.google.com/drive/folders/1YhMmCnM3O5JoVxNb3IJk5qxtm9tK_if3" TargetMode="External"/><Relationship Id="rId35" Type="http://schemas.openxmlformats.org/officeDocument/2006/relationships/hyperlink" Target="https://drive.google.com/drive/folders/1lJNTtjhYtB82xJh3HL5LoCd91nQbJxWw" TargetMode="External"/><Relationship Id="rId12" Type="http://schemas.openxmlformats.org/officeDocument/2006/relationships/hyperlink" Target="https://drive.google.com/drive/folders/1VsbPZwT9UxSRr6kyTlRf9ljbBFQFcjHO" TargetMode="External"/><Relationship Id="rId34" Type="http://schemas.openxmlformats.org/officeDocument/2006/relationships/hyperlink" Target="https://drive.google.com/drive/folders/1hi26pyVCHuMon7dI2VYhwh_kNQouTqZH" TargetMode="External"/><Relationship Id="rId15" Type="http://schemas.openxmlformats.org/officeDocument/2006/relationships/hyperlink" Target="https://drive.google.com/drive/folders/1-2PviheUwDXvGQmcTlHoHM_lHY_c0Kbg" TargetMode="External"/><Relationship Id="rId37" Type="http://schemas.openxmlformats.org/officeDocument/2006/relationships/hyperlink" Target="https://drive.google.com/drive/folders/18QNIzUVXBtIXtUrJPFlyxy7yeRUzivRd" TargetMode="External"/><Relationship Id="rId14" Type="http://schemas.openxmlformats.org/officeDocument/2006/relationships/hyperlink" Target="https://drive.google.com/drive/folders/1DwFVVjhSz040lJkVa4HlNzMr3MsvwRFz" TargetMode="External"/><Relationship Id="rId36" Type="http://schemas.openxmlformats.org/officeDocument/2006/relationships/hyperlink" Target="https://drive.google.com/drive/folders/16KhkernFaLsZqBYtJPHsiEdtd9ln6ZkU" TargetMode="External"/><Relationship Id="rId17" Type="http://schemas.openxmlformats.org/officeDocument/2006/relationships/hyperlink" Target="https://drive.google.com/drive/folders/1s94Um7U9NLbZHxDSwaMUk49m7yXphQpi" TargetMode="External"/><Relationship Id="rId39" Type="http://schemas.openxmlformats.org/officeDocument/2006/relationships/hyperlink" Target="https://drive.google.com/drive/folders/1Ufr8oalZJShoM1mxPil26jkjdupruaO6" TargetMode="External"/><Relationship Id="rId16" Type="http://schemas.openxmlformats.org/officeDocument/2006/relationships/hyperlink" Target="https://drive.google.com/drive/folders/1IYxFCsrsaav94xV-d6ZVx6-camzDcYVr" TargetMode="External"/><Relationship Id="rId38" Type="http://schemas.openxmlformats.org/officeDocument/2006/relationships/hyperlink" Target="https://drive.google.com/drive/folders/11FeytreMPZGh3UF7SpcprBCyZGhb7WF5" TargetMode="External"/><Relationship Id="rId19" Type="http://schemas.openxmlformats.org/officeDocument/2006/relationships/hyperlink" Target="https://drive.google.com/drive/folders/1-kKivqBZdaDeb6Pd-keWFAa6N1QO4bWb" TargetMode="External"/><Relationship Id="rId18" Type="http://schemas.openxmlformats.org/officeDocument/2006/relationships/hyperlink" Target="https://drive.google.com/drive/folders/1_ALWazYQLpA8mSGsnT04yNtOkmwcndfK"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rive.google.com/drive/folders/1ga1OdxsjJLH5re6U0e1wOCXP5HjCoHeQ" TargetMode="External"/><Relationship Id="rId20" Type="http://schemas.openxmlformats.org/officeDocument/2006/relationships/hyperlink" Target="https://drive.google.com/drive/folders/1V_lS8308059yzYH7xUNxBvCFDFkS0ArE" TargetMode="External"/><Relationship Id="rId41" Type="http://schemas.openxmlformats.org/officeDocument/2006/relationships/drawing" Target="../drawings/drawing12.xml"/><Relationship Id="rId22" Type="http://schemas.openxmlformats.org/officeDocument/2006/relationships/hyperlink" Target="https://drive.google.com/drive/folders/1nRdC_HKe2MUBEn8gYLHgnEoNQBZz7gUP" TargetMode="External"/><Relationship Id="rId21" Type="http://schemas.openxmlformats.org/officeDocument/2006/relationships/hyperlink" Target="https://drive.google.com/drive/folders/1Eu7Kp5RzsOQQmNRuQJuXuTTLT4CnxhdT" TargetMode="External"/><Relationship Id="rId24" Type="http://schemas.openxmlformats.org/officeDocument/2006/relationships/hyperlink" Target="https://drive.google.com/drive/folders/1gKNN1T3a8fgB_rvuYzElqvkCp0c31TL2" TargetMode="External"/><Relationship Id="rId23" Type="http://schemas.openxmlformats.org/officeDocument/2006/relationships/hyperlink" Target="https://drive.google.com/drive/folders/1nRdC_HKe2MUBEn8gYLHgnEoNQBZz7gUP" TargetMode="External"/><Relationship Id="rId1" Type="http://schemas.openxmlformats.org/officeDocument/2006/relationships/hyperlink" Target="https://drive.google.com/drive/folders/1ZQp1T6IiuceMPG-onutg5kLlL4LCQYXW" TargetMode="External"/><Relationship Id="rId2" Type="http://schemas.openxmlformats.org/officeDocument/2006/relationships/hyperlink" Target="https://drive.google.com/drive/folders/1EYMk05vZuu07uZgSqrHMQK_MZ4YTGpL8" TargetMode="External"/><Relationship Id="rId3" Type="http://schemas.openxmlformats.org/officeDocument/2006/relationships/hyperlink" Target="https://drive.google.com/drive/folders/1O6-4Uo21klInPzDbuefVwE3Swg8U5De0" TargetMode="External"/><Relationship Id="rId4" Type="http://schemas.openxmlformats.org/officeDocument/2006/relationships/hyperlink" Target="https://drive.google.com/drive/folders/1EVWCJcAFKGZTBfmOcOVLCWp_2m4dxBZG" TargetMode="External"/><Relationship Id="rId9" Type="http://schemas.openxmlformats.org/officeDocument/2006/relationships/hyperlink" Target="https://drive.google.com/drive/folders/1tBSYcdgL7fFZXTuw-uGSD1CFv20iDCZp" TargetMode="External"/><Relationship Id="rId26" Type="http://schemas.openxmlformats.org/officeDocument/2006/relationships/hyperlink" Target="https://drive.google.com/drive/folders/1X02Ba5rZcDN5wsQ2MBajJfy8Tn2LV1PV" TargetMode="External"/><Relationship Id="rId25" Type="http://schemas.openxmlformats.org/officeDocument/2006/relationships/hyperlink" Target="https://drive.google.com/drive/folders/1585tvAXVlxqW-vH8Sksy52YFtdTpNlgK" TargetMode="External"/><Relationship Id="rId28" Type="http://schemas.openxmlformats.org/officeDocument/2006/relationships/hyperlink" Target="https://drive.google.com/drive/folders/1cPoJzMpR6P1ZjVVRpKb1eKsSR5bD8b5e" TargetMode="External"/><Relationship Id="rId27" Type="http://schemas.openxmlformats.org/officeDocument/2006/relationships/hyperlink" Target="https://drive.google.com/drive/folders/1Yu5No7dW6iZufORip35xbqcG6SWdPuUl" TargetMode="External"/><Relationship Id="rId5" Type="http://schemas.openxmlformats.org/officeDocument/2006/relationships/hyperlink" Target="https://drive.google.com/drive/folders/1ph2x_t7Occ7pO6AV7yAFGeceRyhQuf5g" TargetMode="External"/><Relationship Id="rId6" Type="http://schemas.openxmlformats.org/officeDocument/2006/relationships/hyperlink" Target="https://drive.google.com/drive/folders/1wmaRYqwErrYtoTuoY4a_UYtYqahjelj9" TargetMode="External"/><Relationship Id="rId29" Type="http://schemas.openxmlformats.org/officeDocument/2006/relationships/hyperlink" Target="https://drive.google.com/drive/folders/102zKUZqY9QEbvOF2t7icF9jLZVD6TcaP" TargetMode="External"/><Relationship Id="rId7" Type="http://schemas.openxmlformats.org/officeDocument/2006/relationships/hyperlink" Target="https://drive.google.com/drive/folders/1D7RONi0mNNhxCTmg9Ps9nPxmTXW9WhmT" TargetMode="External"/><Relationship Id="rId8" Type="http://schemas.openxmlformats.org/officeDocument/2006/relationships/hyperlink" Target="https://drive.google.com/drive/folders/1Q7n9kSZEqdbHND7cWVrGmJ3rnjI3H7jZ" TargetMode="External"/><Relationship Id="rId31" Type="http://schemas.openxmlformats.org/officeDocument/2006/relationships/hyperlink" Target="https://drive.google.com/drive/folders/1u9kNUnaYp26zew0kfltZHCKKC-HUFLKP" TargetMode="External"/><Relationship Id="rId30" Type="http://schemas.openxmlformats.org/officeDocument/2006/relationships/hyperlink" Target="https://drive.google.com/drive/folders/1dzNJxV05Vc55KhjsZFi92p2iQUxNp_pS" TargetMode="External"/><Relationship Id="rId11" Type="http://schemas.openxmlformats.org/officeDocument/2006/relationships/hyperlink" Target="https://drive.google.com/drive/folders/1mWLSi19i3WrDYwPjuuW0foj5c9U5Ajsj" TargetMode="External"/><Relationship Id="rId33" Type="http://schemas.openxmlformats.org/officeDocument/2006/relationships/hyperlink" Target="https://drive.google.com/drive/folders/1-AffWi3ICZQyIf8DeWRZWXGO2s18rkXG" TargetMode="External"/><Relationship Id="rId10" Type="http://schemas.openxmlformats.org/officeDocument/2006/relationships/hyperlink" Target="https://drive.google.com/drive/folders/1Lmjb5CL1Hnvj0JHFY2yS1spcROhS5VuX" TargetMode="External"/><Relationship Id="rId32" Type="http://schemas.openxmlformats.org/officeDocument/2006/relationships/hyperlink" Target="https://drive.google.com/drive/folders/1rfn85IjJnwzBWLuo8mz9sE8TGN4Ya5Qg" TargetMode="External"/><Relationship Id="rId13" Type="http://schemas.openxmlformats.org/officeDocument/2006/relationships/hyperlink" Target="https://drive.google.com/drive/folders/1x5ILW2wpApRVuzXtVU5gkUHEmtFDw1NP" TargetMode="External"/><Relationship Id="rId35" Type="http://schemas.openxmlformats.org/officeDocument/2006/relationships/hyperlink" Target="https://drive.google.com/drive/folders/12vOinqYx06dZFI0_40LHHeX7r_fc9e7o" TargetMode="External"/><Relationship Id="rId12" Type="http://schemas.openxmlformats.org/officeDocument/2006/relationships/hyperlink" Target="https://drive.google.com/drive/folders/1t-5ZPLkypg96r_iCLKn1FgqqMCD6MLeQ" TargetMode="External"/><Relationship Id="rId34" Type="http://schemas.openxmlformats.org/officeDocument/2006/relationships/hyperlink" Target="https://drive.google.com/drive/folders/1iPiTITVGp0Egvhx0Kk__pPEh1bO1iVx9" TargetMode="External"/><Relationship Id="rId15" Type="http://schemas.openxmlformats.org/officeDocument/2006/relationships/hyperlink" Target="https://drive.google.com/drive/folders/1fldtcOLeKi4L2OOt6i9_ZIntNcn1UZQS" TargetMode="External"/><Relationship Id="rId37" Type="http://schemas.openxmlformats.org/officeDocument/2006/relationships/hyperlink" Target="https://drive.google.com/drive/folders/1cZuq0HwWvhH1mBPyNjY7uU_EqB7If5JU" TargetMode="External"/><Relationship Id="rId14" Type="http://schemas.openxmlformats.org/officeDocument/2006/relationships/hyperlink" Target="https://drive.google.com/drive/folders/1-uZ_YGYCGNw76rL9rcUnKpRY6w4SDSrS" TargetMode="External"/><Relationship Id="rId36" Type="http://schemas.openxmlformats.org/officeDocument/2006/relationships/hyperlink" Target="https://drive.google.com/drive/folders/1-b-Tx8wu4puYhVoqCH2sBET1ixLVP1iD" TargetMode="External"/><Relationship Id="rId17" Type="http://schemas.openxmlformats.org/officeDocument/2006/relationships/hyperlink" Target="https://drive.google.com/drive/folders/1MbE-SeZvZ388AZkz92f1GpxXxg7tQJwh" TargetMode="External"/><Relationship Id="rId39" Type="http://schemas.openxmlformats.org/officeDocument/2006/relationships/hyperlink" Target="https://drive.google.com/drive/folders/1G9AAFPCHktLOx3x-Pvw9aenAMj5aCT_-" TargetMode="External"/><Relationship Id="rId16" Type="http://schemas.openxmlformats.org/officeDocument/2006/relationships/hyperlink" Target="https://drive.google.com/drive/folders/1RHd4qI-lYFNgTW84okvPylC5rsNG6qh4" TargetMode="External"/><Relationship Id="rId38" Type="http://schemas.openxmlformats.org/officeDocument/2006/relationships/hyperlink" Target="https://drive.google.com/drive/folders/1sB610NRtDo-yAUQBg7G8KpZhepQqcVgl" TargetMode="External"/><Relationship Id="rId19" Type="http://schemas.openxmlformats.org/officeDocument/2006/relationships/hyperlink" Target="https://drive.google.com/drive/folders/1ZvRujw0OtpeOsv_aiir7h_qYEgzjB0IV" TargetMode="External"/><Relationship Id="rId18" Type="http://schemas.openxmlformats.org/officeDocument/2006/relationships/hyperlink" Target="https://drive.google.com/drive/folders/1m3RQbPtm7ordT7HMzmRMjZQrptoDDgyo"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drive/folders/1g2i8hUdwn4GbwnvXjIgiu7t1brTbwe6P" TargetMode="External"/><Relationship Id="rId42" Type="http://schemas.openxmlformats.org/officeDocument/2006/relationships/hyperlink" Target="https://drive.google.com/drive/folders/1AoBo872Msayg1RxmgOsE-ht1zxitp1JF" TargetMode="External"/><Relationship Id="rId41" Type="http://schemas.openxmlformats.org/officeDocument/2006/relationships/hyperlink" Target="https://drive.google.com/drive/folders/1jpxvsvfti6dkkWNfZD5-7lJFqtLv9fo4" TargetMode="External"/><Relationship Id="rId44" Type="http://schemas.openxmlformats.org/officeDocument/2006/relationships/hyperlink" Target="https://drive.google.com/drive/folders/1MAN1YdH7ss1vhEguFUAz65KY5FuD5jUq" TargetMode="External"/><Relationship Id="rId43" Type="http://schemas.openxmlformats.org/officeDocument/2006/relationships/hyperlink" Target="https://drive.google.com/drive/folders/1rMKzVVpwToQLfAs2wEVzuHG3b17e405S" TargetMode="External"/><Relationship Id="rId46" Type="http://schemas.openxmlformats.org/officeDocument/2006/relationships/hyperlink" Target="https://drive.google.com/drive/folders/1-eZNuNHts8e9uq0ntIT9fNzQq1TGTRqE" TargetMode="External"/><Relationship Id="rId45" Type="http://schemas.openxmlformats.org/officeDocument/2006/relationships/hyperlink" Target="https://drive.google.com/drive/folders/1-rpZDv9nA81y2Rdzsl6xZ0kWug_hxp00" TargetMode="External"/><Relationship Id="rId1" Type="http://schemas.openxmlformats.org/officeDocument/2006/relationships/hyperlink" Target="https://drive.google.com/drive/folders/12lhHfsOsMOMLMCd7q8vfVARFvMwDYIPF" TargetMode="External"/><Relationship Id="rId2" Type="http://schemas.openxmlformats.org/officeDocument/2006/relationships/hyperlink" Target="https://drive.google.com/drive/folders/1b995kIqgNIlPhOT7DoaOg4QERDuq4jVJ" TargetMode="External"/><Relationship Id="rId3" Type="http://schemas.openxmlformats.org/officeDocument/2006/relationships/hyperlink" Target="https://drive.google.com/drive/folders/1ukowBvwwG6qZ_H5uD8lKFy03D6EQYg_D" TargetMode="External"/><Relationship Id="rId4" Type="http://schemas.openxmlformats.org/officeDocument/2006/relationships/hyperlink" Target="https://drive.google.com/drive/folders/1iPWiA_dxNi5dGsxDy7nyO51QDZOoSigY" TargetMode="External"/><Relationship Id="rId9" Type="http://schemas.openxmlformats.org/officeDocument/2006/relationships/hyperlink" Target="https://drive.google.com/drive/folders/1FKaHX_kWBFIcUVWXpS4CUGNuKB5r9Jpn" TargetMode="External"/><Relationship Id="rId48" Type="http://schemas.openxmlformats.org/officeDocument/2006/relationships/hyperlink" Target="https://drive.google.com/drive/folders/1cIs-5vQTeCIVW-0vQ8ta9KUWTfFXHvXr" TargetMode="External"/><Relationship Id="rId47" Type="http://schemas.openxmlformats.org/officeDocument/2006/relationships/hyperlink" Target="https://drive.google.com/drive/folders/1GOdyYHwlt24TPqlbaJNOLFQtYrMpqF6A" TargetMode="External"/><Relationship Id="rId49" Type="http://schemas.openxmlformats.org/officeDocument/2006/relationships/hyperlink" Target="https://drive.google.com/drive/folders/1BYeFixUWqGiZJLZ8uUyKEv8sN0RYwcNt" TargetMode="External"/><Relationship Id="rId5" Type="http://schemas.openxmlformats.org/officeDocument/2006/relationships/hyperlink" Target="https://drive.google.com/drive/folders/141Fi9zmQtljx_gbsHCdOOLMjfEztEjNQ" TargetMode="External"/><Relationship Id="rId6" Type="http://schemas.openxmlformats.org/officeDocument/2006/relationships/hyperlink" Target="https://drive.google.com/drive/folders/1Luxt8HP4kup34pIe45d_Auu8eiikTbmN" TargetMode="External"/><Relationship Id="rId7" Type="http://schemas.openxmlformats.org/officeDocument/2006/relationships/hyperlink" Target="https://drive.google.com/drive/folders/1bUYGVWERc5XMCOOZSMABJ7ZzC3Tnff0L" TargetMode="External"/><Relationship Id="rId8" Type="http://schemas.openxmlformats.org/officeDocument/2006/relationships/hyperlink" Target="https://drive.google.com/drive/folders/1zqnkWh46k_ccT0aG6m52Oenc-UKwkiAn" TargetMode="External"/><Relationship Id="rId31" Type="http://schemas.openxmlformats.org/officeDocument/2006/relationships/hyperlink" Target="https://drive.google.com/drive/folders/1l99rUeHE9BF1N2fKhqUBRY0fIr-5V4B7" TargetMode="External"/><Relationship Id="rId30" Type="http://schemas.openxmlformats.org/officeDocument/2006/relationships/hyperlink" Target="https://drive.google.com/drive/folders/1V56LmrNCSo7Zf2m_2OdjAtZ4Xao7Vt08" TargetMode="External"/><Relationship Id="rId33" Type="http://schemas.openxmlformats.org/officeDocument/2006/relationships/hyperlink" Target="https://drive.google.com/drive/folders/1totSDxqVU3ksjawPMK2_srcmSPWA7Men" TargetMode="External"/><Relationship Id="rId32" Type="http://schemas.openxmlformats.org/officeDocument/2006/relationships/hyperlink" Target="https://drive.google.com/drive/folders/1PAi9-H63WdHMNbcMRQ1dVnGzCTJT6Vdy" TargetMode="External"/><Relationship Id="rId35" Type="http://schemas.openxmlformats.org/officeDocument/2006/relationships/hyperlink" Target="https://drive.google.com/drive/folders/1SBkJ76y_j7_fLbgVhPxPDTU8BmKM0vRp" TargetMode="External"/><Relationship Id="rId34" Type="http://schemas.openxmlformats.org/officeDocument/2006/relationships/hyperlink" Target="https://drive.google.com/drive/folders/1V_m629xxnEHVS-buCaIJo3MDaZxJu4n3" TargetMode="External"/><Relationship Id="rId37" Type="http://schemas.openxmlformats.org/officeDocument/2006/relationships/hyperlink" Target="https://drive.google.com/drive/folders/163Ls5zAOkbmSlQ8uoS1-vhrtccb-oW_i" TargetMode="External"/><Relationship Id="rId36" Type="http://schemas.openxmlformats.org/officeDocument/2006/relationships/hyperlink" Target="https://drive.google.com/drive/folders/1Alr2Cc8TyW8xyAAN7ADw0ey61xPDmLiG" TargetMode="External"/><Relationship Id="rId39" Type="http://schemas.openxmlformats.org/officeDocument/2006/relationships/hyperlink" Target="https://drive.google.com/drive/folders/1vfvY50G2IJX-ohcq_xJGCoZy5TMEQToJ" TargetMode="External"/><Relationship Id="rId38" Type="http://schemas.openxmlformats.org/officeDocument/2006/relationships/hyperlink" Target="https://drive.google.com/drive/folders/1OByWWZ_rSxn6O5CljlI4AVXVaxCboF3k" TargetMode="External"/><Relationship Id="rId20" Type="http://schemas.openxmlformats.org/officeDocument/2006/relationships/hyperlink" Target="https://drive.google.com/drive/folders/1fAh7u3skghhySGQ_ataOxlkzUxQGry-o" TargetMode="External"/><Relationship Id="rId22" Type="http://schemas.openxmlformats.org/officeDocument/2006/relationships/hyperlink" Target="https://drive.google.com/drive/folders/1Y5FnaPUj5NiC51HFrR2ggZ6VwMram8RC" TargetMode="External"/><Relationship Id="rId21" Type="http://schemas.openxmlformats.org/officeDocument/2006/relationships/hyperlink" Target="https://drive.google.com/drive/folders/1Ag9CexGarmASdT1XcpErq_Vino0ct4AQ" TargetMode="External"/><Relationship Id="rId24" Type="http://schemas.openxmlformats.org/officeDocument/2006/relationships/hyperlink" Target="https://drive.google.com/drive/folders/1cMzc5XVt2-l_T3YH-fGvmadTnb91np__" TargetMode="External"/><Relationship Id="rId23" Type="http://schemas.openxmlformats.org/officeDocument/2006/relationships/hyperlink" Target="https://drive.google.com/drive/folders/1OgEeNHFk8u9wRgO4HXtPfDVknB4aizLA" TargetMode="External"/><Relationship Id="rId26" Type="http://schemas.openxmlformats.org/officeDocument/2006/relationships/hyperlink" Target="https://drive.google.com/drive/folders/17j5Tm9rdwUkxvGBdA3737N7olSkHIGiM" TargetMode="External"/><Relationship Id="rId25" Type="http://schemas.openxmlformats.org/officeDocument/2006/relationships/hyperlink" Target="https://drive.google.com/drive/folders/1rGfHoPXTwn-exthAvNiCuKcJXWOJ3iYM" TargetMode="External"/><Relationship Id="rId28" Type="http://schemas.openxmlformats.org/officeDocument/2006/relationships/hyperlink" Target="https://drive.google.com/drive/folders/1nXsclOjJ2zuQFopKRuKdtCYpCZiXN58N" TargetMode="External"/><Relationship Id="rId27" Type="http://schemas.openxmlformats.org/officeDocument/2006/relationships/hyperlink" Target="https://drive.google.com/drive/folders/10isEFzZQFWE4v6NN-U428rwegn1PCM5y" TargetMode="External"/><Relationship Id="rId29" Type="http://schemas.openxmlformats.org/officeDocument/2006/relationships/hyperlink" Target="https://drive.google.com/drive/folders/1wgeuHZw7adzapWuFb_YNLzbdENl7QmS2" TargetMode="External"/><Relationship Id="rId51" Type="http://schemas.openxmlformats.org/officeDocument/2006/relationships/hyperlink" Target="https://drive.google.com/drive/folders/1on_67CFk6wmWDx0uJWtoiUhkgx1GHSy3" TargetMode="External"/><Relationship Id="rId50" Type="http://schemas.openxmlformats.org/officeDocument/2006/relationships/hyperlink" Target="https://drive.google.com/drive/folders/1NfTsw9pw-_lWvlo46HMTcP-KSUK-4VM-" TargetMode="External"/><Relationship Id="rId53" Type="http://schemas.openxmlformats.org/officeDocument/2006/relationships/hyperlink" Target="https://drive.google.com/drive/folders/113psVgmPsa6et3ooeMcxxAcZBx-YZUaO" TargetMode="External"/><Relationship Id="rId52" Type="http://schemas.openxmlformats.org/officeDocument/2006/relationships/hyperlink" Target="https://drive.google.com/drive/folders/1cp4CPoX5a4aAOjgJDp23qYnKVI4ePLBq" TargetMode="External"/><Relationship Id="rId11" Type="http://schemas.openxmlformats.org/officeDocument/2006/relationships/hyperlink" Target="https://drive.google.com/drive/folders/1WRcBj6UELNGNGpebXMruXFdm6Rhv-lNc" TargetMode="External"/><Relationship Id="rId55" Type="http://schemas.openxmlformats.org/officeDocument/2006/relationships/hyperlink" Target="https://drive.google.com/drive/folders/1zoZM_2DXRZPKlDHWDbfbK0oazl7WHgqs" TargetMode="External"/><Relationship Id="rId10" Type="http://schemas.openxmlformats.org/officeDocument/2006/relationships/hyperlink" Target="https://drive.google.com/drive/folders/10UQOZmsIlMF3Qom9cZSYuFv7liGb9cjp" TargetMode="External"/><Relationship Id="rId54" Type="http://schemas.openxmlformats.org/officeDocument/2006/relationships/hyperlink" Target="https://drive.google.com/drive/folders/10dO4gfgzbUfFz8LEHKgm2iAp-kYfs8K_" TargetMode="External"/><Relationship Id="rId13" Type="http://schemas.openxmlformats.org/officeDocument/2006/relationships/hyperlink" Target="https://drive.google.com/drive/folders/1Yrgz7wycz9OS2c1-sd7KgwdohmjmTpNn" TargetMode="External"/><Relationship Id="rId12" Type="http://schemas.openxmlformats.org/officeDocument/2006/relationships/hyperlink" Target="https://drive.google.com/drive/folders/1W5UqWW9DMB5xA5CH8Ro8VEUZtzQgdAcN" TargetMode="External"/><Relationship Id="rId56" Type="http://schemas.openxmlformats.org/officeDocument/2006/relationships/drawing" Target="../drawings/drawing13.xml"/><Relationship Id="rId15" Type="http://schemas.openxmlformats.org/officeDocument/2006/relationships/hyperlink" Target="https://drive.google.com/drive/folders/17yZCeME1btPtxpEMWR0-WH4oHkPhQEgq" TargetMode="External"/><Relationship Id="rId14" Type="http://schemas.openxmlformats.org/officeDocument/2006/relationships/hyperlink" Target="https://drive.google.com/drive/folders/1ffY11Ma5pYMNtoORhjj99ucbJQMns9LP" TargetMode="External"/><Relationship Id="rId17" Type="http://schemas.openxmlformats.org/officeDocument/2006/relationships/hyperlink" Target="https://drive.google.com/drive/folders/1m4YN14_YgSSovynaBipyh8deXwfzQPwL" TargetMode="External"/><Relationship Id="rId16" Type="http://schemas.openxmlformats.org/officeDocument/2006/relationships/hyperlink" Target="https://drive.google.com/drive/folders/1QCvegWQ0CPCD0cC5XCFR129epgtu4sZi" TargetMode="External"/><Relationship Id="rId19" Type="http://schemas.openxmlformats.org/officeDocument/2006/relationships/hyperlink" Target="https://drive.google.com/drive/folders/1UCkAVFzQMEN9L0O0lyKH9QnH8hONABze" TargetMode="External"/><Relationship Id="rId18" Type="http://schemas.openxmlformats.org/officeDocument/2006/relationships/hyperlink" Target="https://drive.google.com/drive/folders/1dJFyynKy3HbaoqugaX_6sNH4hheYSP4w"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komin.fo/ManajemenRisiko" TargetMode="External"/><Relationship Id="rId2" Type="http://schemas.openxmlformats.org/officeDocument/2006/relationships/hyperlink" Target="https://balitbangsdm.kominfo.go.id/artikel-informasi-dan-pengaduan-5-1285.htm" TargetMode="External"/><Relationship Id="rId3" Type="http://schemas.openxmlformats.org/officeDocument/2006/relationships/hyperlink" Target="https://balitbangsdm.kominfo.go.id/publikasi-lakip-6.htm"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E79"/>
    <pageSetUpPr fitToPage="1"/>
  </sheetPr>
  <sheetViews>
    <sheetView workbookViewId="0"/>
  </sheetViews>
  <sheetFormatPr customHeight="1" defaultColWidth="11.22" defaultRowHeight="15.0"/>
  <cols>
    <col customWidth="1" min="1" max="1" width="5.56"/>
    <col customWidth="1" min="2" max="2" width="2.56"/>
    <col customWidth="1" min="3" max="3" width="56.56"/>
    <col customWidth="1" min="4" max="4" width="20.44"/>
    <col customWidth="1" min="6" max="6" width="13.44"/>
    <col customWidth="1" min="7" max="7" width="12.11"/>
    <col customWidth="1" min="8" max="8" width="11.11"/>
    <col customWidth="1" min="9" max="9" width="12.22"/>
    <col customWidth="1" min="11" max="11" width="2.56"/>
    <col customWidth="1" min="12" max="12" width="5.56"/>
    <col customWidth="1" min="13" max="13" width="27.22"/>
    <col customWidth="1" min="14" max="14" width="7.56"/>
    <col customWidth="1" min="15" max="17" width="4.0"/>
    <col customWidth="1" min="18" max="26" width="9.0"/>
  </cols>
  <sheetData>
    <row r="1">
      <c r="J1" s="1"/>
    </row>
    <row r="2">
      <c r="C2" s="2"/>
      <c r="D2" s="3"/>
      <c r="E2" s="3"/>
      <c r="F2" s="3"/>
      <c r="G2" s="3"/>
      <c r="H2" s="3"/>
      <c r="I2" s="3"/>
      <c r="J2" s="3"/>
    </row>
    <row r="3" ht="84.0" customHeight="1">
      <c r="C3" s="4" t="s">
        <v>0</v>
      </c>
    </row>
    <row r="4" ht="21.0" customHeight="1">
      <c r="C4" s="5" t="s">
        <v>1</v>
      </c>
      <c r="D4" s="6"/>
      <c r="E4" s="6"/>
      <c r="F4" s="6"/>
      <c r="G4" s="6"/>
      <c r="H4" s="6"/>
      <c r="I4" s="6"/>
      <c r="J4" s="7"/>
    </row>
    <row r="5">
      <c r="C5" s="8"/>
      <c r="D5" s="9"/>
      <c r="E5" s="9"/>
      <c r="F5" s="9"/>
      <c r="G5" s="9"/>
      <c r="H5" s="9"/>
      <c r="I5" s="10"/>
      <c r="J5" s="11"/>
    </row>
    <row r="6" ht="15.75" customHeight="1">
      <c r="C6" s="12" t="s">
        <v>2</v>
      </c>
      <c r="D6" s="13" t="s">
        <v>3</v>
      </c>
      <c r="E6" s="13" t="s">
        <v>4</v>
      </c>
      <c r="F6" s="14" t="s">
        <v>5</v>
      </c>
      <c r="G6" s="15" t="s">
        <v>6</v>
      </c>
      <c r="H6" s="16" t="s">
        <v>7</v>
      </c>
      <c r="I6" s="17" t="s">
        <v>8</v>
      </c>
      <c r="J6" s="18" t="s">
        <v>9</v>
      </c>
    </row>
    <row r="7" ht="21.75" customHeight="1">
      <c r="C7" s="19"/>
      <c r="D7" s="20"/>
      <c r="E7" s="20"/>
      <c r="F7" s="20"/>
      <c r="G7" s="20"/>
      <c r="H7" s="20"/>
      <c r="I7" s="20"/>
      <c r="J7" s="21"/>
    </row>
    <row r="8">
      <c r="C8" s="22" t="s">
        <v>10</v>
      </c>
      <c r="D8" s="23"/>
      <c r="E8" s="23"/>
      <c r="F8" s="24"/>
      <c r="G8" s="24"/>
      <c r="H8" s="24"/>
      <c r="I8" s="24"/>
      <c r="J8" s="25"/>
    </row>
    <row r="9">
      <c r="C9" s="26" t="s">
        <v>11</v>
      </c>
      <c r="D9" s="27"/>
      <c r="E9" s="27">
        <f>'KKlead I KL'!I20</f>
        <v>4</v>
      </c>
      <c r="F9" s="28">
        <v>0.5</v>
      </c>
      <c r="G9" s="29"/>
      <c r="H9" s="30">
        <f t="shared" ref="H9:H10" si="1">E9*F9</f>
        <v>2</v>
      </c>
      <c r="I9" s="29"/>
      <c r="J9" s="29"/>
    </row>
    <row r="10" ht="18.75" customHeight="1">
      <c r="C10" s="26" t="s">
        <v>12</v>
      </c>
      <c r="D10" s="27"/>
      <c r="E10" s="27">
        <f>'KKlead I KL'!I44</f>
        <v>5</v>
      </c>
      <c r="F10" s="28">
        <v>0.5</v>
      </c>
      <c r="G10" s="29"/>
      <c r="H10" s="30">
        <f t="shared" si="1"/>
        <v>2.5</v>
      </c>
      <c r="I10" s="29"/>
      <c r="J10" s="29"/>
    </row>
    <row r="11">
      <c r="C11" s="31" t="s">
        <v>13</v>
      </c>
      <c r="D11" s="32"/>
      <c r="E11" s="32"/>
      <c r="F11" s="33">
        <f>SUM(F9:F10)</f>
        <v>1</v>
      </c>
      <c r="G11" s="33"/>
      <c r="H11" s="34">
        <f>SUM(H9:H10)</f>
        <v>4.5</v>
      </c>
      <c r="I11" s="29"/>
      <c r="J11" s="29"/>
    </row>
    <row r="12">
      <c r="C12" s="26" t="s">
        <v>14</v>
      </c>
      <c r="D12" s="35"/>
      <c r="E12" s="35"/>
      <c r="F12" s="29"/>
      <c r="G12" s="36">
        <v>0.4</v>
      </c>
      <c r="H12" s="37"/>
      <c r="I12" s="38">
        <f>$G$12*$H$11</f>
        <v>1.8</v>
      </c>
      <c r="J12" s="39"/>
    </row>
    <row r="13">
      <c r="C13" s="40"/>
      <c r="D13" s="41"/>
      <c r="E13" s="41"/>
      <c r="F13" s="42"/>
      <c r="G13" s="42"/>
      <c r="H13" s="42"/>
      <c r="I13" s="42"/>
      <c r="J13" s="42"/>
    </row>
    <row r="14">
      <c r="C14" s="43" t="s">
        <v>15</v>
      </c>
      <c r="D14" s="44"/>
      <c r="E14" s="44"/>
      <c r="F14" s="45"/>
      <c r="G14" s="45"/>
      <c r="H14" s="46"/>
      <c r="I14" s="45"/>
      <c r="J14" s="47"/>
    </row>
    <row r="15">
      <c r="C15" s="48" t="s">
        <v>16</v>
      </c>
      <c r="D15" s="49"/>
      <c r="E15" s="49"/>
      <c r="F15" s="25"/>
      <c r="G15" s="25"/>
      <c r="H15" s="25"/>
      <c r="I15" s="25"/>
      <c r="J15" s="25"/>
    </row>
    <row r="16" ht="19.5" customHeight="1">
      <c r="C16" s="50" t="s">
        <v>17</v>
      </c>
      <c r="D16" s="51"/>
      <c r="E16" s="51">
        <f>'KKLEAD II'!L6</f>
        <v>4.09375</v>
      </c>
      <c r="F16" s="52">
        <f t="shared" ref="F16:F23" si="2">30%/8</f>
        <v>0.0375</v>
      </c>
      <c r="G16" s="29"/>
      <c r="H16" s="30">
        <f t="shared" ref="H16:H23" si="3">E16*F16</f>
        <v>0.153515625</v>
      </c>
      <c r="I16" s="29"/>
      <c r="J16" s="53"/>
    </row>
    <row r="17" ht="19.5" customHeight="1">
      <c r="C17" s="50" t="s">
        <v>18</v>
      </c>
      <c r="D17" s="51"/>
      <c r="E17" s="51">
        <f>'KKLEAD II'!L15</f>
        <v>3.5</v>
      </c>
      <c r="F17" s="52">
        <f t="shared" si="2"/>
        <v>0.0375</v>
      </c>
      <c r="G17" s="29"/>
      <c r="H17" s="30">
        <f t="shared" si="3"/>
        <v>0.13125</v>
      </c>
      <c r="I17" s="54"/>
      <c r="J17" s="55"/>
    </row>
    <row r="18">
      <c r="C18" s="50" t="s">
        <v>19</v>
      </c>
      <c r="D18" s="51"/>
      <c r="E18" s="51">
        <f>'KKLEAD II'!L17</f>
        <v>3</v>
      </c>
      <c r="F18" s="52">
        <f t="shared" si="2"/>
        <v>0.0375</v>
      </c>
      <c r="G18" s="29"/>
      <c r="H18" s="30">
        <f t="shared" si="3"/>
        <v>0.1125</v>
      </c>
      <c r="I18" s="54"/>
      <c r="J18" s="55"/>
    </row>
    <row r="19">
      <c r="C19" s="50" t="s">
        <v>20</v>
      </c>
      <c r="D19" s="51"/>
      <c r="E19" s="51">
        <f>'KKLEAD II'!L25</f>
        <v>3.75</v>
      </c>
      <c r="F19" s="52">
        <f t="shared" si="2"/>
        <v>0.0375</v>
      </c>
      <c r="G19" s="29"/>
      <c r="H19" s="30">
        <f t="shared" si="3"/>
        <v>0.140625</v>
      </c>
      <c r="I19" s="54"/>
      <c r="J19" s="55"/>
    </row>
    <row r="20">
      <c r="C20" s="50" t="s">
        <v>21</v>
      </c>
      <c r="D20" s="51"/>
      <c r="E20" s="51">
        <f>'KKLEAD II'!L27</f>
        <v>4.75</v>
      </c>
      <c r="F20" s="52">
        <f t="shared" si="2"/>
        <v>0.0375</v>
      </c>
      <c r="G20" s="29"/>
      <c r="H20" s="30">
        <f t="shared" si="3"/>
        <v>0.178125</v>
      </c>
      <c r="I20" s="54"/>
      <c r="J20" s="55"/>
    </row>
    <row r="21" ht="33.75" customHeight="1">
      <c r="C21" s="50" t="s">
        <v>22</v>
      </c>
      <c r="D21" s="51"/>
      <c r="E21" s="51">
        <f>'KKLEAD II'!L29</f>
        <v>2.75</v>
      </c>
      <c r="F21" s="52">
        <f t="shared" si="2"/>
        <v>0.0375</v>
      </c>
      <c r="G21" s="29"/>
      <c r="H21" s="30">
        <f t="shared" si="3"/>
        <v>0.103125</v>
      </c>
      <c r="I21" s="54"/>
      <c r="J21" s="55"/>
    </row>
    <row r="22" ht="18.75" customHeight="1">
      <c r="C22" s="50" t="s">
        <v>23</v>
      </c>
      <c r="D22" s="51"/>
      <c r="E22" s="51">
        <f>'KKLEAD II'!L33</f>
        <v>3</v>
      </c>
      <c r="F22" s="52">
        <f t="shared" si="2"/>
        <v>0.0375</v>
      </c>
      <c r="G22" s="29"/>
      <c r="H22" s="30">
        <f t="shared" si="3"/>
        <v>0.1125</v>
      </c>
      <c r="I22" s="54"/>
      <c r="J22" s="55"/>
    </row>
    <row r="23" ht="15.75" customHeight="1">
      <c r="C23" s="50" t="s">
        <v>24</v>
      </c>
      <c r="D23" s="51"/>
      <c r="E23" s="51">
        <f>'KKLEAD II'!L35</f>
        <v>3.625</v>
      </c>
      <c r="F23" s="52">
        <f t="shared" si="2"/>
        <v>0.0375</v>
      </c>
      <c r="G23" s="29"/>
      <c r="H23" s="30">
        <f t="shared" si="3"/>
        <v>0.1359375</v>
      </c>
      <c r="I23" s="54"/>
      <c r="J23" s="55"/>
    </row>
    <row r="24" ht="15.75" customHeight="1">
      <c r="C24" s="26" t="s">
        <v>25</v>
      </c>
      <c r="D24" s="35"/>
      <c r="E24" s="35"/>
      <c r="F24" s="29"/>
      <c r="G24" s="29"/>
      <c r="H24" s="29"/>
      <c r="I24" s="54"/>
      <c r="J24" s="55"/>
    </row>
    <row r="25" ht="15.75" customHeight="1">
      <c r="C25" s="50" t="s">
        <v>26</v>
      </c>
      <c r="D25" s="51"/>
      <c r="E25" s="51">
        <f>'KKLEAD II'!L38</f>
        <v>2.833333333</v>
      </c>
      <c r="F25" s="52">
        <v>0.1</v>
      </c>
      <c r="G25" s="29"/>
      <c r="H25" s="30">
        <f t="shared" ref="H25:H26" si="4">E25*F25</f>
        <v>0.2833333333</v>
      </c>
      <c r="I25" s="54"/>
      <c r="J25" s="55"/>
    </row>
    <row r="26" ht="15.75" customHeight="1">
      <c r="C26" s="50" t="s">
        <v>27</v>
      </c>
      <c r="D26" s="51"/>
      <c r="E26" s="51">
        <f>'KKLEAD II'!L42</f>
        <v>2.95</v>
      </c>
      <c r="F26" s="52">
        <v>0.1</v>
      </c>
      <c r="G26" s="29"/>
      <c r="H26" s="30">
        <f t="shared" si="4"/>
        <v>0.295</v>
      </c>
      <c r="I26" s="54"/>
      <c r="J26" s="55"/>
    </row>
    <row r="27" ht="15.75" customHeight="1">
      <c r="C27" s="26" t="s">
        <v>28</v>
      </c>
      <c r="D27" s="35"/>
      <c r="E27" s="35"/>
      <c r="F27" s="29"/>
      <c r="G27" s="29"/>
      <c r="H27" s="29"/>
      <c r="I27" s="54"/>
      <c r="J27" s="55"/>
    </row>
    <row r="28" ht="19.5" customHeight="1">
      <c r="C28" s="50" t="s">
        <v>29</v>
      </c>
      <c r="D28" s="51"/>
      <c r="E28" s="51">
        <f>'KKLEAD II'!L49</f>
        <v>3</v>
      </c>
      <c r="F28" s="52">
        <f t="shared" ref="F28:F38" si="5">25%/11</f>
        <v>0.02272727273</v>
      </c>
      <c r="G28" s="29"/>
      <c r="H28" s="30">
        <f t="shared" ref="H28:H38" si="6">E28*F28</f>
        <v>0.06818181818</v>
      </c>
      <c r="I28" s="54"/>
      <c r="J28" s="55"/>
    </row>
    <row r="29" ht="16.5" customHeight="1">
      <c r="C29" s="50" t="s">
        <v>30</v>
      </c>
      <c r="D29" s="51"/>
      <c r="E29" s="51">
        <f>'KKLEAD II'!L51</f>
        <v>4</v>
      </c>
      <c r="F29" s="52">
        <f t="shared" si="5"/>
        <v>0.02272727273</v>
      </c>
      <c r="G29" s="29"/>
      <c r="H29" s="30">
        <f t="shared" si="6"/>
        <v>0.09090909091</v>
      </c>
      <c r="I29" s="54"/>
      <c r="J29" s="55"/>
    </row>
    <row r="30" ht="15.75" customHeight="1">
      <c r="C30" s="50" t="s">
        <v>31</v>
      </c>
      <c r="D30" s="51"/>
      <c r="E30" s="51">
        <f>'KKLEAD II'!L53</f>
        <v>3.5</v>
      </c>
      <c r="F30" s="52">
        <f t="shared" si="5"/>
        <v>0.02272727273</v>
      </c>
      <c r="G30" s="29"/>
      <c r="H30" s="30">
        <f t="shared" si="6"/>
        <v>0.07954545455</v>
      </c>
      <c r="I30" s="54"/>
      <c r="J30" s="55"/>
    </row>
    <row r="31" ht="15.75" customHeight="1">
      <c r="C31" s="50" t="s">
        <v>32</v>
      </c>
      <c r="D31" s="51"/>
      <c r="E31" s="51">
        <f>'KKLEAD II'!L55</f>
        <v>4</v>
      </c>
      <c r="F31" s="52">
        <f t="shared" si="5"/>
        <v>0.02272727273</v>
      </c>
      <c r="G31" s="29"/>
      <c r="H31" s="30">
        <f t="shared" si="6"/>
        <v>0.09090909091</v>
      </c>
      <c r="I31" s="54"/>
      <c r="J31" s="55"/>
    </row>
    <row r="32" ht="15.75" customHeight="1">
      <c r="C32" s="50" t="s">
        <v>33</v>
      </c>
      <c r="D32" s="51"/>
      <c r="E32" s="51">
        <f>'KKLEAD II'!L57</f>
        <v>3.5</v>
      </c>
      <c r="F32" s="52">
        <f t="shared" si="5"/>
        <v>0.02272727273</v>
      </c>
      <c r="G32" s="29"/>
      <c r="H32" s="30">
        <f t="shared" si="6"/>
        <v>0.07954545455</v>
      </c>
      <c r="I32" s="54"/>
      <c r="J32" s="55"/>
    </row>
    <row r="33" ht="15.75" customHeight="1">
      <c r="C33" s="50" t="s">
        <v>34</v>
      </c>
      <c r="D33" s="51"/>
      <c r="E33" s="51">
        <f>'KKLEAD II'!L59</f>
        <v>3.25</v>
      </c>
      <c r="F33" s="52">
        <f t="shared" si="5"/>
        <v>0.02272727273</v>
      </c>
      <c r="G33" s="29"/>
      <c r="H33" s="30">
        <f t="shared" si="6"/>
        <v>0.07386363636</v>
      </c>
      <c r="I33" s="29"/>
      <c r="J33" s="53"/>
    </row>
    <row r="34" ht="15.75" customHeight="1">
      <c r="C34" s="50" t="s">
        <v>35</v>
      </c>
      <c r="D34" s="51"/>
      <c r="E34" s="51">
        <f>'KKLEAD II'!L61</f>
        <v>3.25</v>
      </c>
      <c r="F34" s="52">
        <f t="shared" si="5"/>
        <v>0.02272727273</v>
      </c>
      <c r="G34" s="29"/>
      <c r="H34" s="30">
        <f t="shared" si="6"/>
        <v>0.07386363636</v>
      </c>
      <c r="I34" s="29"/>
      <c r="J34" s="53"/>
    </row>
    <row r="35" ht="33.75" customHeight="1">
      <c r="C35" s="50" t="s">
        <v>36</v>
      </c>
      <c r="D35" s="51"/>
      <c r="E35" s="51">
        <f>'KKLEAD II'!L63</f>
        <v>4</v>
      </c>
      <c r="F35" s="52">
        <f t="shared" si="5"/>
        <v>0.02272727273</v>
      </c>
      <c r="G35" s="29"/>
      <c r="H35" s="30">
        <f t="shared" si="6"/>
        <v>0.09090909091</v>
      </c>
      <c r="I35" s="29"/>
      <c r="J35" s="53"/>
    </row>
    <row r="36" ht="15.75" customHeight="1">
      <c r="C36" s="50" t="s">
        <v>37</v>
      </c>
      <c r="D36" s="51"/>
      <c r="E36" s="51">
        <f>'KKLEAD II'!L65</f>
        <v>3.5</v>
      </c>
      <c r="F36" s="52">
        <f t="shared" si="5"/>
        <v>0.02272727273</v>
      </c>
      <c r="G36" s="29"/>
      <c r="H36" s="30">
        <f t="shared" si="6"/>
        <v>0.07954545455</v>
      </c>
      <c r="I36" s="29"/>
      <c r="J36" s="53"/>
    </row>
    <row r="37" ht="15.75" customHeight="1">
      <c r="C37" s="50" t="s">
        <v>38</v>
      </c>
      <c r="D37" s="51"/>
      <c r="E37" s="51">
        <f>'KKLEAD II'!L67</f>
        <v>3.75</v>
      </c>
      <c r="F37" s="52">
        <f t="shared" si="5"/>
        <v>0.02272727273</v>
      </c>
      <c r="G37" s="29"/>
      <c r="H37" s="30">
        <f t="shared" si="6"/>
        <v>0.08522727273</v>
      </c>
      <c r="I37" s="29"/>
      <c r="J37" s="53"/>
    </row>
    <row r="38" ht="36.0" customHeight="1">
      <c r="C38" s="50" t="s">
        <v>39</v>
      </c>
      <c r="D38" s="51"/>
      <c r="E38" s="51">
        <f>'KKLEAD II'!L69</f>
        <v>3.5</v>
      </c>
      <c r="F38" s="52">
        <f t="shared" si="5"/>
        <v>0.02272727273</v>
      </c>
      <c r="G38" s="29"/>
      <c r="H38" s="30">
        <f t="shared" si="6"/>
        <v>0.07954545455</v>
      </c>
      <c r="I38" s="29"/>
      <c r="J38" s="53"/>
    </row>
    <row r="39" ht="15.75" customHeight="1">
      <c r="C39" s="26" t="s">
        <v>40</v>
      </c>
      <c r="D39" s="35"/>
      <c r="E39" s="35"/>
      <c r="F39" s="29"/>
      <c r="G39" s="29"/>
      <c r="H39" s="29"/>
      <c r="I39" s="29"/>
      <c r="J39" s="29"/>
    </row>
    <row r="40" ht="15.75" customHeight="1">
      <c r="C40" s="50" t="s">
        <v>41</v>
      </c>
      <c r="D40" s="51"/>
      <c r="E40" s="51">
        <f>'KKLEAD II'!L71</f>
        <v>3.05</v>
      </c>
      <c r="F40" s="52">
        <v>0.05</v>
      </c>
      <c r="G40" s="29"/>
      <c r="H40" s="30">
        <f t="shared" ref="H40:H41" si="7">E40*F40</f>
        <v>0.1525</v>
      </c>
      <c r="I40" s="29"/>
      <c r="J40" s="53"/>
    </row>
    <row r="41" ht="15.75" customHeight="1">
      <c r="C41" s="50" t="s">
        <v>42</v>
      </c>
      <c r="D41" s="51"/>
      <c r="E41" s="51">
        <f>'KKLEAD II'!L77</f>
        <v>3</v>
      </c>
      <c r="F41" s="52">
        <v>0.05</v>
      </c>
      <c r="G41" s="29"/>
      <c r="H41" s="30">
        <f t="shared" si="7"/>
        <v>0.15</v>
      </c>
      <c r="I41" s="29"/>
      <c r="J41" s="53"/>
    </row>
    <row r="42" ht="15.75" customHeight="1">
      <c r="C42" s="26" t="s">
        <v>43</v>
      </c>
      <c r="D42" s="35"/>
      <c r="E42" s="35"/>
      <c r="F42" s="29"/>
      <c r="G42" s="29"/>
      <c r="H42" s="29"/>
      <c r="I42" s="29"/>
      <c r="J42" s="29"/>
    </row>
    <row r="43" ht="15.75" customHeight="1">
      <c r="C43" s="50" t="s">
        <v>44</v>
      </c>
      <c r="D43" s="51"/>
      <c r="E43" s="51">
        <f>'KKLEAD II'!L79</f>
        <v>3.083333333</v>
      </c>
      <c r="F43" s="52">
        <v>0.075</v>
      </c>
      <c r="G43" s="29"/>
      <c r="H43" s="30">
        <f t="shared" ref="H43:H44" si="8">E43*F43</f>
        <v>0.23125</v>
      </c>
      <c r="I43" s="29"/>
      <c r="J43" s="53"/>
    </row>
    <row r="44" ht="15.75" customHeight="1">
      <c r="C44" s="50" t="s">
        <v>45</v>
      </c>
      <c r="D44" s="51"/>
      <c r="E44" s="51">
        <f>'KKLEAD II'!L83</f>
        <v>2.625</v>
      </c>
      <c r="F44" s="52">
        <v>0.075</v>
      </c>
      <c r="G44" s="29"/>
      <c r="H44" s="30">
        <f t="shared" si="8"/>
        <v>0.196875</v>
      </c>
      <c r="I44" s="29"/>
      <c r="J44" s="53"/>
    </row>
    <row r="45" ht="15.75" customHeight="1">
      <c r="C45" s="31" t="s">
        <v>46</v>
      </c>
      <c r="D45" s="32"/>
      <c r="E45" s="32"/>
      <c r="F45" s="33"/>
      <c r="G45" s="56"/>
      <c r="H45" s="33">
        <f>SUM(H16:H44)</f>
        <v>3.268581913</v>
      </c>
      <c r="I45" s="37"/>
      <c r="J45" s="37"/>
    </row>
    <row r="46" ht="15.75" customHeight="1">
      <c r="C46" s="26" t="s">
        <v>47</v>
      </c>
      <c r="D46" s="35"/>
      <c r="E46" s="35"/>
      <c r="F46" s="29"/>
      <c r="G46" s="57">
        <v>0.3</v>
      </c>
      <c r="H46" s="29"/>
      <c r="I46" s="38">
        <f>$H$45*$G$46</f>
        <v>0.9805745739</v>
      </c>
      <c r="J46" s="29"/>
    </row>
    <row r="47" ht="15.75" customHeight="1">
      <c r="C47" s="58"/>
      <c r="D47" s="41"/>
      <c r="E47" s="41"/>
      <c r="F47" s="42"/>
      <c r="G47" s="42"/>
      <c r="H47" s="42"/>
      <c r="I47" s="42"/>
      <c r="J47" s="42"/>
    </row>
    <row r="48" ht="15.75" customHeight="1">
      <c r="C48" s="43" t="s">
        <v>48</v>
      </c>
      <c r="D48" s="59"/>
      <c r="E48" s="59"/>
      <c r="F48" s="45"/>
      <c r="G48" s="45"/>
      <c r="H48" s="45"/>
      <c r="I48" s="45"/>
      <c r="J48" s="47"/>
    </row>
    <row r="49" ht="15.75" customHeight="1">
      <c r="C49" s="48" t="s">
        <v>49</v>
      </c>
      <c r="D49" s="49"/>
      <c r="E49" s="49"/>
      <c r="F49" s="25"/>
      <c r="G49" s="25"/>
      <c r="H49" s="25"/>
      <c r="I49" s="25"/>
      <c r="J49" s="25"/>
    </row>
    <row r="50" ht="15.75" customHeight="1">
      <c r="C50" s="50" t="s">
        <v>50</v>
      </c>
      <c r="D50" s="51"/>
      <c r="E50" s="51">
        <f>('KKLEAD III'!G6+'KKLEAD III'!G7)/2</f>
        <v>5</v>
      </c>
      <c r="F50" s="28">
        <v>0.2</v>
      </c>
      <c r="G50" s="53"/>
      <c r="H50" s="30">
        <f t="shared" ref="H50:H51" si="9">E50*F50</f>
        <v>1</v>
      </c>
      <c r="I50" s="53"/>
      <c r="J50" s="29"/>
    </row>
    <row r="51" ht="15.75" customHeight="1">
      <c r="C51" s="50" t="s">
        <v>51</v>
      </c>
      <c r="D51" s="51"/>
      <c r="E51" s="51">
        <f>'KKLEAD III'!G8*1</f>
        <v>5</v>
      </c>
      <c r="F51" s="28">
        <v>0.1</v>
      </c>
      <c r="G51" s="53"/>
      <c r="H51" s="30">
        <f t="shared" si="9"/>
        <v>0.5</v>
      </c>
      <c r="I51" s="53"/>
      <c r="J51" s="29"/>
    </row>
    <row r="52" ht="15.75" customHeight="1">
      <c r="C52" s="26" t="s">
        <v>52</v>
      </c>
      <c r="D52" s="35"/>
      <c r="E52" s="35"/>
      <c r="F52" s="29"/>
      <c r="G52" s="29"/>
      <c r="H52" s="29"/>
      <c r="I52" s="29"/>
      <c r="J52" s="29"/>
    </row>
    <row r="53" ht="15.75" customHeight="1">
      <c r="C53" s="50" t="s">
        <v>53</v>
      </c>
      <c r="D53" s="51"/>
      <c r="E53" s="51">
        <f>'KKLEAD III'!G10*1</f>
        <v>3</v>
      </c>
      <c r="F53" s="28">
        <v>0.25</v>
      </c>
      <c r="G53" s="53"/>
      <c r="H53" s="30">
        <f>E53*F53</f>
        <v>0.75</v>
      </c>
      <c r="I53" s="53"/>
      <c r="J53" s="29"/>
    </row>
    <row r="54" ht="15.75" customHeight="1">
      <c r="C54" s="26" t="s">
        <v>54</v>
      </c>
      <c r="D54" s="35"/>
      <c r="E54" s="35"/>
      <c r="F54" s="29"/>
      <c r="G54" s="29"/>
      <c r="H54" s="29"/>
      <c r="I54" s="29"/>
      <c r="J54" s="29"/>
    </row>
    <row r="55" ht="15.75" customHeight="1">
      <c r="C55" s="50" t="s">
        <v>55</v>
      </c>
      <c r="D55" s="51"/>
      <c r="E55" s="51">
        <f>'KKLEAD III'!G12*1</f>
        <v>3</v>
      </c>
      <c r="F55" s="28">
        <v>0.25</v>
      </c>
      <c r="G55" s="53"/>
      <c r="H55" s="30">
        <f>E55*F55</f>
        <v>0.75</v>
      </c>
      <c r="I55" s="53"/>
      <c r="J55" s="29"/>
    </row>
    <row r="56" ht="15.75" customHeight="1">
      <c r="C56" s="26" t="s">
        <v>56</v>
      </c>
      <c r="D56" s="35"/>
      <c r="E56" s="35"/>
      <c r="F56" s="29"/>
      <c r="G56" s="29"/>
      <c r="H56" s="29"/>
      <c r="I56" s="29"/>
      <c r="J56" s="29"/>
    </row>
    <row r="57" ht="15.75" customHeight="1">
      <c r="C57" s="50" t="s">
        <v>57</v>
      </c>
      <c r="D57" s="51"/>
      <c r="E57" s="51">
        <f>'KKLEAD III'!G14*1</f>
        <v>2</v>
      </c>
      <c r="F57" s="28">
        <v>0.2</v>
      </c>
      <c r="G57" s="53"/>
      <c r="H57" s="30">
        <f>E57*F57</f>
        <v>0.4</v>
      </c>
      <c r="I57" s="53"/>
      <c r="J57" s="29"/>
    </row>
    <row r="58" ht="15.75" hidden="1" customHeight="1">
      <c r="C58" s="50" t="s">
        <v>58</v>
      </c>
      <c r="D58" s="60">
        <v>3.0</v>
      </c>
      <c r="E58" s="60"/>
      <c r="F58" s="60"/>
      <c r="G58" s="60"/>
      <c r="H58" s="60"/>
      <c r="I58" s="60"/>
      <c r="J58" s="29"/>
    </row>
    <row r="59" ht="15.75" customHeight="1">
      <c r="C59" s="31" t="s">
        <v>59</v>
      </c>
      <c r="D59" s="33"/>
      <c r="E59" s="33"/>
      <c r="F59" s="33">
        <f>SUM(F50:F58)</f>
        <v>1</v>
      </c>
      <c r="G59" s="33"/>
      <c r="H59" s="33">
        <f>SUM(H50:H57)</f>
        <v>3.4</v>
      </c>
      <c r="I59" s="29"/>
      <c r="J59" s="29"/>
    </row>
    <row r="60" ht="15.75" customHeight="1">
      <c r="C60" s="26" t="s">
        <v>60</v>
      </c>
      <c r="D60" s="29"/>
      <c r="E60" s="29"/>
      <c r="F60" s="29"/>
      <c r="G60" s="36">
        <v>0.3</v>
      </c>
      <c r="H60" s="29"/>
      <c r="I60" s="38">
        <f>$G$60*$H$59</f>
        <v>1.02</v>
      </c>
      <c r="J60" s="37"/>
    </row>
    <row r="61" ht="21.0" customHeight="1">
      <c r="C61" s="61" t="s">
        <v>61</v>
      </c>
      <c r="D61" s="62"/>
      <c r="E61" s="62"/>
      <c r="F61" s="62"/>
      <c r="G61" s="62"/>
      <c r="H61" s="62"/>
      <c r="I61" s="63"/>
      <c r="J61" s="64">
        <f>I12+I46+I60</f>
        <v>3.800574574</v>
      </c>
    </row>
    <row r="62" ht="22.5" customHeight="1">
      <c r="C62" s="65" t="s">
        <v>62</v>
      </c>
      <c r="D62" s="62"/>
      <c r="E62" s="62"/>
      <c r="F62" s="62"/>
      <c r="G62" s="62"/>
      <c r="H62" s="62"/>
      <c r="I62" s="63"/>
      <c r="J62" s="66" t="str">
        <f>IF(AND(J61&gt;=4.5),"5",(IF(AND(J61&gt;=4),"4",(IF(AND(J61&gt;=3),"3",(IF(AND(J61&gt;=2),"2","1")))))))</f>
        <v>3</v>
      </c>
    </row>
    <row r="63">
      <c r="J63" s="1"/>
    </row>
    <row r="64">
      <c r="J64" s="1"/>
    </row>
    <row r="65" ht="15.75" customHeight="1">
      <c r="C65" s="67" t="s">
        <v>63</v>
      </c>
      <c r="D65" s="6"/>
      <c r="E65" s="6"/>
      <c r="F65" s="6"/>
      <c r="G65" s="6"/>
      <c r="H65" s="7"/>
      <c r="I65" s="68"/>
      <c r="J65" s="69">
        <f>G80</f>
        <v>3.6671875</v>
      </c>
    </row>
    <row r="66" ht="7.5" customHeight="1">
      <c r="C66" s="70"/>
      <c r="D66" s="71"/>
      <c r="E66" s="71"/>
      <c r="F66" s="71"/>
      <c r="G66" s="71"/>
      <c r="H66" s="71"/>
      <c r="I66" s="72"/>
      <c r="J66" s="73"/>
    </row>
    <row r="67" ht="15.75" customHeight="1">
      <c r="C67" s="74"/>
      <c r="D67" s="75"/>
      <c r="E67" s="75"/>
      <c r="F67" s="75"/>
      <c r="G67" s="75"/>
      <c r="H67" s="75"/>
      <c r="I67" s="76"/>
      <c r="J67" s="77"/>
    </row>
    <row r="68" ht="15.75" customHeight="1">
      <c r="C68" s="78" t="s">
        <v>64</v>
      </c>
      <c r="D68" s="79" t="s">
        <v>65</v>
      </c>
      <c r="E68" s="80" t="s">
        <v>66</v>
      </c>
      <c r="F68" s="80" t="s">
        <v>67</v>
      </c>
      <c r="G68" s="81" t="s">
        <v>68</v>
      </c>
      <c r="H68" s="82"/>
      <c r="I68" s="83"/>
      <c r="J68" s="29"/>
    </row>
    <row r="69" ht="15.75" customHeight="1">
      <c r="C69" s="84" t="s">
        <v>69</v>
      </c>
      <c r="D69" s="85">
        <f>D70</f>
        <v>0.4</v>
      </c>
      <c r="E69" s="86"/>
      <c r="F69" s="86"/>
      <c r="G69" s="87">
        <f>G70</f>
        <v>1.8</v>
      </c>
      <c r="H69" s="82"/>
      <c r="I69" s="83"/>
      <c r="J69" s="29"/>
    </row>
    <row r="70" ht="15.75" customHeight="1">
      <c r="C70" s="88" t="s">
        <v>70</v>
      </c>
      <c r="D70" s="89">
        <v>0.4</v>
      </c>
      <c r="E70" s="90"/>
      <c r="F70" s="90">
        <f>H11</f>
        <v>4.5</v>
      </c>
      <c r="G70" s="91">
        <f>D70*F70</f>
        <v>1.8</v>
      </c>
      <c r="H70" s="82"/>
      <c r="I70" s="83"/>
      <c r="J70" s="29"/>
    </row>
    <row r="71" ht="15.75" customHeight="1">
      <c r="C71" s="92" t="s">
        <v>71</v>
      </c>
      <c r="D71" s="85">
        <f>SUM(D72:D76)</f>
        <v>0.3</v>
      </c>
      <c r="E71" s="93"/>
      <c r="F71" s="93"/>
      <c r="G71" s="87">
        <f>SUM(G72:G76)</f>
        <v>0.859375</v>
      </c>
      <c r="H71" s="82"/>
      <c r="I71" s="83"/>
      <c r="J71" s="29"/>
    </row>
    <row r="72" ht="15.75" customHeight="1">
      <c r="C72" s="94" t="s">
        <v>72</v>
      </c>
      <c r="D72" s="89">
        <v>0.05</v>
      </c>
      <c r="E72" s="90"/>
      <c r="F72" s="90">
        <f>('KKLEAD II'!N19+'KKLEAD II'!N20+'KKLEAD II'!N21+'KKLEAD II'!N73)/4</f>
        <v>2.875</v>
      </c>
      <c r="G72" s="91">
        <f t="shared" ref="G72:G76" si="10">D72*F72</f>
        <v>0.14375</v>
      </c>
      <c r="H72" s="82"/>
      <c r="I72" s="83"/>
      <c r="J72" s="29"/>
    </row>
    <row r="73" ht="15.75" customHeight="1">
      <c r="C73" s="94" t="s">
        <v>73</v>
      </c>
      <c r="D73" s="89">
        <v>0.05</v>
      </c>
      <c r="E73" s="90"/>
      <c r="F73" s="90">
        <f>'KKLEAD II'!N39</f>
        <v>3</v>
      </c>
      <c r="G73" s="91">
        <f t="shared" si="10"/>
        <v>0.15</v>
      </c>
      <c r="H73" s="82"/>
      <c r="I73" s="83"/>
      <c r="J73" s="29"/>
    </row>
    <row r="74" ht="15.75" customHeight="1">
      <c r="C74" s="94" t="s">
        <v>74</v>
      </c>
      <c r="D74" s="89">
        <v>0.05</v>
      </c>
      <c r="E74" s="90"/>
      <c r="F74" s="90">
        <f>('KKLEAD II'!N31+'KKLEAD II'!N32)/2</f>
        <v>2.5</v>
      </c>
      <c r="G74" s="91">
        <f t="shared" si="10"/>
        <v>0.125</v>
      </c>
      <c r="H74" s="82"/>
      <c r="I74" s="83"/>
      <c r="J74" s="29"/>
    </row>
    <row r="75" ht="15.75" customHeight="1">
      <c r="C75" s="94" t="s">
        <v>75</v>
      </c>
      <c r="D75" s="89">
        <v>0.025</v>
      </c>
      <c r="E75" s="90"/>
      <c r="F75" s="90">
        <f>'KKLEAD II'!N37</f>
        <v>3</v>
      </c>
      <c r="G75" s="91">
        <f t="shared" si="10"/>
        <v>0.075</v>
      </c>
      <c r="H75" s="82"/>
      <c r="I75" s="83"/>
      <c r="J75" s="29"/>
    </row>
    <row r="76" ht="15.75" customHeight="1">
      <c r="C76" s="94" t="s">
        <v>76</v>
      </c>
      <c r="D76" s="89">
        <v>0.125</v>
      </c>
      <c r="E76" s="90"/>
      <c r="F76" s="90">
        <f>('KKLEAD II'!N40+'KKLEAD II'!N41+'KKLEAD II'!N43+'KKLEAD II'!N44+'KKLEAD II'!N45+'KKLEAD II'!N74+'KKLEAD II'!N75+'KKLEAD II'!N81+'KKLEAD II'!N82+'KKLEAD II'!N85)/10</f>
        <v>2.925</v>
      </c>
      <c r="G76" s="91">
        <f t="shared" si="10"/>
        <v>0.365625</v>
      </c>
      <c r="H76" s="82"/>
      <c r="I76" s="83"/>
      <c r="J76" s="29"/>
    </row>
    <row r="77" ht="15.75" customHeight="1">
      <c r="C77" s="92" t="s">
        <v>77</v>
      </c>
      <c r="D77" s="85">
        <f>D78+D79</f>
        <v>0.3</v>
      </c>
      <c r="E77" s="93"/>
      <c r="F77" s="93"/>
      <c r="G77" s="87">
        <f>G78+G79</f>
        <v>1.0078125</v>
      </c>
      <c r="H77" s="82"/>
      <c r="I77" s="83"/>
      <c r="J77" s="29"/>
    </row>
    <row r="78" ht="15.75" customHeight="1">
      <c r="C78" s="94" t="s">
        <v>78</v>
      </c>
      <c r="D78" s="89">
        <v>0.1875</v>
      </c>
      <c r="E78" s="90"/>
      <c r="F78" s="90">
        <f>('KKLEAD II'!N46+'KKLEAD II'!N47)/2</f>
        <v>2.375</v>
      </c>
      <c r="G78" s="91">
        <f t="shared" ref="G78:G79" si="11">D78*F78</f>
        <v>0.4453125</v>
      </c>
      <c r="H78" s="82"/>
      <c r="I78" s="83"/>
      <c r="J78" s="29"/>
    </row>
    <row r="79" ht="15.75" customHeight="1">
      <c r="C79" s="95" t="s">
        <v>79</v>
      </c>
      <c r="D79" s="89">
        <v>0.1125</v>
      </c>
      <c r="E79" s="90"/>
      <c r="F79" s="90">
        <f>E50</f>
        <v>5</v>
      </c>
      <c r="G79" s="91">
        <f t="shared" si="11"/>
        <v>0.5625</v>
      </c>
      <c r="H79" s="82"/>
      <c r="I79" s="83"/>
      <c r="J79" s="29"/>
    </row>
    <row r="80" ht="15.75" customHeight="1">
      <c r="C80" s="96" t="s">
        <v>80</v>
      </c>
      <c r="D80" s="97">
        <f>D69+D71+D77</f>
        <v>1</v>
      </c>
      <c r="E80" s="97"/>
      <c r="F80" s="98"/>
      <c r="G80" s="99">
        <f>G69+G71+G77</f>
        <v>3.6671875</v>
      </c>
      <c r="H80" s="100"/>
      <c r="I80" s="101"/>
      <c r="J80" s="42"/>
    </row>
    <row r="81">
      <c r="J81" s="1"/>
    </row>
    <row r="82" ht="15.75" customHeight="1">
      <c r="C82" s="67" t="s">
        <v>81</v>
      </c>
      <c r="D82" s="6"/>
      <c r="E82" s="6"/>
      <c r="F82" s="6"/>
      <c r="G82" s="6"/>
      <c r="H82" s="7"/>
      <c r="I82" s="68"/>
      <c r="J82" s="69">
        <f>G101</f>
        <v>3.08</v>
      </c>
    </row>
    <row r="83" ht="6.0" customHeight="1">
      <c r="C83" s="70"/>
      <c r="D83" s="71"/>
      <c r="E83" s="71"/>
      <c r="F83" s="71"/>
      <c r="G83" s="71"/>
      <c r="H83" s="71"/>
      <c r="I83" s="72"/>
      <c r="J83" s="73"/>
    </row>
    <row r="84" ht="15.75" customHeight="1">
      <c r="C84" s="8"/>
      <c r="D84" s="9"/>
      <c r="E84" s="9"/>
      <c r="F84" s="9"/>
      <c r="G84" s="9"/>
      <c r="H84" s="9"/>
      <c r="I84" s="10"/>
      <c r="J84" s="11"/>
    </row>
    <row r="85" ht="15.75" customHeight="1">
      <c r="C85" s="78" t="s">
        <v>82</v>
      </c>
      <c r="D85" s="79" t="s">
        <v>65</v>
      </c>
      <c r="E85" s="80" t="s">
        <v>66</v>
      </c>
      <c r="F85" s="80" t="s">
        <v>67</v>
      </c>
      <c r="G85" s="81" t="s">
        <v>68</v>
      </c>
      <c r="H85" s="82"/>
      <c r="I85" s="83"/>
      <c r="J85" s="29"/>
    </row>
    <row r="86" ht="15.75" customHeight="1">
      <c r="C86" s="92" t="s">
        <v>83</v>
      </c>
      <c r="D86" s="102">
        <f>SUM(D87:D91)</f>
        <v>0.48</v>
      </c>
      <c r="E86" s="103"/>
      <c r="F86" s="103"/>
      <c r="G86" s="104">
        <f>SUM(G87:G91)</f>
        <v>1.44</v>
      </c>
      <c r="H86" s="82"/>
      <c r="I86" s="83"/>
      <c r="J86" s="29"/>
    </row>
    <row r="87" ht="15.75" customHeight="1">
      <c r="C87" s="94" t="s">
        <v>84</v>
      </c>
      <c r="D87" s="89">
        <v>0.096</v>
      </c>
      <c r="E87" s="90"/>
      <c r="F87" s="90">
        <f>'KKLEAD II'!N8</f>
        <v>3</v>
      </c>
      <c r="G87" s="91">
        <f t="shared" ref="G87:G91" si="12">D87*F87</f>
        <v>0.288</v>
      </c>
      <c r="H87" s="82"/>
      <c r="I87" s="83"/>
      <c r="J87" s="29"/>
    </row>
    <row r="88" ht="15.75" customHeight="1">
      <c r="C88" s="94" t="s">
        <v>85</v>
      </c>
      <c r="D88" s="89">
        <v>0.072</v>
      </c>
      <c r="E88" s="90"/>
      <c r="F88" s="90">
        <f>'KKLEAD II'!N9</f>
        <v>3</v>
      </c>
      <c r="G88" s="91">
        <f t="shared" si="12"/>
        <v>0.216</v>
      </c>
      <c r="H88" s="82"/>
      <c r="I88" s="83"/>
      <c r="J88" s="29"/>
    </row>
    <row r="89" ht="15.75" customHeight="1">
      <c r="C89" s="94" t="s">
        <v>86</v>
      </c>
      <c r="D89" s="89">
        <v>0.072</v>
      </c>
      <c r="E89" s="90"/>
      <c r="F89" s="90">
        <f>'KKLEAD II'!N22</f>
        <v>3</v>
      </c>
      <c r="G89" s="91">
        <f t="shared" si="12"/>
        <v>0.216</v>
      </c>
      <c r="H89" s="82"/>
      <c r="I89" s="83"/>
      <c r="J89" s="29"/>
    </row>
    <row r="90" ht="15.75" customHeight="1">
      <c r="C90" s="94" t="s">
        <v>87</v>
      </c>
      <c r="D90" s="89">
        <v>0.144</v>
      </c>
      <c r="E90" s="90"/>
      <c r="F90" s="90">
        <f>'KKLEAD II'!N23</f>
        <v>3</v>
      </c>
      <c r="G90" s="91">
        <f t="shared" si="12"/>
        <v>0.432</v>
      </c>
      <c r="H90" s="82"/>
      <c r="I90" s="83"/>
      <c r="J90" s="29"/>
    </row>
    <row r="91" ht="15.75" customHeight="1">
      <c r="C91" s="94" t="s">
        <v>88</v>
      </c>
      <c r="D91" s="89">
        <v>0.096</v>
      </c>
      <c r="E91" s="90"/>
      <c r="F91" s="90">
        <f>'KKLEAD II'!N10</f>
        <v>3</v>
      </c>
      <c r="G91" s="91">
        <f t="shared" si="12"/>
        <v>0.288</v>
      </c>
      <c r="H91" s="82"/>
      <c r="I91" s="83"/>
      <c r="J91" s="29"/>
    </row>
    <row r="92" ht="15.75" customHeight="1">
      <c r="C92" s="92" t="s">
        <v>89</v>
      </c>
      <c r="D92" s="102">
        <f>SUM(D93:D97)</f>
        <v>0.36</v>
      </c>
      <c r="E92" s="93"/>
      <c r="F92" s="93"/>
      <c r="G92" s="87">
        <f>SUM(G93:G97)</f>
        <v>1.08</v>
      </c>
      <c r="H92" s="82"/>
      <c r="I92" s="83"/>
      <c r="J92" s="29"/>
    </row>
    <row r="93" ht="18.75" customHeight="1">
      <c r="C93" s="94" t="s">
        <v>90</v>
      </c>
      <c r="D93" s="89">
        <v>0.09</v>
      </c>
      <c r="E93" s="90"/>
      <c r="F93" s="90">
        <f>'KKLEAD II'!N48</f>
        <v>3</v>
      </c>
      <c r="G93" s="91">
        <f t="shared" ref="G93:G97" si="13">D93*F93</f>
        <v>0.27</v>
      </c>
      <c r="H93" s="82"/>
      <c r="I93" s="83"/>
      <c r="J93" s="29"/>
    </row>
    <row r="94" ht="15.75" customHeight="1">
      <c r="C94" s="94" t="s">
        <v>91</v>
      </c>
      <c r="D94" s="89">
        <v>0.036</v>
      </c>
      <c r="E94" s="90"/>
      <c r="F94" s="90">
        <f>'KKLEAD II'!N76</f>
        <v>3</v>
      </c>
      <c r="G94" s="91">
        <f t="shared" si="13"/>
        <v>0.108</v>
      </c>
      <c r="H94" s="82"/>
      <c r="I94" s="83"/>
      <c r="J94" s="29"/>
    </row>
    <row r="95" ht="15.75" customHeight="1">
      <c r="C95" s="94" t="s">
        <v>92</v>
      </c>
      <c r="D95" s="89">
        <v>0.09</v>
      </c>
      <c r="E95" s="90"/>
      <c r="F95" s="90">
        <f>'KKLEAD II'!N24</f>
        <v>3</v>
      </c>
      <c r="G95" s="91">
        <f t="shared" si="13"/>
        <v>0.27</v>
      </c>
      <c r="H95" s="82"/>
      <c r="I95" s="83"/>
      <c r="J95" s="29"/>
    </row>
    <row r="96" ht="15.75" customHeight="1">
      <c r="C96" s="94" t="s">
        <v>93</v>
      </c>
      <c r="D96" s="89">
        <v>0.072</v>
      </c>
      <c r="E96" s="90"/>
      <c r="F96" s="90">
        <f>'KKLEAD II'!N11</f>
        <v>3</v>
      </c>
      <c r="G96" s="91">
        <f t="shared" si="13"/>
        <v>0.216</v>
      </c>
      <c r="H96" s="82"/>
      <c r="I96" s="83"/>
      <c r="J96" s="29"/>
    </row>
    <row r="97" ht="15.75" customHeight="1">
      <c r="C97" s="94" t="s">
        <v>94</v>
      </c>
      <c r="D97" s="89">
        <v>0.072</v>
      </c>
      <c r="E97" s="90"/>
      <c r="F97" s="90">
        <f>'KKLEAD II'!N12</f>
        <v>3</v>
      </c>
      <c r="G97" s="91">
        <f t="shared" si="13"/>
        <v>0.216</v>
      </c>
      <c r="H97" s="82"/>
      <c r="I97" s="83"/>
      <c r="J97" s="29"/>
    </row>
    <row r="98" ht="15.75" customHeight="1">
      <c r="C98" s="92" t="s">
        <v>95</v>
      </c>
      <c r="D98" s="102">
        <f>SUM(D99:D100)</f>
        <v>0.16</v>
      </c>
      <c r="E98" s="93"/>
      <c r="F98" s="93"/>
      <c r="G98" s="87">
        <f>SUM(G99:G100)</f>
        <v>0.56</v>
      </c>
      <c r="H98" s="82"/>
      <c r="I98" s="83"/>
      <c r="J98" s="29"/>
    </row>
    <row r="99" ht="15.75" customHeight="1">
      <c r="C99" s="94" t="s">
        <v>96</v>
      </c>
      <c r="D99" s="89">
        <v>0.08</v>
      </c>
      <c r="E99" s="90"/>
      <c r="F99" s="90">
        <f>'KKLEAD II'!N13</f>
        <v>4</v>
      </c>
      <c r="G99" s="91">
        <f t="shared" ref="G99:G100" si="14">D99*F99</f>
        <v>0.32</v>
      </c>
      <c r="H99" s="82"/>
      <c r="I99" s="83"/>
      <c r="J99" s="29"/>
    </row>
    <row r="100" ht="15.75" customHeight="1">
      <c r="C100" s="94" t="s">
        <v>97</v>
      </c>
      <c r="D100" s="89">
        <v>0.08</v>
      </c>
      <c r="E100" s="90"/>
      <c r="F100" s="90">
        <f>'KKLEAD II'!N14</f>
        <v>3</v>
      </c>
      <c r="G100" s="91">
        <f t="shared" si="14"/>
        <v>0.24</v>
      </c>
      <c r="H100" s="82"/>
      <c r="I100" s="83"/>
      <c r="J100" s="29"/>
    </row>
    <row r="101" ht="15.75" customHeight="1">
      <c r="C101" s="105" t="s">
        <v>80</v>
      </c>
      <c r="D101" s="106">
        <f>D86+D92+D98</f>
        <v>1</v>
      </c>
      <c r="E101" s="107"/>
      <c r="F101" s="107"/>
      <c r="G101" s="107">
        <f>G86+G92+G98</f>
        <v>3.08</v>
      </c>
      <c r="H101" s="108"/>
      <c r="I101" s="109"/>
      <c r="J101" s="110"/>
    </row>
    <row r="102" ht="6.75" customHeight="1">
      <c r="C102" s="8"/>
      <c r="D102" s="9"/>
      <c r="E102" s="9"/>
      <c r="F102" s="9"/>
      <c r="G102" s="9"/>
      <c r="H102" s="9"/>
      <c r="I102" s="10"/>
      <c r="J102" s="11"/>
    </row>
    <row r="103" ht="15.75" customHeight="1">
      <c r="C103" s="67" t="s">
        <v>98</v>
      </c>
      <c r="D103" s="6"/>
      <c r="E103" s="6"/>
      <c r="F103" s="6"/>
      <c r="G103" s="6"/>
      <c r="H103" s="7"/>
      <c r="I103" s="111"/>
      <c r="J103" s="69">
        <f>E22</f>
        <v>3</v>
      </c>
    </row>
    <row r="104">
      <c r="J104" s="1"/>
    </row>
    <row r="105">
      <c r="J105" s="1"/>
    </row>
    <row r="106">
      <c r="D106" s="1"/>
      <c r="J106" s="1"/>
    </row>
    <row r="107">
      <c r="C107" s="112" t="s">
        <v>15</v>
      </c>
      <c r="D107" s="62"/>
      <c r="E107" s="62"/>
      <c r="F107" s="63"/>
      <c r="J107" s="1"/>
    </row>
    <row r="108">
      <c r="C108" s="113" t="s">
        <v>16</v>
      </c>
      <c r="D108" s="114">
        <v>0.3</v>
      </c>
      <c r="E108" s="115">
        <v>3.559</v>
      </c>
      <c r="F108" s="116">
        <v>1.067</v>
      </c>
      <c r="J108" s="1"/>
    </row>
    <row r="109">
      <c r="C109" s="113" t="s">
        <v>99</v>
      </c>
      <c r="D109" s="114">
        <v>0.2</v>
      </c>
      <c r="E109" s="115">
        <v>2.892</v>
      </c>
      <c r="F109" s="116">
        <v>0.578</v>
      </c>
      <c r="J109" s="1"/>
    </row>
    <row r="110">
      <c r="C110" s="113" t="s">
        <v>28</v>
      </c>
      <c r="D110" s="114">
        <v>0.25</v>
      </c>
      <c r="E110" s="115">
        <v>3.568</v>
      </c>
      <c r="F110" s="116">
        <v>0.892</v>
      </c>
      <c r="J110" s="1"/>
    </row>
    <row r="111">
      <c r="C111" s="117" t="s">
        <v>40</v>
      </c>
      <c r="D111" s="114">
        <v>0.1</v>
      </c>
      <c r="E111" s="115">
        <v>3.031</v>
      </c>
      <c r="F111" s="116">
        <v>0.303</v>
      </c>
      <c r="J111" s="1"/>
    </row>
    <row r="112">
      <c r="C112" s="113" t="s">
        <v>100</v>
      </c>
      <c r="D112" s="114">
        <v>0.15</v>
      </c>
      <c r="E112" s="115">
        <v>2.854</v>
      </c>
      <c r="F112" s="116">
        <v>0.428</v>
      </c>
      <c r="J112" s="1"/>
    </row>
    <row r="113">
      <c r="C113" s="118" t="s">
        <v>46</v>
      </c>
      <c r="D113" s="119">
        <v>1.0</v>
      </c>
      <c r="E113" s="120"/>
      <c r="F113" s="120">
        <v>3.268</v>
      </c>
      <c r="J113" s="1"/>
    </row>
    <row r="114">
      <c r="C114" s="121" t="s">
        <v>101</v>
      </c>
      <c r="D114" s="122">
        <v>0.3</v>
      </c>
      <c r="E114" s="123"/>
      <c r="F114" s="124">
        <v>0.981</v>
      </c>
      <c r="J114" s="1"/>
    </row>
    <row r="115">
      <c r="J115" s="1"/>
    </row>
    <row r="116">
      <c r="J116" s="1"/>
    </row>
    <row r="117">
      <c r="J117" s="1"/>
    </row>
    <row r="118">
      <c r="J118" s="1"/>
    </row>
    <row r="119">
      <c r="J119" s="1"/>
    </row>
    <row r="120">
      <c r="J120" s="1"/>
    </row>
    <row r="121">
      <c r="J121" s="1"/>
    </row>
    <row r="122">
      <c r="J122" s="1"/>
    </row>
    <row r="123">
      <c r="J123" s="1"/>
    </row>
    <row r="124">
      <c r="J124" s="1"/>
    </row>
    <row r="125">
      <c r="J125" s="1"/>
    </row>
    <row r="126">
      <c r="J126" s="1"/>
    </row>
    <row r="127">
      <c r="J127" s="1"/>
    </row>
    <row r="128">
      <c r="J128" s="1"/>
    </row>
    <row r="129">
      <c r="J129" s="1"/>
    </row>
    <row r="130">
      <c r="J130" s="1"/>
    </row>
    <row r="131">
      <c r="J131" s="1"/>
    </row>
    <row r="132">
      <c r="J132" s="1"/>
    </row>
    <row r="133">
      <c r="J133" s="1"/>
    </row>
    <row r="134">
      <c r="J134" s="1"/>
    </row>
    <row r="135">
      <c r="J135" s="1"/>
    </row>
    <row r="136">
      <c r="J136" s="1"/>
    </row>
    <row r="137">
      <c r="J137" s="1"/>
    </row>
    <row r="138">
      <c r="J138" s="1"/>
    </row>
    <row r="139">
      <c r="J139" s="1"/>
    </row>
    <row r="140">
      <c r="J140" s="1"/>
    </row>
    <row r="141">
      <c r="J141" s="1"/>
    </row>
    <row r="142">
      <c r="J142" s="1"/>
    </row>
    <row r="143">
      <c r="J143" s="1"/>
    </row>
    <row r="144">
      <c r="J144" s="1"/>
    </row>
    <row r="145">
      <c r="J145" s="1"/>
    </row>
    <row r="146">
      <c r="J146" s="1"/>
    </row>
    <row r="147">
      <c r="J147" s="1"/>
    </row>
    <row r="148">
      <c r="J148" s="1"/>
    </row>
    <row r="149">
      <c r="J149" s="1"/>
    </row>
    <row r="150">
      <c r="J150" s="1"/>
    </row>
    <row r="151">
      <c r="J151" s="1"/>
    </row>
    <row r="152">
      <c r="J152" s="1"/>
    </row>
    <row r="153">
      <c r="J153" s="1"/>
    </row>
    <row r="154">
      <c r="J154" s="1"/>
    </row>
    <row r="155">
      <c r="J155" s="1"/>
    </row>
    <row r="156">
      <c r="J156" s="1"/>
    </row>
    <row r="157">
      <c r="J157" s="1"/>
    </row>
    <row r="158">
      <c r="J158" s="1"/>
    </row>
    <row r="159">
      <c r="J159" s="1"/>
    </row>
    <row r="160">
      <c r="J160" s="1"/>
    </row>
    <row r="161">
      <c r="J161" s="1"/>
    </row>
    <row r="162">
      <c r="J162" s="1"/>
    </row>
    <row r="163">
      <c r="J163" s="1"/>
    </row>
    <row r="164">
      <c r="J164" s="1"/>
    </row>
    <row r="165">
      <c r="J165" s="1"/>
    </row>
    <row r="166">
      <c r="J166" s="1"/>
    </row>
    <row r="167">
      <c r="J167" s="1"/>
    </row>
    <row r="168">
      <c r="J168" s="1"/>
    </row>
    <row r="169">
      <c r="J169" s="1"/>
    </row>
    <row r="170">
      <c r="J170" s="1"/>
    </row>
    <row r="171">
      <c r="J171" s="1"/>
    </row>
    <row r="172">
      <c r="J172" s="1"/>
    </row>
    <row r="173">
      <c r="J173" s="1"/>
    </row>
    <row r="174">
      <c r="J174" s="1"/>
    </row>
    <row r="175">
      <c r="J175" s="1"/>
    </row>
    <row r="176">
      <c r="J176" s="1"/>
    </row>
    <row r="177">
      <c r="J177" s="1"/>
    </row>
    <row r="178">
      <c r="J178" s="1"/>
    </row>
    <row r="179">
      <c r="J179" s="1"/>
    </row>
    <row r="180">
      <c r="J180" s="1"/>
    </row>
    <row r="181">
      <c r="J181" s="1"/>
    </row>
    <row r="182">
      <c r="J182" s="1"/>
    </row>
    <row r="183">
      <c r="J183" s="1"/>
    </row>
    <row r="184">
      <c r="J184" s="1"/>
    </row>
    <row r="185">
      <c r="J185" s="1"/>
    </row>
    <row r="186">
      <c r="J186" s="1"/>
    </row>
    <row r="187">
      <c r="J187" s="1"/>
    </row>
    <row r="188">
      <c r="J188" s="1"/>
    </row>
    <row r="189">
      <c r="J189" s="1"/>
    </row>
    <row r="190">
      <c r="J190" s="1"/>
    </row>
    <row r="191">
      <c r="J191" s="1"/>
    </row>
    <row r="192">
      <c r="J192" s="1"/>
    </row>
    <row r="193">
      <c r="J193" s="1"/>
    </row>
    <row r="194">
      <c r="J194" s="1"/>
    </row>
    <row r="195">
      <c r="J195" s="1"/>
    </row>
    <row r="196">
      <c r="J196" s="1"/>
    </row>
    <row r="197">
      <c r="J197" s="1"/>
    </row>
    <row r="198">
      <c r="J198" s="1"/>
    </row>
    <row r="199">
      <c r="J199" s="1"/>
    </row>
    <row r="200">
      <c r="J200" s="1"/>
    </row>
    <row r="201">
      <c r="J201" s="1"/>
    </row>
    <row r="202">
      <c r="J202" s="1"/>
    </row>
    <row r="203">
      <c r="J203" s="1"/>
    </row>
    <row r="204">
      <c r="J204" s="1"/>
    </row>
    <row r="205">
      <c r="J205" s="1"/>
    </row>
    <row r="206">
      <c r="J206" s="1"/>
    </row>
    <row r="207">
      <c r="J207" s="1"/>
    </row>
    <row r="208">
      <c r="J208" s="1"/>
    </row>
    <row r="209">
      <c r="J209" s="1"/>
    </row>
    <row r="210">
      <c r="J210" s="1"/>
    </row>
    <row r="211">
      <c r="J211" s="1"/>
    </row>
    <row r="212">
      <c r="J212" s="1"/>
    </row>
    <row r="213">
      <c r="J213" s="1"/>
    </row>
    <row r="214">
      <c r="J214" s="1"/>
    </row>
    <row r="215">
      <c r="J215" s="1"/>
    </row>
    <row r="216">
      <c r="J216" s="1"/>
    </row>
    <row r="217">
      <c r="J217" s="1"/>
    </row>
    <row r="218">
      <c r="J218" s="1"/>
    </row>
    <row r="219">
      <c r="J219" s="1"/>
    </row>
    <row r="220">
      <c r="J220" s="1"/>
    </row>
    <row r="221">
      <c r="J221" s="1"/>
    </row>
    <row r="222">
      <c r="J222" s="1"/>
    </row>
    <row r="223">
      <c r="J223" s="1"/>
    </row>
    <row r="224">
      <c r="J224" s="1"/>
    </row>
    <row r="225">
      <c r="J225" s="1"/>
    </row>
    <row r="226">
      <c r="J226" s="1"/>
    </row>
    <row r="227">
      <c r="J227" s="1"/>
    </row>
    <row r="228">
      <c r="J228" s="1"/>
    </row>
    <row r="229">
      <c r="J229" s="1"/>
    </row>
    <row r="230">
      <c r="J230" s="1"/>
    </row>
    <row r="231">
      <c r="J231" s="1"/>
    </row>
    <row r="232">
      <c r="J232" s="1"/>
    </row>
    <row r="233">
      <c r="J233" s="1"/>
    </row>
    <row r="234">
      <c r="J234" s="1"/>
    </row>
    <row r="235">
      <c r="J235" s="1"/>
    </row>
    <row r="236">
      <c r="J236" s="1"/>
    </row>
    <row r="237">
      <c r="J237" s="1"/>
    </row>
    <row r="238">
      <c r="J238" s="1"/>
    </row>
    <row r="239">
      <c r="J239" s="1"/>
    </row>
    <row r="240">
      <c r="J240" s="1"/>
    </row>
    <row r="241">
      <c r="J241" s="1"/>
    </row>
    <row r="242">
      <c r="J242" s="1"/>
    </row>
    <row r="243">
      <c r="J243" s="1"/>
    </row>
    <row r="244">
      <c r="J244" s="1"/>
    </row>
    <row r="245">
      <c r="J245" s="1"/>
    </row>
    <row r="246">
      <c r="J246" s="1"/>
    </row>
    <row r="247">
      <c r="J247" s="1"/>
    </row>
    <row r="248">
      <c r="J248" s="1"/>
    </row>
    <row r="249">
      <c r="J249" s="1"/>
    </row>
    <row r="250">
      <c r="J250" s="1"/>
    </row>
    <row r="251">
      <c r="J251" s="1"/>
    </row>
    <row r="252">
      <c r="J252" s="1"/>
    </row>
    <row r="253">
      <c r="J253" s="1"/>
    </row>
    <row r="254">
      <c r="J254" s="1"/>
    </row>
    <row r="255">
      <c r="J255" s="1"/>
    </row>
    <row r="256">
      <c r="J256" s="1"/>
    </row>
    <row r="257">
      <c r="J257" s="1"/>
    </row>
    <row r="258">
      <c r="J258" s="1"/>
    </row>
    <row r="259">
      <c r="J259" s="1"/>
    </row>
    <row r="260">
      <c r="J260" s="1"/>
    </row>
    <row r="261">
      <c r="J261" s="1"/>
    </row>
    <row r="262">
      <c r="J262" s="1"/>
    </row>
    <row r="263">
      <c r="J263" s="1"/>
    </row>
    <row r="264">
      <c r="J264" s="1"/>
    </row>
    <row r="265">
      <c r="J265" s="1"/>
    </row>
    <row r="266">
      <c r="J266" s="1"/>
    </row>
    <row r="267">
      <c r="J267" s="1"/>
    </row>
    <row r="268">
      <c r="J268" s="1"/>
    </row>
    <row r="269">
      <c r="J269" s="1"/>
    </row>
    <row r="270">
      <c r="J270" s="1"/>
    </row>
    <row r="271">
      <c r="J271" s="1"/>
    </row>
    <row r="272">
      <c r="J272" s="1"/>
    </row>
    <row r="273">
      <c r="J273" s="1"/>
    </row>
    <row r="274">
      <c r="J274" s="1"/>
    </row>
    <row r="275">
      <c r="J275" s="1"/>
    </row>
    <row r="276">
      <c r="J276" s="1"/>
    </row>
    <row r="277">
      <c r="J277" s="1"/>
    </row>
    <row r="278">
      <c r="J278" s="1"/>
    </row>
    <row r="279">
      <c r="J279" s="1"/>
    </row>
    <row r="280">
      <c r="J280" s="1"/>
    </row>
    <row r="281">
      <c r="J281" s="1"/>
    </row>
    <row r="282">
      <c r="J282" s="1"/>
    </row>
    <row r="283">
      <c r="J283" s="1"/>
    </row>
    <row r="284">
      <c r="J284" s="1"/>
    </row>
    <row r="285">
      <c r="J285" s="1"/>
    </row>
    <row r="286">
      <c r="J286" s="1"/>
    </row>
    <row r="287">
      <c r="J287" s="1"/>
    </row>
    <row r="288">
      <c r="J288" s="1"/>
    </row>
    <row r="289">
      <c r="J289" s="1"/>
    </row>
    <row r="290">
      <c r="J290" s="1"/>
    </row>
    <row r="291">
      <c r="J291" s="1"/>
    </row>
    <row r="292">
      <c r="J292" s="1"/>
    </row>
    <row r="293">
      <c r="J293" s="1"/>
    </row>
    <row r="294">
      <c r="J294" s="1"/>
    </row>
    <row r="295">
      <c r="J295" s="1"/>
    </row>
    <row r="296">
      <c r="J296" s="1"/>
    </row>
    <row r="297">
      <c r="J297" s="1"/>
    </row>
    <row r="298">
      <c r="J298" s="1"/>
    </row>
    <row r="299">
      <c r="J299" s="1"/>
    </row>
    <row r="300">
      <c r="J300" s="1"/>
    </row>
    <row r="301">
      <c r="J301" s="1"/>
    </row>
    <row r="302">
      <c r="J302" s="1"/>
    </row>
    <row r="303">
      <c r="J303" s="1"/>
    </row>
    <row r="304">
      <c r="J304" s="1"/>
    </row>
    <row r="305">
      <c r="J305" s="1"/>
    </row>
    <row r="306">
      <c r="J306" s="1"/>
    </row>
    <row r="307">
      <c r="J307" s="1"/>
    </row>
    <row r="308">
      <c r="J308" s="1"/>
    </row>
    <row r="309">
      <c r="J309" s="1"/>
    </row>
    <row r="310">
      <c r="J310" s="1"/>
    </row>
    <row r="311">
      <c r="J311" s="1"/>
    </row>
    <row r="312">
      <c r="J312" s="1"/>
    </row>
    <row r="313">
      <c r="J313" s="1"/>
    </row>
    <row r="314">
      <c r="J314" s="1"/>
    </row>
    <row r="315">
      <c r="J315" s="1"/>
    </row>
    <row r="316">
      <c r="J316" s="1"/>
    </row>
    <row r="317">
      <c r="J317" s="1"/>
    </row>
    <row r="318">
      <c r="J318" s="1"/>
    </row>
    <row r="319">
      <c r="J319" s="1"/>
    </row>
    <row r="320">
      <c r="J320" s="1"/>
    </row>
    <row r="321">
      <c r="J321" s="1"/>
    </row>
    <row r="322">
      <c r="J322" s="1"/>
    </row>
    <row r="323">
      <c r="J323" s="1"/>
    </row>
    <row r="324">
      <c r="J324" s="1"/>
    </row>
    <row r="325">
      <c r="J325" s="1"/>
    </row>
    <row r="326">
      <c r="J326" s="1"/>
    </row>
    <row r="327">
      <c r="J327" s="1"/>
    </row>
    <row r="328">
      <c r="J328" s="1"/>
    </row>
    <row r="329">
      <c r="J329" s="1"/>
    </row>
    <row r="330">
      <c r="J330" s="1"/>
    </row>
    <row r="331">
      <c r="J331" s="1"/>
    </row>
    <row r="332">
      <c r="J332" s="1"/>
    </row>
    <row r="333">
      <c r="J333" s="1"/>
    </row>
    <row r="334">
      <c r="J334" s="1"/>
    </row>
    <row r="335">
      <c r="J335" s="1"/>
    </row>
    <row r="336">
      <c r="J336" s="1"/>
    </row>
    <row r="337">
      <c r="J337" s="1"/>
    </row>
    <row r="338">
      <c r="J338" s="1"/>
    </row>
    <row r="339">
      <c r="J339" s="1"/>
    </row>
    <row r="340">
      <c r="J340" s="1"/>
    </row>
    <row r="341">
      <c r="J341" s="1"/>
    </row>
    <row r="342">
      <c r="J342" s="1"/>
    </row>
    <row r="343">
      <c r="J343" s="1"/>
    </row>
    <row r="344">
      <c r="J344" s="1"/>
    </row>
    <row r="345">
      <c r="J345" s="1"/>
    </row>
    <row r="346">
      <c r="J346" s="1"/>
    </row>
    <row r="347">
      <c r="J347" s="1"/>
    </row>
    <row r="348">
      <c r="J348" s="1"/>
    </row>
    <row r="349">
      <c r="J349" s="1"/>
    </row>
    <row r="350">
      <c r="J350" s="1"/>
    </row>
    <row r="351">
      <c r="J351" s="1"/>
    </row>
    <row r="352">
      <c r="J352" s="1"/>
    </row>
    <row r="353">
      <c r="J353" s="1"/>
    </row>
    <row r="354">
      <c r="J354" s="1"/>
    </row>
    <row r="355">
      <c r="J355" s="1"/>
    </row>
    <row r="356">
      <c r="J356" s="1"/>
    </row>
    <row r="357">
      <c r="J357" s="1"/>
    </row>
    <row r="358">
      <c r="J358" s="1"/>
    </row>
    <row r="359">
      <c r="J359" s="1"/>
    </row>
    <row r="360">
      <c r="J360" s="1"/>
    </row>
    <row r="361">
      <c r="J361" s="1"/>
    </row>
    <row r="362">
      <c r="J362" s="1"/>
    </row>
    <row r="363">
      <c r="J363" s="1"/>
    </row>
    <row r="364">
      <c r="J364" s="1"/>
    </row>
    <row r="365">
      <c r="J365" s="1"/>
    </row>
    <row r="366">
      <c r="J366" s="1"/>
    </row>
    <row r="367">
      <c r="J367" s="1"/>
    </row>
    <row r="368">
      <c r="J368" s="1"/>
    </row>
    <row r="369">
      <c r="J369" s="1"/>
    </row>
    <row r="370">
      <c r="J370" s="1"/>
    </row>
    <row r="371">
      <c r="J371" s="1"/>
    </row>
    <row r="372">
      <c r="J372" s="1"/>
    </row>
    <row r="373">
      <c r="J373" s="1"/>
    </row>
    <row r="374">
      <c r="J374" s="1"/>
    </row>
    <row r="375">
      <c r="J375" s="1"/>
    </row>
    <row r="376">
      <c r="J376" s="1"/>
    </row>
    <row r="377">
      <c r="J377" s="1"/>
    </row>
    <row r="378">
      <c r="J378" s="1"/>
    </row>
    <row r="379">
      <c r="J379" s="1"/>
    </row>
    <row r="380">
      <c r="J380" s="1"/>
    </row>
    <row r="381">
      <c r="J381" s="1"/>
    </row>
    <row r="382">
      <c r="J382" s="1"/>
    </row>
    <row r="383">
      <c r="J383" s="1"/>
    </row>
    <row r="384">
      <c r="J384" s="1"/>
    </row>
    <row r="385">
      <c r="J385" s="1"/>
    </row>
    <row r="386">
      <c r="J386" s="1"/>
    </row>
    <row r="387">
      <c r="J387" s="1"/>
    </row>
    <row r="388">
      <c r="J388" s="1"/>
    </row>
    <row r="389">
      <c r="J389" s="1"/>
    </row>
    <row r="390">
      <c r="J390" s="1"/>
    </row>
    <row r="391">
      <c r="J391" s="1"/>
    </row>
    <row r="392">
      <c r="J392" s="1"/>
    </row>
    <row r="393">
      <c r="J393" s="1"/>
    </row>
    <row r="394">
      <c r="J394" s="1"/>
    </row>
    <row r="395">
      <c r="J395" s="1"/>
    </row>
    <row r="396">
      <c r="J396" s="1"/>
    </row>
    <row r="397">
      <c r="J397" s="1"/>
    </row>
    <row r="398">
      <c r="J398" s="1"/>
    </row>
    <row r="399">
      <c r="J399" s="1"/>
    </row>
    <row r="400">
      <c r="J400" s="1"/>
    </row>
    <row r="401">
      <c r="J401" s="1"/>
    </row>
    <row r="402">
      <c r="J402" s="1"/>
    </row>
    <row r="403">
      <c r="J403" s="1"/>
    </row>
    <row r="404">
      <c r="J404" s="1"/>
    </row>
    <row r="405">
      <c r="J405" s="1"/>
    </row>
    <row r="406">
      <c r="J406" s="1"/>
    </row>
    <row r="407">
      <c r="J407" s="1"/>
    </row>
    <row r="408">
      <c r="J408" s="1"/>
    </row>
    <row r="409">
      <c r="J409" s="1"/>
    </row>
    <row r="410">
      <c r="J410" s="1"/>
    </row>
    <row r="411">
      <c r="J411" s="1"/>
    </row>
    <row r="412">
      <c r="J412" s="1"/>
    </row>
    <row r="413">
      <c r="J413" s="1"/>
    </row>
    <row r="414">
      <c r="J414" s="1"/>
    </row>
    <row r="415">
      <c r="J415" s="1"/>
    </row>
    <row r="416">
      <c r="J416" s="1"/>
    </row>
    <row r="417">
      <c r="J417" s="1"/>
    </row>
    <row r="418">
      <c r="J418" s="1"/>
    </row>
    <row r="419">
      <c r="J419" s="1"/>
    </row>
    <row r="420">
      <c r="J420" s="1"/>
    </row>
    <row r="421">
      <c r="J421" s="1"/>
    </row>
    <row r="422">
      <c r="J422" s="1"/>
    </row>
    <row r="423">
      <c r="J423" s="1"/>
    </row>
    <row r="424">
      <c r="J424" s="1"/>
    </row>
    <row r="425">
      <c r="J425" s="1"/>
    </row>
    <row r="426">
      <c r="J426" s="1"/>
    </row>
    <row r="427">
      <c r="J427" s="1"/>
    </row>
    <row r="428">
      <c r="J428" s="1"/>
    </row>
    <row r="429">
      <c r="J429" s="1"/>
    </row>
    <row r="430">
      <c r="J430" s="1"/>
    </row>
    <row r="431">
      <c r="J431" s="1"/>
    </row>
    <row r="432">
      <c r="J432" s="1"/>
    </row>
    <row r="433">
      <c r="J433" s="1"/>
    </row>
    <row r="434">
      <c r="J434" s="1"/>
    </row>
    <row r="435">
      <c r="J435" s="1"/>
    </row>
    <row r="436">
      <c r="J436" s="1"/>
    </row>
    <row r="437">
      <c r="J437" s="1"/>
    </row>
    <row r="438">
      <c r="J438" s="1"/>
    </row>
    <row r="439">
      <c r="J439" s="1"/>
    </row>
    <row r="440">
      <c r="J440" s="1"/>
    </row>
    <row r="441">
      <c r="J441" s="1"/>
    </row>
    <row r="442">
      <c r="J442" s="1"/>
    </row>
    <row r="443">
      <c r="J443" s="1"/>
    </row>
    <row r="444">
      <c r="J444" s="1"/>
    </row>
    <row r="445">
      <c r="J445" s="1"/>
    </row>
    <row r="446">
      <c r="J446" s="1"/>
    </row>
    <row r="447">
      <c r="J447" s="1"/>
    </row>
    <row r="448">
      <c r="J448" s="1"/>
    </row>
    <row r="449">
      <c r="J449" s="1"/>
    </row>
    <row r="450">
      <c r="J450" s="1"/>
    </row>
    <row r="451">
      <c r="J451" s="1"/>
    </row>
    <row r="452">
      <c r="J452" s="1"/>
    </row>
    <row r="453">
      <c r="J453" s="1"/>
    </row>
    <row r="454">
      <c r="J454" s="1"/>
    </row>
    <row r="455">
      <c r="J455" s="1"/>
    </row>
    <row r="456">
      <c r="J456" s="1"/>
    </row>
    <row r="457">
      <c r="J457" s="1"/>
    </row>
    <row r="458">
      <c r="J458" s="1"/>
    </row>
    <row r="459">
      <c r="J459" s="1"/>
    </row>
    <row r="460">
      <c r="J460" s="1"/>
    </row>
    <row r="461">
      <c r="J461" s="1"/>
    </row>
    <row r="462">
      <c r="J462" s="1"/>
    </row>
    <row r="463">
      <c r="J463" s="1"/>
    </row>
    <row r="464">
      <c r="J464" s="1"/>
    </row>
    <row r="465">
      <c r="J465" s="1"/>
    </row>
    <row r="466">
      <c r="J466" s="1"/>
    </row>
    <row r="467">
      <c r="J467" s="1"/>
    </row>
    <row r="468">
      <c r="J468" s="1"/>
    </row>
    <row r="469">
      <c r="J469" s="1"/>
    </row>
    <row r="470">
      <c r="J470" s="1"/>
    </row>
    <row r="471">
      <c r="J471" s="1"/>
    </row>
    <row r="472">
      <c r="J472" s="1"/>
    </row>
    <row r="473">
      <c r="J473" s="1"/>
    </row>
    <row r="474">
      <c r="J474" s="1"/>
    </row>
    <row r="475">
      <c r="J475" s="1"/>
    </row>
    <row r="476">
      <c r="J476" s="1"/>
    </row>
    <row r="477">
      <c r="J477" s="1"/>
    </row>
    <row r="478">
      <c r="J478" s="1"/>
    </row>
    <row r="479">
      <c r="J479" s="1"/>
    </row>
    <row r="480">
      <c r="J480" s="1"/>
    </row>
    <row r="481">
      <c r="J481" s="1"/>
    </row>
    <row r="482">
      <c r="J482" s="1"/>
    </row>
    <row r="483">
      <c r="J483" s="1"/>
    </row>
    <row r="484">
      <c r="J484" s="1"/>
    </row>
    <row r="485">
      <c r="J485" s="1"/>
    </row>
    <row r="486">
      <c r="J486" s="1"/>
    </row>
    <row r="487">
      <c r="J487" s="1"/>
    </row>
    <row r="488">
      <c r="J488" s="1"/>
    </row>
    <row r="489">
      <c r="J489" s="1"/>
    </row>
    <row r="490">
      <c r="J490" s="1"/>
    </row>
    <row r="491">
      <c r="J491" s="1"/>
    </row>
    <row r="492">
      <c r="J492" s="1"/>
    </row>
    <row r="493">
      <c r="J493" s="1"/>
    </row>
    <row r="494">
      <c r="J494" s="1"/>
    </row>
    <row r="495">
      <c r="J495" s="1"/>
    </row>
    <row r="496">
      <c r="J496" s="1"/>
    </row>
    <row r="497">
      <c r="J497" s="1"/>
    </row>
    <row r="498">
      <c r="J498" s="1"/>
    </row>
    <row r="499">
      <c r="J499" s="1"/>
    </row>
    <row r="500">
      <c r="J500" s="1"/>
    </row>
    <row r="501">
      <c r="J501" s="1"/>
    </row>
    <row r="502">
      <c r="J502" s="1"/>
    </row>
    <row r="503">
      <c r="J503" s="1"/>
    </row>
    <row r="504">
      <c r="J504" s="1"/>
    </row>
    <row r="505">
      <c r="J505" s="1"/>
    </row>
    <row r="506">
      <c r="J506" s="1"/>
    </row>
    <row r="507">
      <c r="J507" s="1"/>
    </row>
    <row r="508">
      <c r="J508" s="1"/>
    </row>
    <row r="509">
      <c r="J509" s="1"/>
    </row>
    <row r="510">
      <c r="J510" s="1"/>
    </row>
    <row r="511">
      <c r="J511" s="1"/>
    </row>
    <row r="512">
      <c r="J512" s="1"/>
    </row>
    <row r="513">
      <c r="J513" s="1"/>
    </row>
    <row r="514">
      <c r="J514" s="1"/>
    </row>
    <row r="515">
      <c r="J515" s="1"/>
    </row>
    <row r="516">
      <c r="J516" s="1"/>
    </row>
    <row r="517">
      <c r="J517" s="1"/>
    </row>
    <row r="518">
      <c r="J518" s="1"/>
    </row>
    <row r="519">
      <c r="J519" s="1"/>
    </row>
    <row r="520">
      <c r="J520" s="1"/>
    </row>
    <row r="521">
      <c r="J521" s="1"/>
    </row>
    <row r="522">
      <c r="J522" s="1"/>
    </row>
    <row r="523">
      <c r="J523" s="1"/>
    </row>
    <row r="524">
      <c r="J524" s="1"/>
    </row>
    <row r="525">
      <c r="J525" s="1"/>
    </row>
    <row r="526">
      <c r="J526" s="1"/>
    </row>
    <row r="527">
      <c r="J527" s="1"/>
    </row>
    <row r="528">
      <c r="J528" s="1"/>
    </row>
    <row r="529">
      <c r="J529" s="1"/>
    </row>
    <row r="530">
      <c r="J530" s="1"/>
    </row>
    <row r="531">
      <c r="J531" s="1"/>
    </row>
    <row r="532">
      <c r="J532" s="1"/>
    </row>
    <row r="533">
      <c r="J533" s="1"/>
    </row>
    <row r="534">
      <c r="J534" s="1"/>
    </row>
    <row r="535">
      <c r="J535" s="1"/>
    </row>
    <row r="536">
      <c r="J536" s="1"/>
    </row>
    <row r="537">
      <c r="J537" s="1"/>
    </row>
    <row r="538">
      <c r="J538" s="1"/>
    </row>
    <row r="539">
      <c r="J539" s="1"/>
    </row>
    <row r="540">
      <c r="J540" s="1"/>
    </row>
    <row r="541">
      <c r="J541" s="1"/>
    </row>
    <row r="542">
      <c r="J542" s="1"/>
    </row>
    <row r="543">
      <c r="J543" s="1"/>
    </row>
    <row r="544">
      <c r="J544" s="1"/>
    </row>
    <row r="545">
      <c r="J545" s="1"/>
    </row>
    <row r="546">
      <c r="J546" s="1"/>
    </row>
    <row r="547">
      <c r="J547" s="1"/>
    </row>
    <row r="548">
      <c r="J548" s="1"/>
    </row>
    <row r="549">
      <c r="J549" s="1"/>
    </row>
    <row r="550">
      <c r="J550" s="1"/>
    </row>
    <row r="551">
      <c r="J551" s="1"/>
    </row>
    <row r="552">
      <c r="J552" s="1"/>
    </row>
    <row r="553">
      <c r="J553" s="1"/>
    </row>
    <row r="554">
      <c r="J554" s="1"/>
    </row>
    <row r="555">
      <c r="J555" s="1"/>
    </row>
    <row r="556">
      <c r="J556" s="1"/>
    </row>
    <row r="557">
      <c r="J557" s="1"/>
    </row>
    <row r="558">
      <c r="J558" s="1"/>
    </row>
    <row r="559">
      <c r="J559" s="1"/>
    </row>
    <row r="560">
      <c r="J560" s="1"/>
    </row>
    <row r="561">
      <c r="J561" s="1"/>
    </row>
    <row r="562">
      <c r="J562" s="1"/>
    </row>
    <row r="563">
      <c r="J563" s="1"/>
    </row>
    <row r="564">
      <c r="J564" s="1"/>
    </row>
    <row r="565">
      <c r="J565" s="1"/>
    </row>
    <row r="566">
      <c r="J566" s="1"/>
    </row>
    <row r="567">
      <c r="J567" s="1"/>
    </row>
    <row r="568">
      <c r="J568" s="1"/>
    </row>
    <row r="569">
      <c r="J569" s="1"/>
    </row>
    <row r="570">
      <c r="J570" s="1"/>
    </row>
    <row r="571">
      <c r="J571" s="1"/>
    </row>
    <row r="572">
      <c r="J572" s="1"/>
    </row>
    <row r="573">
      <c r="J573" s="1"/>
    </row>
    <row r="574">
      <c r="J574" s="1"/>
    </row>
    <row r="575">
      <c r="J575" s="1"/>
    </row>
    <row r="576">
      <c r="J576" s="1"/>
    </row>
    <row r="577">
      <c r="J577" s="1"/>
    </row>
    <row r="578">
      <c r="J578" s="1"/>
    </row>
    <row r="579">
      <c r="J579" s="1"/>
    </row>
    <row r="580">
      <c r="J580" s="1"/>
    </row>
    <row r="581">
      <c r="J581" s="1"/>
    </row>
    <row r="582">
      <c r="J582" s="1"/>
    </row>
    <row r="583">
      <c r="J583" s="1"/>
    </row>
    <row r="584">
      <c r="J584" s="1"/>
    </row>
    <row r="585">
      <c r="J585" s="1"/>
    </row>
    <row r="586">
      <c r="J586" s="1"/>
    </row>
    <row r="587">
      <c r="J587" s="1"/>
    </row>
    <row r="588">
      <c r="J588" s="1"/>
    </row>
    <row r="589">
      <c r="J589" s="1"/>
    </row>
    <row r="590">
      <c r="J590" s="1"/>
    </row>
    <row r="591">
      <c r="J591" s="1"/>
    </row>
    <row r="592">
      <c r="J592" s="1"/>
    </row>
    <row r="593">
      <c r="J593" s="1"/>
    </row>
    <row r="594">
      <c r="J594" s="1"/>
    </row>
    <row r="595">
      <c r="J595" s="1"/>
    </row>
    <row r="596">
      <c r="J596" s="1"/>
    </row>
    <row r="597">
      <c r="J597" s="1"/>
    </row>
    <row r="598">
      <c r="J598" s="1"/>
    </row>
    <row r="599">
      <c r="J599" s="1"/>
    </row>
    <row r="600">
      <c r="J600" s="1"/>
    </row>
    <row r="601">
      <c r="J601" s="1"/>
    </row>
    <row r="602">
      <c r="J602" s="1"/>
    </row>
    <row r="603">
      <c r="J603" s="1"/>
    </row>
    <row r="604">
      <c r="J604" s="1"/>
    </row>
    <row r="605">
      <c r="J605" s="1"/>
    </row>
    <row r="606">
      <c r="J606" s="1"/>
    </row>
    <row r="607">
      <c r="J607" s="1"/>
    </row>
    <row r="608">
      <c r="J608" s="1"/>
    </row>
    <row r="609">
      <c r="J609" s="1"/>
    </row>
    <row r="610">
      <c r="J610" s="1"/>
    </row>
    <row r="611">
      <c r="J611" s="1"/>
    </row>
    <row r="612">
      <c r="J612" s="1"/>
    </row>
    <row r="613">
      <c r="J613" s="1"/>
    </row>
    <row r="614">
      <c r="J614" s="1"/>
    </row>
    <row r="615">
      <c r="J615" s="1"/>
    </row>
    <row r="616">
      <c r="J616" s="1"/>
    </row>
    <row r="617">
      <c r="J617" s="1"/>
    </row>
    <row r="618">
      <c r="J618" s="1"/>
    </row>
    <row r="619">
      <c r="J619" s="1"/>
    </row>
    <row r="620">
      <c r="J620" s="1"/>
    </row>
    <row r="621">
      <c r="J621" s="1"/>
    </row>
    <row r="622">
      <c r="J622" s="1"/>
    </row>
    <row r="623">
      <c r="J623" s="1"/>
    </row>
    <row r="624">
      <c r="J624" s="1"/>
    </row>
    <row r="625">
      <c r="J625" s="1"/>
    </row>
    <row r="626">
      <c r="J626" s="1"/>
    </row>
    <row r="627">
      <c r="J627" s="1"/>
    </row>
    <row r="628">
      <c r="J628" s="1"/>
    </row>
    <row r="629">
      <c r="J629" s="1"/>
    </row>
    <row r="630">
      <c r="J630" s="1"/>
    </row>
    <row r="631">
      <c r="J631" s="1"/>
    </row>
    <row r="632">
      <c r="J632" s="1"/>
    </row>
    <row r="633">
      <c r="J633" s="1"/>
    </row>
    <row r="634">
      <c r="J634" s="1"/>
    </row>
    <row r="635">
      <c r="J635" s="1"/>
    </row>
    <row r="636">
      <c r="J636" s="1"/>
    </row>
    <row r="637">
      <c r="J637" s="1"/>
    </row>
    <row r="638">
      <c r="J638" s="1"/>
    </row>
    <row r="639">
      <c r="J639" s="1"/>
    </row>
    <row r="640">
      <c r="J640" s="1"/>
    </row>
    <row r="641">
      <c r="J641" s="1"/>
    </row>
    <row r="642">
      <c r="J642" s="1"/>
    </row>
    <row r="643">
      <c r="J643" s="1"/>
    </row>
    <row r="644">
      <c r="J644" s="1"/>
    </row>
    <row r="645">
      <c r="J645" s="1"/>
    </row>
    <row r="646">
      <c r="J646" s="1"/>
    </row>
    <row r="647">
      <c r="J647" s="1"/>
    </row>
    <row r="648">
      <c r="J648" s="1"/>
    </row>
    <row r="649">
      <c r="J649" s="1"/>
    </row>
    <row r="650">
      <c r="J650" s="1"/>
    </row>
    <row r="651">
      <c r="J651" s="1"/>
    </row>
    <row r="652">
      <c r="J652" s="1"/>
    </row>
    <row r="653">
      <c r="J653" s="1"/>
    </row>
    <row r="654">
      <c r="J654" s="1"/>
    </row>
    <row r="655">
      <c r="J655" s="1"/>
    </row>
    <row r="656">
      <c r="J656" s="1"/>
    </row>
    <row r="657">
      <c r="J657" s="1"/>
    </row>
    <row r="658">
      <c r="J658" s="1"/>
    </row>
    <row r="659">
      <c r="J659" s="1"/>
    </row>
    <row r="660">
      <c r="J660" s="1"/>
    </row>
    <row r="661">
      <c r="J661" s="1"/>
    </row>
    <row r="662">
      <c r="J662" s="1"/>
    </row>
    <row r="663">
      <c r="J663" s="1"/>
    </row>
    <row r="664">
      <c r="J664" s="1"/>
    </row>
    <row r="665">
      <c r="J665" s="1"/>
    </row>
    <row r="666">
      <c r="J666" s="1"/>
    </row>
    <row r="667">
      <c r="J667" s="1"/>
    </row>
    <row r="668">
      <c r="J668" s="1"/>
    </row>
    <row r="669">
      <c r="J669" s="1"/>
    </row>
    <row r="670">
      <c r="J670" s="1"/>
    </row>
    <row r="671">
      <c r="J671" s="1"/>
    </row>
    <row r="672">
      <c r="J672" s="1"/>
    </row>
    <row r="673">
      <c r="J673" s="1"/>
    </row>
    <row r="674">
      <c r="J674" s="1"/>
    </row>
    <row r="675">
      <c r="J675" s="1"/>
    </row>
    <row r="676">
      <c r="J676" s="1"/>
    </row>
    <row r="677">
      <c r="J677" s="1"/>
    </row>
    <row r="678">
      <c r="J678" s="1"/>
    </row>
    <row r="679">
      <c r="J679" s="1"/>
    </row>
    <row r="680">
      <c r="J680" s="1"/>
    </row>
    <row r="681">
      <c r="J681" s="1"/>
    </row>
    <row r="682">
      <c r="J682" s="1"/>
    </row>
    <row r="683">
      <c r="J683" s="1"/>
    </row>
    <row r="684">
      <c r="J684" s="1"/>
    </row>
    <row r="685">
      <c r="J685" s="1"/>
    </row>
    <row r="686">
      <c r="J686" s="1"/>
    </row>
    <row r="687">
      <c r="J687" s="1"/>
    </row>
    <row r="688">
      <c r="J688" s="1"/>
    </row>
    <row r="689">
      <c r="J689" s="1"/>
    </row>
    <row r="690">
      <c r="J690" s="1"/>
    </row>
    <row r="691">
      <c r="J691" s="1"/>
    </row>
    <row r="692">
      <c r="J692" s="1"/>
    </row>
    <row r="693">
      <c r="J693" s="1"/>
    </row>
    <row r="694">
      <c r="J694" s="1"/>
    </row>
    <row r="695">
      <c r="J695" s="1"/>
    </row>
    <row r="696">
      <c r="J696" s="1"/>
    </row>
    <row r="697">
      <c r="J697" s="1"/>
    </row>
    <row r="698">
      <c r="J698" s="1"/>
    </row>
    <row r="699">
      <c r="J699" s="1"/>
    </row>
    <row r="700">
      <c r="J700" s="1"/>
    </row>
    <row r="701">
      <c r="J701" s="1"/>
    </row>
    <row r="702">
      <c r="J702" s="1"/>
    </row>
    <row r="703">
      <c r="J703" s="1"/>
    </row>
    <row r="704">
      <c r="J704" s="1"/>
    </row>
    <row r="705">
      <c r="J705" s="1"/>
    </row>
    <row r="706">
      <c r="J706" s="1"/>
    </row>
    <row r="707">
      <c r="J707" s="1"/>
    </row>
    <row r="708">
      <c r="J708" s="1"/>
    </row>
    <row r="709">
      <c r="J709" s="1"/>
    </row>
    <row r="710">
      <c r="J710" s="1"/>
    </row>
    <row r="711">
      <c r="J711" s="1"/>
    </row>
    <row r="712">
      <c r="J712" s="1"/>
    </row>
    <row r="713">
      <c r="J713" s="1"/>
    </row>
    <row r="714">
      <c r="J714" s="1"/>
    </row>
    <row r="715">
      <c r="J715" s="1"/>
    </row>
    <row r="716">
      <c r="J716" s="1"/>
    </row>
    <row r="717">
      <c r="J717" s="1"/>
    </row>
    <row r="718">
      <c r="J718" s="1"/>
    </row>
    <row r="719">
      <c r="J719" s="1"/>
    </row>
    <row r="720">
      <c r="J720" s="1"/>
    </row>
    <row r="721">
      <c r="J721" s="1"/>
    </row>
    <row r="722">
      <c r="J722" s="1"/>
    </row>
    <row r="723">
      <c r="J723" s="1"/>
    </row>
    <row r="724">
      <c r="J724" s="1"/>
    </row>
    <row r="725">
      <c r="J725" s="1"/>
    </row>
    <row r="726">
      <c r="J726" s="1"/>
    </row>
    <row r="727">
      <c r="J727" s="1"/>
    </row>
    <row r="728">
      <c r="J728" s="1"/>
    </row>
    <row r="729">
      <c r="J729" s="1"/>
    </row>
    <row r="730">
      <c r="J730" s="1"/>
    </row>
    <row r="731">
      <c r="J731" s="1"/>
    </row>
    <row r="732">
      <c r="J732" s="1"/>
    </row>
    <row r="733">
      <c r="J733" s="1"/>
    </row>
    <row r="734">
      <c r="J734" s="1"/>
    </row>
    <row r="735">
      <c r="J735" s="1"/>
    </row>
    <row r="736">
      <c r="J736" s="1"/>
    </row>
    <row r="737">
      <c r="J737" s="1"/>
    </row>
    <row r="738">
      <c r="J738" s="1"/>
    </row>
    <row r="739">
      <c r="J739" s="1"/>
    </row>
    <row r="740">
      <c r="J740" s="1"/>
    </row>
    <row r="741">
      <c r="J741" s="1"/>
    </row>
    <row r="742">
      <c r="J742" s="1"/>
    </row>
    <row r="743">
      <c r="J743" s="1"/>
    </row>
    <row r="744">
      <c r="J744" s="1"/>
    </row>
    <row r="745">
      <c r="J745" s="1"/>
    </row>
    <row r="746">
      <c r="J746" s="1"/>
    </row>
    <row r="747">
      <c r="J747" s="1"/>
    </row>
    <row r="748">
      <c r="J748" s="1"/>
    </row>
    <row r="749">
      <c r="J749" s="1"/>
    </row>
    <row r="750">
      <c r="J750" s="1"/>
    </row>
    <row r="751">
      <c r="J751" s="1"/>
    </row>
    <row r="752">
      <c r="J752" s="1"/>
    </row>
    <row r="753">
      <c r="J753" s="1"/>
    </row>
    <row r="754">
      <c r="J754" s="1"/>
    </row>
    <row r="755">
      <c r="J755" s="1"/>
    </row>
    <row r="756">
      <c r="J756" s="1"/>
    </row>
    <row r="757">
      <c r="J757" s="1"/>
    </row>
    <row r="758">
      <c r="J758" s="1"/>
    </row>
    <row r="759">
      <c r="J759" s="1"/>
    </row>
    <row r="760">
      <c r="J760" s="1"/>
    </row>
    <row r="761">
      <c r="J761" s="1"/>
    </row>
    <row r="762">
      <c r="J762" s="1"/>
    </row>
    <row r="763">
      <c r="J763" s="1"/>
    </row>
    <row r="764">
      <c r="J764" s="1"/>
    </row>
    <row r="765">
      <c r="J765" s="1"/>
    </row>
    <row r="766">
      <c r="J766" s="1"/>
    </row>
    <row r="767">
      <c r="J767" s="1"/>
    </row>
    <row r="768">
      <c r="J768" s="1"/>
    </row>
    <row r="769">
      <c r="J769" s="1"/>
    </row>
    <row r="770">
      <c r="J770" s="1"/>
    </row>
    <row r="771">
      <c r="J771" s="1"/>
    </row>
    <row r="772">
      <c r="J772" s="1"/>
    </row>
    <row r="773">
      <c r="J773" s="1"/>
    </row>
    <row r="774">
      <c r="J774" s="1"/>
    </row>
    <row r="775">
      <c r="J775" s="1"/>
    </row>
    <row r="776">
      <c r="J776" s="1"/>
    </row>
    <row r="777">
      <c r="J777" s="1"/>
    </row>
    <row r="778">
      <c r="J778" s="1"/>
    </row>
    <row r="779">
      <c r="J779" s="1"/>
    </row>
    <row r="780">
      <c r="J780" s="1"/>
    </row>
    <row r="781">
      <c r="J781" s="1"/>
    </row>
    <row r="782">
      <c r="J782" s="1"/>
    </row>
    <row r="783">
      <c r="J783" s="1"/>
    </row>
    <row r="784">
      <c r="J784" s="1"/>
    </row>
    <row r="785">
      <c r="J785" s="1"/>
    </row>
    <row r="786">
      <c r="J786" s="1"/>
    </row>
    <row r="787">
      <c r="J787" s="1"/>
    </row>
    <row r="788">
      <c r="J788" s="1"/>
    </row>
    <row r="789">
      <c r="J789" s="1"/>
    </row>
    <row r="790">
      <c r="J790" s="1"/>
    </row>
    <row r="791">
      <c r="J791" s="1"/>
    </row>
    <row r="792">
      <c r="J792" s="1"/>
    </row>
    <row r="793">
      <c r="J793" s="1"/>
    </row>
    <row r="794">
      <c r="J794" s="1"/>
    </row>
    <row r="795">
      <c r="J795" s="1"/>
    </row>
    <row r="796">
      <c r="J796" s="1"/>
    </row>
    <row r="797">
      <c r="J797" s="1"/>
    </row>
    <row r="798">
      <c r="J798" s="1"/>
    </row>
    <row r="799">
      <c r="J799" s="1"/>
    </row>
    <row r="800">
      <c r="J800" s="1"/>
    </row>
    <row r="801">
      <c r="J801" s="1"/>
    </row>
    <row r="802">
      <c r="J802" s="1"/>
    </row>
    <row r="803">
      <c r="J803" s="1"/>
    </row>
    <row r="804">
      <c r="J804" s="1"/>
    </row>
    <row r="805">
      <c r="J805" s="1"/>
    </row>
    <row r="806">
      <c r="J806" s="1"/>
    </row>
    <row r="807">
      <c r="J807" s="1"/>
    </row>
    <row r="808">
      <c r="J808" s="1"/>
    </row>
    <row r="809">
      <c r="J809" s="1"/>
    </row>
    <row r="810">
      <c r="J810" s="1"/>
    </row>
    <row r="811">
      <c r="J811" s="1"/>
    </row>
    <row r="812">
      <c r="J812" s="1"/>
    </row>
    <row r="813">
      <c r="J813" s="1"/>
    </row>
    <row r="814">
      <c r="J814" s="1"/>
    </row>
    <row r="815">
      <c r="J815" s="1"/>
    </row>
    <row r="816">
      <c r="J816" s="1"/>
    </row>
    <row r="817">
      <c r="J817" s="1"/>
    </row>
    <row r="818">
      <c r="J818" s="1"/>
    </row>
    <row r="819">
      <c r="J819" s="1"/>
    </row>
    <row r="820">
      <c r="J820" s="1"/>
    </row>
    <row r="821">
      <c r="J821" s="1"/>
    </row>
    <row r="822">
      <c r="J822" s="1"/>
    </row>
    <row r="823">
      <c r="J823" s="1"/>
    </row>
    <row r="824">
      <c r="J824" s="1"/>
    </row>
    <row r="825">
      <c r="J825" s="1"/>
    </row>
    <row r="826">
      <c r="J826" s="1"/>
    </row>
    <row r="827">
      <c r="J827" s="1"/>
    </row>
    <row r="828">
      <c r="J828" s="1"/>
    </row>
    <row r="829">
      <c r="J829" s="1"/>
    </row>
    <row r="830">
      <c r="J830" s="1"/>
    </row>
    <row r="831">
      <c r="J831" s="1"/>
    </row>
    <row r="832">
      <c r="J832" s="1"/>
    </row>
    <row r="833">
      <c r="J833" s="1"/>
    </row>
    <row r="834">
      <c r="J834" s="1"/>
    </row>
    <row r="835">
      <c r="J835" s="1"/>
    </row>
    <row r="836">
      <c r="J836" s="1"/>
    </row>
    <row r="837">
      <c r="J837" s="1"/>
    </row>
    <row r="838">
      <c r="J838" s="1"/>
    </row>
    <row r="839">
      <c r="J839" s="1"/>
    </row>
    <row r="840">
      <c r="J840" s="1"/>
    </row>
    <row r="841">
      <c r="J841" s="1"/>
    </row>
    <row r="842">
      <c r="J842" s="1"/>
    </row>
    <row r="843">
      <c r="J843" s="1"/>
    </row>
    <row r="844">
      <c r="J844" s="1"/>
    </row>
    <row r="845">
      <c r="J845" s="1"/>
    </row>
    <row r="846">
      <c r="J846" s="1"/>
    </row>
    <row r="847">
      <c r="J847" s="1"/>
    </row>
    <row r="848">
      <c r="J848" s="1"/>
    </row>
    <row r="849">
      <c r="J849" s="1"/>
    </row>
    <row r="850">
      <c r="J850" s="1"/>
    </row>
    <row r="851">
      <c r="J851" s="1"/>
    </row>
    <row r="852">
      <c r="J852" s="1"/>
    </row>
    <row r="853">
      <c r="J853" s="1"/>
    </row>
    <row r="854">
      <c r="J854" s="1"/>
    </row>
    <row r="855">
      <c r="J855" s="1"/>
    </row>
    <row r="856">
      <c r="J856" s="1"/>
    </row>
    <row r="857">
      <c r="J857" s="1"/>
    </row>
    <row r="858">
      <c r="J858" s="1"/>
    </row>
    <row r="859">
      <c r="J859" s="1"/>
    </row>
    <row r="860">
      <c r="J860" s="1"/>
    </row>
    <row r="861">
      <c r="J861" s="1"/>
    </row>
    <row r="862">
      <c r="J862" s="1"/>
    </row>
    <row r="863">
      <c r="J863" s="1"/>
    </row>
    <row r="864">
      <c r="J864" s="1"/>
    </row>
    <row r="865">
      <c r="J865" s="1"/>
    </row>
    <row r="866">
      <c r="J866" s="1"/>
    </row>
    <row r="867">
      <c r="J867" s="1"/>
    </row>
    <row r="868">
      <c r="J868" s="1"/>
    </row>
    <row r="869">
      <c r="J869" s="1"/>
    </row>
    <row r="870">
      <c r="J870" s="1"/>
    </row>
    <row r="871">
      <c r="J871" s="1"/>
    </row>
    <row r="872">
      <c r="J872" s="1"/>
    </row>
    <row r="873">
      <c r="J873" s="1"/>
    </row>
    <row r="874">
      <c r="J874" s="1"/>
    </row>
    <row r="875">
      <c r="J875" s="1"/>
    </row>
    <row r="876">
      <c r="J876" s="1"/>
    </row>
    <row r="877">
      <c r="J877" s="1"/>
    </row>
    <row r="878">
      <c r="J878" s="1"/>
    </row>
    <row r="879">
      <c r="J879" s="1"/>
    </row>
    <row r="880">
      <c r="J880" s="1"/>
    </row>
    <row r="881">
      <c r="J881" s="1"/>
    </row>
    <row r="882">
      <c r="J882" s="1"/>
    </row>
    <row r="883">
      <c r="J883" s="1"/>
    </row>
    <row r="884">
      <c r="J884" s="1"/>
    </row>
    <row r="885">
      <c r="J885" s="1"/>
    </row>
    <row r="886">
      <c r="J886" s="1"/>
    </row>
    <row r="887">
      <c r="J887" s="1"/>
    </row>
    <row r="888">
      <c r="J888" s="1"/>
    </row>
    <row r="889">
      <c r="J889" s="1"/>
    </row>
    <row r="890">
      <c r="J890" s="1"/>
    </row>
    <row r="891">
      <c r="J891" s="1"/>
    </row>
    <row r="892">
      <c r="J892" s="1"/>
    </row>
    <row r="893">
      <c r="J893" s="1"/>
    </row>
    <row r="894">
      <c r="J894" s="1"/>
    </row>
    <row r="895">
      <c r="J895" s="1"/>
    </row>
    <row r="896">
      <c r="J896" s="1"/>
    </row>
    <row r="897">
      <c r="J897" s="1"/>
    </row>
    <row r="898">
      <c r="J898" s="1"/>
    </row>
    <row r="899">
      <c r="J899" s="1"/>
    </row>
    <row r="900">
      <c r="J900" s="1"/>
    </row>
    <row r="901">
      <c r="J901" s="1"/>
    </row>
    <row r="902">
      <c r="J902" s="1"/>
    </row>
    <row r="903">
      <c r="J903" s="1"/>
    </row>
    <row r="904">
      <c r="J904" s="1"/>
    </row>
    <row r="905">
      <c r="J905" s="1"/>
    </row>
    <row r="906">
      <c r="J906" s="1"/>
    </row>
    <row r="907">
      <c r="J907" s="1"/>
    </row>
    <row r="908">
      <c r="J908" s="1"/>
    </row>
    <row r="909">
      <c r="J909" s="1"/>
    </row>
    <row r="910">
      <c r="J910" s="1"/>
    </row>
    <row r="911">
      <c r="J911" s="1"/>
    </row>
    <row r="912">
      <c r="J912" s="1"/>
    </row>
    <row r="913">
      <c r="J913" s="1"/>
    </row>
    <row r="914">
      <c r="J914" s="1"/>
    </row>
    <row r="915">
      <c r="J915" s="1"/>
    </row>
    <row r="916">
      <c r="J916" s="1"/>
    </row>
    <row r="917">
      <c r="J917" s="1"/>
    </row>
    <row r="918">
      <c r="J918" s="1"/>
    </row>
    <row r="919">
      <c r="J919" s="1"/>
    </row>
    <row r="920">
      <c r="J920" s="1"/>
    </row>
    <row r="921">
      <c r="J921" s="1"/>
    </row>
    <row r="922">
      <c r="J922" s="1"/>
    </row>
    <row r="923">
      <c r="J923" s="1"/>
    </row>
    <row r="924">
      <c r="J924" s="1"/>
    </row>
    <row r="925">
      <c r="J925" s="1"/>
    </row>
    <row r="926">
      <c r="J926" s="1"/>
    </row>
    <row r="927">
      <c r="J927" s="1"/>
    </row>
    <row r="928">
      <c r="J928" s="1"/>
    </row>
    <row r="929">
      <c r="J929" s="1"/>
    </row>
    <row r="930">
      <c r="J930" s="1"/>
    </row>
    <row r="931">
      <c r="J931" s="1"/>
    </row>
    <row r="932">
      <c r="J932" s="1"/>
    </row>
    <row r="933">
      <c r="J933" s="1"/>
    </row>
    <row r="934">
      <c r="J934" s="1"/>
    </row>
    <row r="935">
      <c r="J935" s="1"/>
    </row>
    <row r="936">
      <c r="J936" s="1"/>
    </row>
    <row r="937">
      <c r="J937" s="1"/>
    </row>
    <row r="938">
      <c r="J938" s="1"/>
    </row>
    <row r="939">
      <c r="J939" s="1"/>
    </row>
    <row r="940">
      <c r="J940" s="1"/>
    </row>
    <row r="941">
      <c r="J941" s="1"/>
    </row>
    <row r="942">
      <c r="J942" s="1"/>
    </row>
    <row r="943">
      <c r="J943" s="1"/>
    </row>
    <row r="944">
      <c r="J944" s="1"/>
    </row>
    <row r="945">
      <c r="J945" s="1"/>
    </row>
    <row r="946">
      <c r="J946" s="1"/>
    </row>
    <row r="947">
      <c r="J947" s="1"/>
    </row>
    <row r="948">
      <c r="J948" s="1"/>
    </row>
    <row r="949">
      <c r="J949" s="1"/>
    </row>
    <row r="950">
      <c r="J950" s="1"/>
    </row>
    <row r="951">
      <c r="J951" s="1"/>
    </row>
    <row r="952">
      <c r="J952" s="1"/>
    </row>
    <row r="953">
      <c r="J953" s="1"/>
    </row>
    <row r="954">
      <c r="J954" s="1"/>
    </row>
    <row r="955">
      <c r="J955" s="1"/>
    </row>
    <row r="956">
      <c r="J956" s="1"/>
    </row>
    <row r="957">
      <c r="J957" s="1"/>
    </row>
    <row r="958">
      <c r="J958" s="1"/>
    </row>
    <row r="959">
      <c r="J959" s="1"/>
    </row>
    <row r="960">
      <c r="J960" s="1"/>
    </row>
    <row r="961">
      <c r="J961" s="1"/>
    </row>
    <row r="962">
      <c r="J962" s="1"/>
    </row>
    <row r="963">
      <c r="J963" s="1"/>
    </row>
    <row r="964">
      <c r="J964" s="1"/>
    </row>
    <row r="965">
      <c r="J965" s="1"/>
    </row>
    <row r="966">
      <c r="J966" s="1"/>
    </row>
    <row r="967">
      <c r="J967" s="1"/>
    </row>
    <row r="968">
      <c r="J968" s="1"/>
    </row>
    <row r="969">
      <c r="J969" s="1"/>
    </row>
    <row r="970">
      <c r="J970" s="1"/>
    </row>
    <row r="971">
      <c r="J971" s="1"/>
    </row>
    <row r="972">
      <c r="J972" s="1"/>
    </row>
    <row r="973">
      <c r="J973" s="1"/>
    </row>
    <row r="974">
      <c r="J974" s="1"/>
    </row>
    <row r="975">
      <c r="J975" s="1"/>
    </row>
    <row r="976">
      <c r="J976" s="1"/>
    </row>
    <row r="977">
      <c r="J977" s="1"/>
    </row>
    <row r="978">
      <c r="J978" s="1"/>
    </row>
    <row r="979">
      <c r="J979" s="1"/>
    </row>
    <row r="980">
      <c r="J980" s="1"/>
    </row>
    <row r="981">
      <c r="J981" s="1"/>
    </row>
    <row r="982">
      <c r="J982" s="1"/>
    </row>
    <row r="983">
      <c r="J983" s="1"/>
    </row>
    <row r="984">
      <c r="J984" s="1"/>
    </row>
    <row r="985">
      <c r="J985" s="1"/>
    </row>
    <row r="986">
      <c r="J986" s="1"/>
    </row>
    <row r="987">
      <c r="J987" s="1"/>
    </row>
    <row r="988">
      <c r="J988" s="1"/>
    </row>
    <row r="989">
      <c r="J989" s="1"/>
    </row>
    <row r="990">
      <c r="J990" s="1"/>
    </row>
    <row r="991">
      <c r="J991" s="1"/>
    </row>
    <row r="992">
      <c r="J992" s="1"/>
    </row>
    <row r="993">
      <c r="J993" s="1"/>
    </row>
    <row r="994">
      <c r="J994" s="1"/>
    </row>
    <row r="995">
      <c r="J995" s="1"/>
    </row>
    <row r="996">
      <c r="J996" s="1"/>
    </row>
    <row r="997">
      <c r="J997" s="1"/>
    </row>
    <row r="998">
      <c r="J998" s="1"/>
    </row>
    <row r="999">
      <c r="J999" s="1"/>
    </row>
    <row r="1000">
      <c r="J1000" s="1"/>
    </row>
    <row r="1001">
      <c r="J1001" s="1"/>
    </row>
    <row r="1002">
      <c r="J1002" s="1"/>
    </row>
  </sheetData>
  <mergeCells count="17">
    <mergeCell ref="G6:G7"/>
    <mergeCell ref="H6:H7"/>
    <mergeCell ref="C61:I61"/>
    <mergeCell ref="C62:I62"/>
    <mergeCell ref="C65:H65"/>
    <mergeCell ref="C82:H82"/>
    <mergeCell ref="C103:H103"/>
    <mergeCell ref="C107:F107"/>
    <mergeCell ref="I6:I7"/>
    <mergeCell ref="J6:J7"/>
    <mergeCell ref="C2:J2"/>
    <mergeCell ref="C3:J3"/>
    <mergeCell ref="C4:J4"/>
    <mergeCell ref="C6:C7"/>
    <mergeCell ref="D6:D7"/>
    <mergeCell ref="E6:E7"/>
    <mergeCell ref="F6:F7"/>
  </mergeCells>
  <conditionalFormatting sqref="J12">
    <cfRule type="expression" dxfId="0" priority="1">
      <formula>IF(#REF!="Ya",TRUE,FALSE)</formula>
    </cfRule>
  </conditionalFormatting>
  <conditionalFormatting sqref="J65">
    <cfRule type="expression" dxfId="0" priority="2">
      <formula>IF(#REF!="Ya",TRUE,FALSE)</formula>
    </cfRule>
  </conditionalFormatting>
  <conditionalFormatting sqref="J82">
    <cfRule type="expression" dxfId="0" priority="3">
      <formula>IF(#REF!="Ya",TRUE,FALSE)</formula>
    </cfRule>
  </conditionalFormatting>
  <conditionalFormatting sqref="J103">
    <cfRule type="expression" dxfId="0" priority="4">
      <formula>IF(#REF!="Ya",TRUE,FALSE)</formula>
    </cfRule>
  </conditionalFormatting>
  <printOptions horizontalCentered="1"/>
  <pageMargins bottom="0.629166666666667" footer="0.0" header="0.0" left="0.393055555555556" right="0.393055555555556" top="0.629166666666667"/>
  <pageSetup fitToHeight="0" paperSize="9" orientation="portrait"/>
  <headerFooter>
    <oddHeader>&amp;RLampiran 6</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1.22" defaultRowHeight="15.0"/>
  <cols>
    <col customWidth="1" min="1" max="1" width="7.11"/>
    <col customWidth="1" min="3" max="3" width="6.22"/>
    <col customWidth="1" min="4" max="4" width="70.56"/>
    <col customWidth="1" min="5" max="6" width="6.44"/>
    <col customWidth="1" min="7" max="7" width="6.56"/>
    <col customWidth="1" min="8" max="8" width="10.44"/>
    <col customWidth="1" min="9" max="9" width="13.44"/>
    <col customWidth="1" min="10" max="10" width="9.67"/>
    <col customWidth="1" min="11" max="11" width="29.0"/>
    <col customWidth="1" min="12" max="12" width="19.67"/>
    <col customWidth="1" min="13" max="13" width="11.44"/>
    <col customWidth="1" min="14" max="14" width="12.67"/>
    <col customWidth="1" min="15" max="15" width="19.33"/>
    <col customWidth="1" min="16" max="16" width="27.11"/>
    <col customWidth="1" min="17" max="26" width="9.0"/>
  </cols>
  <sheetData>
    <row r="1" ht="75.0" customHeight="1">
      <c r="A1" s="125" t="s">
        <v>102</v>
      </c>
      <c r="B1" s="62"/>
      <c r="C1" s="62"/>
      <c r="D1" s="62"/>
      <c r="E1" s="62"/>
      <c r="F1" s="62"/>
      <c r="G1" s="62"/>
      <c r="H1" s="62"/>
      <c r="I1" s="62"/>
      <c r="J1" s="62"/>
      <c r="K1" s="62"/>
      <c r="L1" s="62"/>
      <c r="M1" s="62"/>
      <c r="N1" s="62"/>
      <c r="O1" s="63"/>
    </row>
    <row r="2" ht="63.75" customHeight="1">
      <c r="A2" s="126" t="s">
        <v>103</v>
      </c>
      <c r="B2" s="127"/>
      <c r="C2" s="127"/>
      <c r="D2" s="127"/>
      <c r="E2" s="127"/>
      <c r="F2" s="127"/>
      <c r="G2" s="127"/>
      <c r="H2" s="127"/>
      <c r="I2" s="127"/>
      <c r="J2" s="127"/>
      <c r="K2" s="128"/>
      <c r="L2" s="129" t="s">
        <v>104</v>
      </c>
      <c r="M2" s="130" t="s">
        <v>105</v>
      </c>
      <c r="N2" s="127"/>
      <c r="O2" s="128"/>
    </row>
    <row r="3" ht="15.0" customHeight="1">
      <c r="A3" s="131" t="s">
        <v>106</v>
      </c>
      <c r="B3" s="132" t="s">
        <v>107</v>
      </c>
      <c r="C3" s="132" t="s">
        <v>108</v>
      </c>
      <c r="D3" s="132" t="s">
        <v>109</v>
      </c>
      <c r="E3" s="133" t="s">
        <v>110</v>
      </c>
      <c r="F3" s="134"/>
      <c r="G3" s="135"/>
      <c r="H3" s="132" t="s">
        <v>111</v>
      </c>
      <c r="I3" s="132" t="s">
        <v>112</v>
      </c>
      <c r="J3" s="132" t="s">
        <v>113</v>
      </c>
      <c r="K3" s="132" t="s">
        <v>114</v>
      </c>
      <c r="L3" s="132" t="s">
        <v>115</v>
      </c>
      <c r="M3" s="132" t="s">
        <v>116</v>
      </c>
      <c r="N3" s="132" t="s">
        <v>117</v>
      </c>
      <c r="O3" s="136" t="s">
        <v>118</v>
      </c>
    </row>
    <row r="4">
      <c r="A4" s="137"/>
      <c r="B4" s="138"/>
      <c r="C4" s="138"/>
      <c r="D4" s="138"/>
      <c r="E4" s="138" t="s">
        <v>119</v>
      </c>
      <c r="F4" s="138" t="s">
        <v>120</v>
      </c>
      <c r="G4" s="138" t="s">
        <v>58</v>
      </c>
      <c r="H4" s="138"/>
      <c r="I4" s="138"/>
      <c r="J4" s="138"/>
      <c r="K4" s="138"/>
      <c r="L4" s="138"/>
      <c r="M4" s="138"/>
      <c r="N4" s="138"/>
      <c r="O4" s="139"/>
    </row>
    <row r="5">
      <c r="A5" s="137"/>
      <c r="B5" s="138"/>
      <c r="C5" s="138"/>
      <c r="D5" s="138"/>
      <c r="E5" s="140"/>
      <c r="F5" s="140"/>
      <c r="G5" s="141"/>
      <c r="H5" s="138"/>
      <c r="I5" s="138"/>
      <c r="J5" s="138"/>
      <c r="K5" s="138"/>
      <c r="L5" s="138"/>
      <c r="M5" s="138"/>
      <c r="N5" s="138"/>
      <c r="O5" s="139"/>
    </row>
    <row r="6" ht="15.0" customHeight="1">
      <c r="A6" s="142" t="s">
        <v>121</v>
      </c>
      <c r="B6" s="143" t="s">
        <v>122</v>
      </c>
      <c r="C6" s="62"/>
      <c r="D6" s="63"/>
      <c r="E6" s="144"/>
      <c r="F6" s="144"/>
      <c r="G6" s="145"/>
      <c r="H6" s="146">
        <f t="shared" ref="H6:K6" si="1">AVERAGE(H7:H14)</f>
        <v>3</v>
      </c>
      <c r="I6" s="146">
        <f t="shared" si="1"/>
        <v>5</v>
      </c>
      <c r="J6" s="146">
        <f t="shared" si="1"/>
        <v>5</v>
      </c>
      <c r="K6" s="146">
        <f t="shared" si="1"/>
        <v>3.375</v>
      </c>
      <c r="L6" s="147">
        <f>'Uraian NIlai Setiap Unsur'!I5</f>
        <v>4.09375</v>
      </c>
      <c r="M6" s="148" t="str">
        <f>KK4_PENALTI!C5</f>
        <v>TIDAK</v>
      </c>
      <c r="N6" s="148">
        <f>IF(M6="YA",KK4_PENALTI!D5,L6)</f>
        <v>4.09375</v>
      </c>
      <c r="O6" s="149"/>
    </row>
    <row r="7">
      <c r="A7" s="142" t="s">
        <v>121</v>
      </c>
      <c r="B7" s="50"/>
      <c r="C7" s="82">
        <v>1.0</v>
      </c>
      <c r="D7" s="50" t="s">
        <v>123</v>
      </c>
      <c r="E7" s="82" t="s">
        <v>119</v>
      </c>
      <c r="F7" s="150" t="s">
        <v>124</v>
      </c>
      <c r="G7" s="150" t="s">
        <v>124</v>
      </c>
      <c r="H7" s="151">
        <f>KK3.1!S6</f>
        <v>3</v>
      </c>
      <c r="I7" s="151">
        <f>KK3.2!N7</f>
        <v>5</v>
      </c>
      <c r="J7" s="151">
        <f>KK3.3!N6</f>
        <v>5</v>
      </c>
      <c r="K7" s="151">
        <f>KK3.4!N6</f>
        <v>5</v>
      </c>
      <c r="L7" s="152">
        <f t="shared" ref="L7:L85" si="2">AVERAGE(H7:K7)</f>
        <v>4.5</v>
      </c>
      <c r="M7" s="153"/>
      <c r="N7" s="35">
        <f t="shared" ref="N7:N14" si="3">IF(AND($M$6="YA",L7&gt;$N$6),$N$6,L7)</f>
        <v>4.5</v>
      </c>
      <c r="O7" s="154"/>
    </row>
    <row r="8">
      <c r="A8" s="142" t="s">
        <v>121</v>
      </c>
      <c r="B8" s="50"/>
      <c r="C8" s="82">
        <v>2.0</v>
      </c>
      <c r="D8" s="50" t="s">
        <v>125</v>
      </c>
      <c r="E8" s="82" t="s">
        <v>119</v>
      </c>
      <c r="F8" s="150" t="s">
        <v>124</v>
      </c>
      <c r="G8" s="150" t="s">
        <v>58</v>
      </c>
      <c r="H8" s="155"/>
      <c r="I8" s="155"/>
      <c r="J8" s="156"/>
      <c r="K8" s="151">
        <f>KK3.4!N11</f>
        <v>3</v>
      </c>
      <c r="L8" s="152">
        <f t="shared" si="2"/>
        <v>3</v>
      </c>
      <c r="M8" s="153"/>
      <c r="N8" s="35">
        <f t="shared" si="3"/>
        <v>3</v>
      </c>
      <c r="O8" s="154"/>
    </row>
    <row r="9">
      <c r="A9" s="142" t="s">
        <v>121</v>
      </c>
      <c r="B9" s="50"/>
      <c r="C9" s="82">
        <v>3.0</v>
      </c>
      <c r="D9" s="50" t="s">
        <v>126</v>
      </c>
      <c r="E9" s="82" t="s">
        <v>119</v>
      </c>
      <c r="F9" s="150" t="s">
        <v>124</v>
      </c>
      <c r="G9" s="150" t="s">
        <v>58</v>
      </c>
      <c r="H9" s="155"/>
      <c r="I9" s="155"/>
      <c r="J9" s="156"/>
      <c r="K9" s="151">
        <f>KK3.4!N16</f>
        <v>3</v>
      </c>
      <c r="L9" s="152">
        <f t="shared" si="2"/>
        <v>3</v>
      </c>
      <c r="M9" s="153"/>
      <c r="N9" s="35">
        <f t="shared" si="3"/>
        <v>3</v>
      </c>
      <c r="O9" s="154"/>
    </row>
    <row r="10">
      <c r="A10" s="142" t="s">
        <v>121</v>
      </c>
      <c r="B10" s="50"/>
      <c r="C10" s="82">
        <v>4.0</v>
      </c>
      <c r="D10" s="50" t="s">
        <v>127</v>
      </c>
      <c r="E10" s="82" t="s">
        <v>119</v>
      </c>
      <c r="F10" s="150" t="s">
        <v>124</v>
      </c>
      <c r="G10" s="150" t="s">
        <v>58</v>
      </c>
      <c r="H10" s="155"/>
      <c r="I10" s="155"/>
      <c r="J10" s="156"/>
      <c r="K10" s="151">
        <f>KK3.4!N21</f>
        <v>3</v>
      </c>
      <c r="L10" s="152">
        <f t="shared" si="2"/>
        <v>3</v>
      </c>
      <c r="M10" s="153"/>
      <c r="N10" s="35">
        <f t="shared" si="3"/>
        <v>3</v>
      </c>
      <c r="O10" s="154"/>
    </row>
    <row r="11">
      <c r="A11" s="142" t="s">
        <v>121</v>
      </c>
      <c r="B11" s="50"/>
      <c r="C11" s="82">
        <v>5.0</v>
      </c>
      <c r="D11" s="50" t="s">
        <v>128</v>
      </c>
      <c r="E11" s="82" t="s">
        <v>119</v>
      </c>
      <c r="F11" s="150" t="s">
        <v>124</v>
      </c>
      <c r="G11" s="150" t="s">
        <v>58</v>
      </c>
      <c r="H11" s="155"/>
      <c r="I11" s="155"/>
      <c r="J11" s="156"/>
      <c r="K11" s="151">
        <f>KK3.4!N26</f>
        <v>3</v>
      </c>
      <c r="L11" s="152">
        <f t="shared" si="2"/>
        <v>3</v>
      </c>
      <c r="M11" s="153"/>
      <c r="N11" s="35">
        <f t="shared" si="3"/>
        <v>3</v>
      </c>
      <c r="O11" s="154"/>
    </row>
    <row r="12">
      <c r="A12" s="142" t="s">
        <v>121</v>
      </c>
      <c r="B12" s="50"/>
      <c r="C12" s="82">
        <v>6.0</v>
      </c>
      <c r="D12" s="50" t="s">
        <v>129</v>
      </c>
      <c r="E12" s="82" t="s">
        <v>119</v>
      </c>
      <c r="F12" s="150" t="s">
        <v>124</v>
      </c>
      <c r="G12" s="150" t="s">
        <v>58</v>
      </c>
      <c r="H12" s="155"/>
      <c r="I12" s="155"/>
      <c r="J12" s="156"/>
      <c r="K12" s="151">
        <f>KK3.4!N31</f>
        <v>3</v>
      </c>
      <c r="L12" s="152">
        <f t="shared" si="2"/>
        <v>3</v>
      </c>
      <c r="M12" s="153"/>
      <c r="N12" s="35">
        <f t="shared" si="3"/>
        <v>3</v>
      </c>
      <c r="O12" s="154"/>
    </row>
    <row r="13">
      <c r="A13" s="142" t="s">
        <v>121</v>
      </c>
      <c r="B13" s="50"/>
      <c r="C13" s="82">
        <v>7.0</v>
      </c>
      <c r="D13" s="50" t="s">
        <v>130</v>
      </c>
      <c r="E13" s="82" t="s">
        <v>119</v>
      </c>
      <c r="F13" s="150" t="s">
        <v>124</v>
      </c>
      <c r="G13" s="150" t="s">
        <v>58</v>
      </c>
      <c r="H13" s="155"/>
      <c r="I13" s="155"/>
      <c r="J13" s="156"/>
      <c r="K13" s="151">
        <f>KK3.4!N36</f>
        <v>4</v>
      </c>
      <c r="L13" s="152">
        <f t="shared" si="2"/>
        <v>4</v>
      </c>
      <c r="M13" s="153"/>
      <c r="N13" s="35">
        <f t="shared" si="3"/>
        <v>4</v>
      </c>
      <c r="O13" s="154"/>
    </row>
    <row r="14">
      <c r="A14" s="142" t="s">
        <v>121</v>
      </c>
      <c r="B14" s="50"/>
      <c r="C14" s="82">
        <v>8.0</v>
      </c>
      <c r="D14" s="50" t="s">
        <v>131</v>
      </c>
      <c r="E14" s="82" t="s">
        <v>119</v>
      </c>
      <c r="F14" s="150" t="s">
        <v>124</v>
      </c>
      <c r="G14" s="150" t="s">
        <v>58</v>
      </c>
      <c r="H14" s="155"/>
      <c r="I14" s="155"/>
      <c r="J14" s="156"/>
      <c r="K14" s="151">
        <f>KK3.4!N41</f>
        <v>3</v>
      </c>
      <c r="L14" s="152">
        <f t="shared" si="2"/>
        <v>3</v>
      </c>
      <c r="M14" s="153"/>
      <c r="N14" s="35">
        <f t="shared" si="3"/>
        <v>3</v>
      </c>
      <c r="O14" s="154"/>
    </row>
    <row r="15" ht="15.0" customHeight="1">
      <c r="A15" s="142" t="s">
        <v>132</v>
      </c>
      <c r="B15" s="143" t="s">
        <v>133</v>
      </c>
      <c r="C15" s="62"/>
      <c r="D15" s="63"/>
      <c r="E15" s="144"/>
      <c r="F15" s="144"/>
      <c r="G15" s="145"/>
      <c r="H15" s="146">
        <f t="shared" ref="H15:K15" si="4">H16</f>
        <v>4</v>
      </c>
      <c r="I15" s="146">
        <f t="shared" si="4"/>
        <v>3</v>
      </c>
      <c r="J15" s="146">
        <f t="shared" si="4"/>
        <v>3</v>
      </c>
      <c r="K15" s="146">
        <f t="shared" si="4"/>
        <v>4</v>
      </c>
      <c r="L15" s="157">
        <f t="shared" si="2"/>
        <v>3.5</v>
      </c>
      <c r="M15" s="148" t="str">
        <f>KK4_PENALTI!C6</f>
        <v>TIDAK</v>
      </c>
      <c r="N15" s="148">
        <f>IF(M15="YA",KK4_PENALTI!D6,L15)</f>
        <v>3.5</v>
      </c>
      <c r="O15" s="158"/>
    </row>
    <row r="16" ht="52.5" customHeight="1">
      <c r="A16" s="142" t="s">
        <v>132</v>
      </c>
      <c r="B16" s="50"/>
      <c r="C16" s="82">
        <v>1.0</v>
      </c>
      <c r="D16" s="50" t="s">
        <v>134</v>
      </c>
      <c r="E16" s="82" t="s">
        <v>119</v>
      </c>
      <c r="F16" s="150" t="s">
        <v>124</v>
      </c>
      <c r="G16" s="150" t="s">
        <v>124</v>
      </c>
      <c r="H16" s="151">
        <f>KK3.1!V12</f>
        <v>4</v>
      </c>
      <c r="I16" s="151">
        <f>KK3.2!N13</f>
        <v>3</v>
      </c>
      <c r="J16" s="151">
        <f>KK3.3!N12</f>
        <v>3</v>
      </c>
      <c r="K16" s="151">
        <f>KK3.4!N47</f>
        <v>4</v>
      </c>
      <c r="L16" s="152">
        <f t="shared" si="2"/>
        <v>3.5</v>
      </c>
      <c r="M16" s="159"/>
      <c r="N16" s="35">
        <f>IF($M$15="YA",$N$15,L16)</f>
        <v>3.5</v>
      </c>
      <c r="O16" s="154"/>
    </row>
    <row r="17" ht="15.0" customHeight="1">
      <c r="A17" s="142" t="s">
        <v>135</v>
      </c>
      <c r="B17" s="143" t="s">
        <v>136</v>
      </c>
      <c r="C17" s="62"/>
      <c r="D17" s="63"/>
      <c r="E17" s="144"/>
      <c r="F17" s="144"/>
      <c r="G17" s="145"/>
      <c r="H17" s="146">
        <f t="shared" ref="H17:K17" si="5">AVERAGE(H18:H24)</f>
        <v>3.25</v>
      </c>
      <c r="I17" s="146">
        <f t="shared" si="5"/>
        <v>3</v>
      </c>
      <c r="J17" s="146">
        <f t="shared" si="5"/>
        <v>2.75</v>
      </c>
      <c r="K17" s="146">
        <f t="shared" si="5"/>
        <v>3</v>
      </c>
      <c r="L17" s="157">
        <f t="shared" si="2"/>
        <v>3</v>
      </c>
      <c r="M17" s="148" t="str">
        <f>KK4_PENALTI!C7</f>
        <v>TIDAK</v>
      </c>
      <c r="N17" s="148">
        <f>IF(M17="YA",KK4_PENALTI!D7,L17)</f>
        <v>3</v>
      </c>
      <c r="O17" s="149"/>
      <c r="P17" s="8"/>
    </row>
    <row r="18">
      <c r="A18" s="142" t="s">
        <v>135</v>
      </c>
      <c r="B18" s="94"/>
      <c r="C18" s="82">
        <v>1.0</v>
      </c>
      <c r="D18" s="50" t="s">
        <v>137</v>
      </c>
      <c r="E18" s="82" t="s">
        <v>119</v>
      </c>
      <c r="F18" s="150" t="s">
        <v>124</v>
      </c>
      <c r="G18" s="150" t="s">
        <v>124</v>
      </c>
      <c r="H18" s="151">
        <f>KK3.1!S18</f>
        <v>4</v>
      </c>
      <c r="I18" s="151">
        <f>KK3.2!N19</f>
        <v>4</v>
      </c>
      <c r="J18" s="151">
        <f>KK3.3!N18</f>
        <v>3</v>
      </c>
      <c r="K18" s="151">
        <f>KK3.4!N53</f>
        <v>3</v>
      </c>
      <c r="L18" s="152">
        <f t="shared" si="2"/>
        <v>3.5</v>
      </c>
      <c r="M18" s="159"/>
      <c r="N18" s="35">
        <f t="shared" ref="N18:N24" si="6">IF($M$17="YA",$N$17,L18)</f>
        <v>3.5</v>
      </c>
      <c r="O18" s="154"/>
      <c r="P18" s="8"/>
    </row>
    <row r="19">
      <c r="A19" s="142" t="s">
        <v>135</v>
      </c>
      <c r="B19" s="94"/>
      <c r="C19" s="82">
        <v>2.0</v>
      </c>
      <c r="D19" s="50" t="s">
        <v>138</v>
      </c>
      <c r="E19" s="82" t="s">
        <v>119</v>
      </c>
      <c r="F19" s="82" t="s">
        <v>120</v>
      </c>
      <c r="G19" s="160" t="s">
        <v>124</v>
      </c>
      <c r="H19" s="151">
        <f>KK3.1!S23</f>
        <v>3</v>
      </c>
      <c r="I19" s="151">
        <f>KK3.2!N24</f>
        <v>3</v>
      </c>
      <c r="J19" s="151">
        <f>KK3.3!N23</f>
        <v>3</v>
      </c>
      <c r="K19" s="151">
        <f>KK3.4!N58</f>
        <v>3</v>
      </c>
      <c r="L19" s="152">
        <f t="shared" si="2"/>
        <v>3</v>
      </c>
      <c r="M19" s="159"/>
      <c r="N19" s="35">
        <f t="shared" si="6"/>
        <v>3</v>
      </c>
      <c r="O19" s="154"/>
      <c r="P19" s="8" t="s">
        <v>139</v>
      </c>
    </row>
    <row r="20">
      <c r="A20" s="142" t="s">
        <v>135</v>
      </c>
      <c r="B20" s="94"/>
      <c r="C20" s="82">
        <v>3.0</v>
      </c>
      <c r="D20" s="50" t="s">
        <v>140</v>
      </c>
      <c r="E20" s="82" t="s">
        <v>119</v>
      </c>
      <c r="F20" s="82" t="s">
        <v>120</v>
      </c>
      <c r="G20" s="160" t="s">
        <v>124</v>
      </c>
      <c r="H20" s="151">
        <f>KK3.1!S28</f>
        <v>3</v>
      </c>
      <c r="I20" s="151">
        <f>KK3.2!N29</f>
        <v>2</v>
      </c>
      <c r="J20" s="151">
        <f>KK3.3!N28</f>
        <v>2</v>
      </c>
      <c r="K20" s="151">
        <f>KK3.4!N63</f>
        <v>3</v>
      </c>
      <c r="L20" s="152">
        <f t="shared" si="2"/>
        <v>2.5</v>
      </c>
      <c r="M20" s="159"/>
      <c r="N20" s="35">
        <f t="shared" si="6"/>
        <v>2.5</v>
      </c>
      <c r="O20" s="154"/>
      <c r="P20" s="8" t="s">
        <v>139</v>
      </c>
    </row>
    <row r="21" ht="15.75" customHeight="1">
      <c r="A21" s="142" t="s">
        <v>135</v>
      </c>
      <c r="B21" s="161"/>
      <c r="C21" s="162">
        <v>4.0</v>
      </c>
      <c r="D21" s="163" t="s">
        <v>141</v>
      </c>
      <c r="E21" s="82" t="s">
        <v>119</v>
      </c>
      <c r="F21" s="82" t="s">
        <v>120</v>
      </c>
      <c r="G21" s="160" t="s">
        <v>124</v>
      </c>
      <c r="H21" s="151">
        <f>KK3.1!S33</f>
        <v>3</v>
      </c>
      <c r="I21" s="151">
        <f>KK3.2!N34</f>
        <v>3</v>
      </c>
      <c r="J21" s="151">
        <f>KK3.3!N33</f>
        <v>3</v>
      </c>
      <c r="K21" s="151">
        <f>KK3.4!N68</f>
        <v>3</v>
      </c>
      <c r="L21" s="152">
        <f t="shared" si="2"/>
        <v>3</v>
      </c>
      <c r="M21" s="164"/>
      <c r="N21" s="35">
        <f t="shared" si="6"/>
        <v>3</v>
      </c>
      <c r="O21" s="154"/>
      <c r="P21" s="165" t="s">
        <v>139</v>
      </c>
    </row>
    <row r="22" ht="15.75" customHeight="1">
      <c r="A22" s="142"/>
      <c r="B22" s="161"/>
      <c r="C22" s="82">
        <v>5.0</v>
      </c>
      <c r="D22" s="50" t="s">
        <v>142</v>
      </c>
      <c r="E22" s="82" t="s">
        <v>119</v>
      </c>
      <c r="F22" s="82" t="s">
        <v>124</v>
      </c>
      <c r="G22" s="160" t="s">
        <v>58</v>
      </c>
      <c r="H22" s="155"/>
      <c r="I22" s="155"/>
      <c r="J22" s="156"/>
      <c r="K22" s="151">
        <f>KK3.4!N73</f>
        <v>3</v>
      </c>
      <c r="L22" s="152">
        <f t="shared" si="2"/>
        <v>3</v>
      </c>
      <c r="M22" s="164"/>
      <c r="N22" s="35">
        <f t="shared" si="6"/>
        <v>3</v>
      </c>
      <c r="O22" s="154"/>
      <c r="P22" s="165"/>
    </row>
    <row r="23" ht="15.75" customHeight="1">
      <c r="A23" s="142"/>
      <c r="B23" s="161"/>
      <c r="C23" s="82">
        <v>6.0</v>
      </c>
      <c r="D23" s="50" t="s">
        <v>143</v>
      </c>
      <c r="E23" s="82" t="s">
        <v>119</v>
      </c>
      <c r="F23" s="82" t="s">
        <v>124</v>
      </c>
      <c r="G23" s="160" t="s">
        <v>58</v>
      </c>
      <c r="H23" s="155"/>
      <c r="I23" s="155"/>
      <c r="J23" s="156"/>
      <c r="K23" s="151">
        <f>KK3.4!N78</f>
        <v>3</v>
      </c>
      <c r="L23" s="152">
        <f t="shared" si="2"/>
        <v>3</v>
      </c>
      <c r="M23" s="164"/>
      <c r="N23" s="35">
        <f t="shared" si="6"/>
        <v>3</v>
      </c>
      <c r="O23" s="154"/>
      <c r="P23" s="165"/>
    </row>
    <row r="24" ht="15.75" customHeight="1">
      <c r="A24" s="142"/>
      <c r="B24" s="161"/>
      <c r="C24" s="82">
        <v>7.0</v>
      </c>
      <c r="D24" s="50" t="s">
        <v>144</v>
      </c>
      <c r="E24" s="82" t="s">
        <v>119</v>
      </c>
      <c r="F24" s="82" t="s">
        <v>124</v>
      </c>
      <c r="G24" s="160" t="s">
        <v>58</v>
      </c>
      <c r="H24" s="155"/>
      <c r="I24" s="155"/>
      <c r="J24" s="156"/>
      <c r="K24" s="151">
        <f>KK3.4!N83</f>
        <v>3</v>
      </c>
      <c r="L24" s="152">
        <f t="shared" si="2"/>
        <v>3</v>
      </c>
      <c r="M24" s="164"/>
      <c r="N24" s="35">
        <f t="shared" si="6"/>
        <v>3</v>
      </c>
      <c r="O24" s="154"/>
      <c r="P24" s="165"/>
    </row>
    <row r="25" ht="15.0" customHeight="1">
      <c r="A25" s="142" t="s">
        <v>145</v>
      </c>
      <c r="B25" s="143" t="s">
        <v>146</v>
      </c>
      <c r="C25" s="62"/>
      <c r="D25" s="63"/>
      <c r="E25" s="144"/>
      <c r="F25" s="144"/>
      <c r="G25" s="145"/>
      <c r="H25" s="146">
        <f t="shared" ref="H25:K25" si="7">H26</f>
        <v>4</v>
      </c>
      <c r="I25" s="146">
        <f t="shared" si="7"/>
        <v>4</v>
      </c>
      <c r="J25" s="146">
        <f t="shared" si="7"/>
        <v>4</v>
      </c>
      <c r="K25" s="146">
        <f t="shared" si="7"/>
        <v>3</v>
      </c>
      <c r="L25" s="157">
        <f t="shared" si="2"/>
        <v>3.75</v>
      </c>
      <c r="M25" s="148" t="str">
        <f>KK4_PENALTI!C8</f>
        <v>TIDAK</v>
      </c>
      <c r="N25" s="148">
        <f>IF(M25="YA",KK4_PENALTI!D8,L25)</f>
        <v>3.75</v>
      </c>
      <c r="O25" s="158"/>
      <c r="P25" s="165"/>
    </row>
    <row r="26" ht="15.75" customHeight="1">
      <c r="A26" s="142" t="s">
        <v>145</v>
      </c>
      <c r="B26" s="94"/>
      <c r="C26" s="82">
        <v>1.0</v>
      </c>
      <c r="D26" s="50" t="s">
        <v>147</v>
      </c>
      <c r="E26" s="82" t="s">
        <v>119</v>
      </c>
      <c r="F26" s="150" t="s">
        <v>124</v>
      </c>
      <c r="G26" s="150" t="s">
        <v>124</v>
      </c>
      <c r="H26" s="151">
        <f>KK3.1!S39</f>
        <v>4</v>
      </c>
      <c r="I26" s="151">
        <f>KK3.2!N40</f>
        <v>4</v>
      </c>
      <c r="J26" s="151">
        <f>KK3.3!N39</f>
        <v>4</v>
      </c>
      <c r="K26" s="151">
        <f>KK3.4!N89</f>
        <v>3</v>
      </c>
      <c r="L26" s="152">
        <f t="shared" si="2"/>
        <v>3.75</v>
      </c>
      <c r="M26" s="159"/>
      <c r="N26" s="35">
        <f>IF($M$25="YA",$N$25,L26)</f>
        <v>3.75</v>
      </c>
      <c r="O26" s="154"/>
      <c r="P26" s="8"/>
    </row>
    <row r="27" ht="15.0" customHeight="1">
      <c r="A27" s="142" t="s">
        <v>148</v>
      </c>
      <c r="B27" s="143" t="s">
        <v>149</v>
      </c>
      <c r="C27" s="62"/>
      <c r="D27" s="63"/>
      <c r="E27" s="144"/>
      <c r="F27" s="144"/>
      <c r="G27" s="145"/>
      <c r="H27" s="146">
        <f t="shared" ref="H27:K27" si="8">H28</f>
        <v>5</v>
      </c>
      <c r="I27" s="146">
        <f t="shared" si="8"/>
        <v>5</v>
      </c>
      <c r="J27" s="146">
        <f t="shared" si="8"/>
        <v>5</v>
      </c>
      <c r="K27" s="146">
        <f t="shared" si="8"/>
        <v>4</v>
      </c>
      <c r="L27" s="157">
        <f t="shared" si="2"/>
        <v>4.75</v>
      </c>
      <c r="M27" s="148" t="str">
        <f>KK4_PENALTI!C9</f>
        <v>TIDAK</v>
      </c>
      <c r="N27" s="148">
        <f>IF(M27="YA",KK4_PENALTI!D9,L27)</f>
        <v>4.75</v>
      </c>
      <c r="O27" s="149"/>
      <c r="P27" s="8"/>
    </row>
    <row r="28" ht="15.75" customHeight="1">
      <c r="A28" s="142" t="s">
        <v>148</v>
      </c>
      <c r="B28" s="50"/>
      <c r="C28" s="82">
        <v>1.0</v>
      </c>
      <c r="D28" s="50" t="s">
        <v>150</v>
      </c>
      <c r="E28" s="82" t="s">
        <v>119</v>
      </c>
      <c r="F28" s="150" t="s">
        <v>124</v>
      </c>
      <c r="G28" s="150" t="s">
        <v>124</v>
      </c>
      <c r="H28" s="151">
        <f>KK3.1!S45</f>
        <v>5</v>
      </c>
      <c r="I28" s="151">
        <f>KK3.2!N46</f>
        <v>5</v>
      </c>
      <c r="J28" s="151">
        <f>KK3.3!N45</f>
        <v>5</v>
      </c>
      <c r="K28" s="151">
        <f>KK3.4!N95</f>
        <v>4</v>
      </c>
      <c r="L28" s="152">
        <f t="shared" si="2"/>
        <v>4.75</v>
      </c>
      <c r="M28" s="159"/>
      <c r="N28" s="35">
        <f>IF($M$27="YA",$N$27,L28)</f>
        <v>4.75</v>
      </c>
      <c r="O28" s="154"/>
      <c r="P28" s="8"/>
    </row>
    <row r="29" ht="15.0" customHeight="1">
      <c r="A29" s="142" t="s">
        <v>151</v>
      </c>
      <c r="B29" s="143" t="s">
        <v>152</v>
      </c>
      <c r="C29" s="62"/>
      <c r="D29" s="63"/>
      <c r="E29" s="144"/>
      <c r="F29" s="144"/>
      <c r="G29" s="145"/>
      <c r="H29" s="146">
        <f t="shared" ref="H29:K29" si="9">AVERAGE(H30:H32)</f>
        <v>3</v>
      </c>
      <c r="I29" s="146">
        <f t="shared" si="9"/>
        <v>2</v>
      </c>
      <c r="J29" s="146">
        <f t="shared" si="9"/>
        <v>3</v>
      </c>
      <c r="K29" s="146">
        <f t="shared" si="9"/>
        <v>3</v>
      </c>
      <c r="L29" s="157">
        <f t="shared" si="2"/>
        <v>2.75</v>
      </c>
      <c r="M29" s="148" t="str">
        <f>KK4_PENALTI!C10</f>
        <v>TIDAK</v>
      </c>
      <c r="N29" s="148">
        <f>IF(M29="YA",KK4_PENALTI!D10,L29)</f>
        <v>2.75</v>
      </c>
      <c r="O29" s="158"/>
      <c r="P29" s="8"/>
    </row>
    <row r="30" ht="15.75" customHeight="1">
      <c r="A30" s="142" t="s">
        <v>151</v>
      </c>
      <c r="B30" s="50"/>
      <c r="C30" s="82">
        <v>1.0</v>
      </c>
      <c r="D30" s="50" t="s">
        <v>153</v>
      </c>
      <c r="E30" s="82" t="s">
        <v>119</v>
      </c>
      <c r="F30" s="150" t="s">
        <v>124</v>
      </c>
      <c r="G30" s="150" t="s">
        <v>124</v>
      </c>
      <c r="H30" s="151">
        <f>KK3.1!S51</f>
        <v>3</v>
      </c>
      <c r="I30" s="151">
        <f>KK3.2!N52</f>
        <v>2</v>
      </c>
      <c r="J30" s="151">
        <f>KK3.3!N51</f>
        <v>5</v>
      </c>
      <c r="K30" s="151">
        <f>KK3.4!N101</f>
        <v>3</v>
      </c>
      <c r="L30" s="152">
        <f t="shared" si="2"/>
        <v>3.25</v>
      </c>
      <c r="M30" s="159"/>
      <c r="N30" s="35">
        <f t="shared" ref="N30:N32" si="10">IF($M$29="YA",$N$29,L30)</f>
        <v>3.25</v>
      </c>
      <c r="O30" s="154"/>
      <c r="P30" s="8"/>
    </row>
    <row r="31" ht="15.75" customHeight="1">
      <c r="A31" s="142" t="s">
        <v>151</v>
      </c>
      <c r="B31" s="50"/>
      <c r="C31" s="82">
        <v>2.0</v>
      </c>
      <c r="D31" s="50" t="s">
        <v>154</v>
      </c>
      <c r="E31" s="82" t="s">
        <v>119</v>
      </c>
      <c r="F31" s="82" t="s">
        <v>120</v>
      </c>
      <c r="G31" s="160" t="s">
        <v>124</v>
      </c>
      <c r="H31" s="151">
        <f>KK3.1!S56</f>
        <v>3</v>
      </c>
      <c r="I31" s="151">
        <f>KK3.2!N57</f>
        <v>2</v>
      </c>
      <c r="J31" s="151">
        <f>KK3.3!N56</f>
        <v>2</v>
      </c>
      <c r="K31" s="151">
        <f>KK3.4!N106</f>
        <v>3</v>
      </c>
      <c r="L31" s="152">
        <f t="shared" si="2"/>
        <v>2.5</v>
      </c>
      <c r="M31" s="159"/>
      <c r="N31" s="35">
        <f t="shared" si="10"/>
        <v>2.5</v>
      </c>
      <c r="O31" s="154"/>
      <c r="P31" s="8" t="s">
        <v>155</v>
      </c>
    </row>
    <row r="32" ht="15.75" customHeight="1">
      <c r="A32" s="142" t="s">
        <v>151</v>
      </c>
      <c r="B32" s="50"/>
      <c r="C32" s="82">
        <v>3.0</v>
      </c>
      <c r="D32" s="50" t="s">
        <v>156</v>
      </c>
      <c r="E32" s="82" t="s">
        <v>119</v>
      </c>
      <c r="F32" s="82" t="s">
        <v>120</v>
      </c>
      <c r="G32" s="160" t="s">
        <v>124</v>
      </c>
      <c r="H32" s="151">
        <f>KK3.1!S61</f>
        <v>3</v>
      </c>
      <c r="I32" s="151">
        <f>KK3.2!N62</f>
        <v>2</v>
      </c>
      <c r="J32" s="151">
        <f>KK3.3!N61</f>
        <v>2</v>
      </c>
      <c r="K32" s="151">
        <f>KK3.4!N111</f>
        <v>3</v>
      </c>
      <c r="L32" s="152">
        <f t="shared" si="2"/>
        <v>2.5</v>
      </c>
      <c r="M32" s="159"/>
      <c r="N32" s="35">
        <f t="shared" si="10"/>
        <v>2.5</v>
      </c>
      <c r="O32" s="154"/>
      <c r="P32" s="8" t="s">
        <v>155</v>
      </c>
    </row>
    <row r="33" ht="15.0" customHeight="1">
      <c r="A33" s="142" t="s">
        <v>157</v>
      </c>
      <c r="B33" s="143" t="s">
        <v>158</v>
      </c>
      <c r="C33" s="62"/>
      <c r="D33" s="63"/>
      <c r="E33" s="144"/>
      <c r="F33" s="144"/>
      <c r="G33" s="145"/>
      <c r="H33" s="146">
        <f t="shared" ref="H33:K33" si="11">H34</f>
        <v>3</v>
      </c>
      <c r="I33" s="146">
        <f t="shared" si="11"/>
        <v>3</v>
      </c>
      <c r="J33" s="146">
        <f t="shared" si="11"/>
        <v>3</v>
      </c>
      <c r="K33" s="146">
        <f t="shared" si="11"/>
        <v>3</v>
      </c>
      <c r="L33" s="157">
        <f t="shared" si="2"/>
        <v>3</v>
      </c>
      <c r="M33" s="148" t="str">
        <f>KK4_PENALTI!C11</f>
        <v>TIDAK</v>
      </c>
      <c r="N33" s="148">
        <f>IF(M33="YA",KK4_PENALTI!D11,L33)</f>
        <v>3</v>
      </c>
      <c r="O33" s="158"/>
      <c r="P33" s="8"/>
    </row>
    <row r="34" ht="15.75" customHeight="1">
      <c r="A34" s="142" t="s">
        <v>157</v>
      </c>
      <c r="B34" s="50"/>
      <c r="C34" s="82">
        <v>1.0</v>
      </c>
      <c r="D34" s="50" t="s">
        <v>159</v>
      </c>
      <c r="E34" s="82" t="s">
        <v>119</v>
      </c>
      <c r="F34" s="150" t="s">
        <v>124</v>
      </c>
      <c r="G34" s="150" t="s">
        <v>124</v>
      </c>
      <c r="H34" s="151">
        <f>KK3.1!S67</f>
        <v>3</v>
      </c>
      <c r="I34" s="151">
        <f>KK3.2!N68</f>
        <v>3</v>
      </c>
      <c r="J34" s="151">
        <f>KK3.3!N67</f>
        <v>3</v>
      </c>
      <c r="K34" s="151">
        <f>KK3.4!N117</f>
        <v>3</v>
      </c>
      <c r="L34" s="152">
        <f t="shared" si="2"/>
        <v>3</v>
      </c>
      <c r="M34" s="159"/>
      <c r="N34" s="35">
        <f>IF($M$33="YA",$N$33,L34)</f>
        <v>3</v>
      </c>
      <c r="O34" s="154"/>
      <c r="P34" s="8"/>
    </row>
    <row r="35" ht="15.0" customHeight="1">
      <c r="A35" s="142" t="s">
        <v>160</v>
      </c>
      <c r="B35" s="143" t="s">
        <v>161</v>
      </c>
      <c r="C35" s="62"/>
      <c r="D35" s="63"/>
      <c r="E35" s="144"/>
      <c r="F35" s="144"/>
      <c r="G35" s="145"/>
      <c r="H35" s="146">
        <f t="shared" ref="H35:K35" si="12">AVERAGE(H36:H37)</f>
        <v>3</v>
      </c>
      <c r="I35" s="146">
        <f t="shared" si="12"/>
        <v>4</v>
      </c>
      <c r="J35" s="146">
        <f t="shared" si="12"/>
        <v>4</v>
      </c>
      <c r="K35" s="146">
        <f t="shared" si="12"/>
        <v>3.5</v>
      </c>
      <c r="L35" s="157">
        <f t="shared" si="2"/>
        <v>3.625</v>
      </c>
      <c r="M35" s="148" t="str">
        <f>KK4_PENALTI!C12</f>
        <v>TIDAK</v>
      </c>
      <c r="N35" s="148">
        <f>IF(M35="YA",KK4_PENALTI!D12,L35)</f>
        <v>3.625</v>
      </c>
      <c r="O35" s="158"/>
      <c r="P35" s="8"/>
    </row>
    <row r="36" ht="15.75" customHeight="1">
      <c r="A36" s="142" t="s">
        <v>160</v>
      </c>
      <c r="B36" s="82"/>
      <c r="C36" s="82">
        <v>1.0</v>
      </c>
      <c r="D36" s="50" t="s">
        <v>162</v>
      </c>
      <c r="E36" s="82" t="s">
        <v>119</v>
      </c>
      <c r="F36" s="150" t="s">
        <v>124</v>
      </c>
      <c r="G36" s="150" t="s">
        <v>124</v>
      </c>
      <c r="H36" s="151">
        <f>KK3.1!S73</f>
        <v>3</v>
      </c>
      <c r="I36" s="151">
        <f>KK3.2!N74</f>
        <v>5</v>
      </c>
      <c r="J36" s="151">
        <f>KK3.3!N73</f>
        <v>5</v>
      </c>
      <c r="K36" s="151">
        <f>KK3.4!N123</f>
        <v>4</v>
      </c>
      <c r="L36" s="152">
        <f t="shared" si="2"/>
        <v>4.25</v>
      </c>
      <c r="M36" s="159"/>
      <c r="N36" s="35">
        <f t="shared" ref="N36:N37" si="13">IF($M$35="YA",$N$35,L36)</f>
        <v>4.25</v>
      </c>
      <c r="O36" s="154"/>
      <c r="P36" s="8"/>
    </row>
    <row r="37" ht="15.75" customHeight="1">
      <c r="A37" s="142" t="s">
        <v>160</v>
      </c>
      <c r="B37" s="82"/>
      <c r="C37" s="82">
        <v>2.0</v>
      </c>
      <c r="D37" s="50" t="s">
        <v>163</v>
      </c>
      <c r="E37" s="82" t="s">
        <v>119</v>
      </c>
      <c r="F37" s="82" t="s">
        <v>120</v>
      </c>
      <c r="G37" s="160" t="s">
        <v>124</v>
      </c>
      <c r="H37" s="151">
        <f>KK3.1!S78</f>
        <v>3</v>
      </c>
      <c r="I37" s="151">
        <f>KK3.2!N79</f>
        <v>3</v>
      </c>
      <c r="J37" s="151">
        <f>KK3.3!N78</f>
        <v>3</v>
      </c>
      <c r="K37" s="151">
        <f>KK3.4!N128</f>
        <v>3</v>
      </c>
      <c r="L37" s="152">
        <f t="shared" si="2"/>
        <v>3</v>
      </c>
      <c r="M37" s="159"/>
      <c r="N37" s="35">
        <f t="shared" si="13"/>
        <v>3</v>
      </c>
      <c r="O37" s="154"/>
      <c r="P37" s="8" t="s">
        <v>164</v>
      </c>
    </row>
    <row r="38" ht="15.0" customHeight="1">
      <c r="A38" s="142" t="s">
        <v>165</v>
      </c>
      <c r="B38" s="143" t="s">
        <v>166</v>
      </c>
      <c r="C38" s="62"/>
      <c r="D38" s="63"/>
      <c r="E38" s="144"/>
      <c r="F38" s="144"/>
      <c r="G38" s="144"/>
      <c r="H38" s="146">
        <f t="shared" ref="H38:K38" si="14">AVERAGE(H39:H41)</f>
        <v>4</v>
      </c>
      <c r="I38" s="146">
        <f t="shared" si="14"/>
        <v>2.333333333</v>
      </c>
      <c r="J38" s="146">
        <f t="shared" si="14"/>
        <v>2.333333333</v>
      </c>
      <c r="K38" s="146">
        <f t="shared" si="14"/>
        <v>2.666666667</v>
      </c>
      <c r="L38" s="157">
        <f t="shared" si="2"/>
        <v>2.833333333</v>
      </c>
      <c r="M38" s="148" t="str">
        <f>KK4_PENALTI!C14</f>
        <v>TIDAK</v>
      </c>
      <c r="N38" s="148">
        <f>IF(M38="YA",KK4_PENALTI!D14,L38)</f>
        <v>2.833333333</v>
      </c>
      <c r="O38" s="158"/>
      <c r="P38" s="8"/>
    </row>
    <row r="39" ht="15.75" customHeight="1">
      <c r="A39" s="142" t="s">
        <v>165</v>
      </c>
      <c r="B39" s="50"/>
      <c r="C39" s="82">
        <v>1.0</v>
      </c>
      <c r="D39" s="50" t="s">
        <v>167</v>
      </c>
      <c r="E39" s="82" t="s">
        <v>119</v>
      </c>
      <c r="F39" s="82" t="s">
        <v>120</v>
      </c>
      <c r="G39" s="160" t="s">
        <v>124</v>
      </c>
      <c r="H39" s="151">
        <f>KK3.1!S84</f>
        <v>4</v>
      </c>
      <c r="I39" s="151">
        <f>KK3.2!N85</f>
        <v>2</v>
      </c>
      <c r="J39" s="151">
        <f>KK3.3!N84</f>
        <v>2</v>
      </c>
      <c r="K39" s="151">
        <f>KK3.4!N134</f>
        <v>4</v>
      </c>
      <c r="L39" s="166">
        <f t="shared" si="2"/>
        <v>3</v>
      </c>
      <c r="M39" s="159"/>
      <c r="N39" s="35">
        <f t="shared" ref="N39:N41" si="15">IF($M$38="YA",$N$38,L39)</f>
        <v>3</v>
      </c>
      <c r="O39" s="154"/>
      <c r="P39" s="8" t="s">
        <v>168</v>
      </c>
    </row>
    <row r="40" ht="15.75" customHeight="1">
      <c r="A40" s="142" t="s">
        <v>165</v>
      </c>
      <c r="B40" s="50"/>
      <c r="C40" s="82">
        <v>2.0</v>
      </c>
      <c r="D40" s="50" t="s">
        <v>169</v>
      </c>
      <c r="E40" s="82" t="s">
        <v>119</v>
      </c>
      <c r="F40" s="82" t="s">
        <v>120</v>
      </c>
      <c r="G40" s="160" t="s">
        <v>124</v>
      </c>
      <c r="H40" s="151">
        <f>KK3.1!S89</f>
        <v>4</v>
      </c>
      <c r="I40" s="151">
        <f>KK3.2!N90</f>
        <v>3</v>
      </c>
      <c r="J40" s="151">
        <f>KK3.3!N89</f>
        <v>3</v>
      </c>
      <c r="K40" s="151">
        <f>KK3.4!N139</f>
        <v>2</v>
      </c>
      <c r="L40" s="166">
        <f t="shared" si="2"/>
        <v>3</v>
      </c>
      <c r="M40" s="159"/>
      <c r="N40" s="35">
        <f t="shared" si="15"/>
        <v>3</v>
      </c>
      <c r="O40" s="154"/>
      <c r="P40" s="8" t="s">
        <v>170</v>
      </c>
    </row>
    <row r="41" ht="15.75" customHeight="1">
      <c r="A41" s="142" t="s">
        <v>165</v>
      </c>
      <c r="B41" s="50"/>
      <c r="C41" s="82">
        <v>3.0</v>
      </c>
      <c r="D41" s="50" t="s">
        <v>171</v>
      </c>
      <c r="E41" s="82" t="s">
        <v>119</v>
      </c>
      <c r="F41" s="82" t="s">
        <v>120</v>
      </c>
      <c r="G41" s="160" t="s">
        <v>124</v>
      </c>
      <c r="H41" s="151">
        <f>KK3.1!S94</f>
        <v>4</v>
      </c>
      <c r="I41" s="151">
        <f>KK3.2!N95</f>
        <v>2</v>
      </c>
      <c r="J41" s="151">
        <f>KK3.3!N94</f>
        <v>2</v>
      </c>
      <c r="K41" s="151">
        <f>KK3.4!N144</f>
        <v>2</v>
      </c>
      <c r="L41" s="152">
        <f t="shared" si="2"/>
        <v>2.5</v>
      </c>
      <c r="M41" s="159"/>
      <c r="N41" s="35">
        <f t="shared" si="15"/>
        <v>2.5</v>
      </c>
      <c r="O41" s="154"/>
      <c r="P41" s="8" t="s">
        <v>170</v>
      </c>
    </row>
    <row r="42" ht="15.0" customHeight="1">
      <c r="A42" s="142" t="s">
        <v>172</v>
      </c>
      <c r="B42" s="143" t="s">
        <v>173</v>
      </c>
      <c r="C42" s="62"/>
      <c r="D42" s="63"/>
      <c r="E42" s="144"/>
      <c r="F42" s="144"/>
      <c r="G42" s="144"/>
      <c r="H42" s="146">
        <f t="shared" ref="H42:K42" si="16">AVERAGE(H43:H48)</f>
        <v>3.6</v>
      </c>
      <c r="I42" s="146">
        <f t="shared" si="16"/>
        <v>2.6</v>
      </c>
      <c r="J42" s="146">
        <f t="shared" si="16"/>
        <v>2.6</v>
      </c>
      <c r="K42" s="146">
        <f t="shared" si="16"/>
        <v>3</v>
      </c>
      <c r="L42" s="157">
        <f t="shared" si="2"/>
        <v>2.95</v>
      </c>
      <c r="M42" s="148" t="str">
        <f>KK4_PENALTI!C15</f>
        <v>TIDAK</v>
      </c>
      <c r="N42" s="148">
        <f>IF(M42="YA",KK4_PENALTI!D15,L42)</f>
        <v>2.95</v>
      </c>
      <c r="O42" s="158"/>
      <c r="P42" s="8"/>
    </row>
    <row r="43" ht="15.75" customHeight="1">
      <c r="A43" s="142" t="s">
        <v>172</v>
      </c>
      <c r="B43" s="50"/>
      <c r="C43" s="82">
        <v>1.0</v>
      </c>
      <c r="D43" s="50" t="s">
        <v>174</v>
      </c>
      <c r="E43" s="82" t="s">
        <v>119</v>
      </c>
      <c r="F43" s="82" t="s">
        <v>120</v>
      </c>
      <c r="G43" s="160" t="s">
        <v>124</v>
      </c>
      <c r="H43" s="151">
        <f>KK3.1!S100</f>
        <v>4</v>
      </c>
      <c r="I43" s="151">
        <f>KK3.2!N101</f>
        <v>3</v>
      </c>
      <c r="J43" s="151">
        <f>KK3.3!N100</f>
        <v>3</v>
      </c>
      <c r="K43" s="151">
        <f>KK3.4!N150</f>
        <v>3</v>
      </c>
      <c r="L43" s="152">
        <f t="shared" si="2"/>
        <v>3.25</v>
      </c>
      <c r="M43" s="159"/>
      <c r="N43" s="35">
        <f t="shared" ref="N43:N48" si="17">IF($M$42="YA",$N$42,L43)</f>
        <v>3.25</v>
      </c>
      <c r="O43" s="154"/>
      <c r="P43" s="8" t="s">
        <v>170</v>
      </c>
    </row>
    <row r="44" ht="15.75" customHeight="1">
      <c r="A44" s="142" t="s">
        <v>172</v>
      </c>
      <c r="B44" s="50"/>
      <c r="C44" s="82">
        <v>2.0</v>
      </c>
      <c r="D44" s="50" t="s">
        <v>175</v>
      </c>
      <c r="E44" s="82" t="s">
        <v>119</v>
      </c>
      <c r="F44" s="82" t="s">
        <v>120</v>
      </c>
      <c r="G44" s="160" t="s">
        <v>124</v>
      </c>
      <c r="H44" s="151">
        <f>KK3.1!S105</f>
        <v>4</v>
      </c>
      <c r="I44" s="151">
        <f>KK3.2!N106</f>
        <v>3</v>
      </c>
      <c r="J44" s="151">
        <f>KK3.3!N105</f>
        <v>3</v>
      </c>
      <c r="K44" s="151">
        <f>KK3.4!N155</f>
        <v>4</v>
      </c>
      <c r="L44" s="152">
        <f t="shared" si="2"/>
        <v>3.5</v>
      </c>
      <c r="M44" s="159"/>
      <c r="N44" s="35">
        <f t="shared" si="17"/>
        <v>3.5</v>
      </c>
      <c r="O44" s="154"/>
      <c r="P44" s="8" t="s">
        <v>170</v>
      </c>
    </row>
    <row r="45" ht="15.75" customHeight="1">
      <c r="A45" s="142" t="s">
        <v>172</v>
      </c>
      <c r="B45" s="50"/>
      <c r="C45" s="82">
        <v>3.0</v>
      </c>
      <c r="D45" s="50" t="s">
        <v>176</v>
      </c>
      <c r="E45" s="82" t="s">
        <v>119</v>
      </c>
      <c r="F45" s="82" t="s">
        <v>120</v>
      </c>
      <c r="G45" s="160" t="s">
        <v>124</v>
      </c>
      <c r="H45" s="151">
        <f>KK3.1!S110</f>
        <v>4</v>
      </c>
      <c r="I45" s="151">
        <f>KK3.2!N111</f>
        <v>3</v>
      </c>
      <c r="J45" s="151">
        <f>KK3.3!N110</f>
        <v>3</v>
      </c>
      <c r="K45" s="151">
        <f>KK3.4!N160</f>
        <v>3</v>
      </c>
      <c r="L45" s="166">
        <f t="shared" si="2"/>
        <v>3.25</v>
      </c>
      <c r="M45" s="159"/>
      <c r="N45" s="35">
        <f t="shared" si="17"/>
        <v>3.25</v>
      </c>
      <c r="O45" s="154"/>
      <c r="P45" s="8" t="s">
        <v>170</v>
      </c>
    </row>
    <row r="46" ht="15.75" customHeight="1">
      <c r="A46" s="142" t="s">
        <v>172</v>
      </c>
      <c r="B46" s="50"/>
      <c r="C46" s="82">
        <v>4.0</v>
      </c>
      <c r="D46" s="50" t="s">
        <v>177</v>
      </c>
      <c r="E46" s="82" t="s">
        <v>119</v>
      </c>
      <c r="F46" s="82" t="s">
        <v>120</v>
      </c>
      <c r="G46" s="160" t="s">
        <v>124</v>
      </c>
      <c r="H46" s="151">
        <f>KK3.1!S115</f>
        <v>3</v>
      </c>
      <c r="I46" s="151">
        <f>KK3.2!N116</f>
        <v>3</v>
      </c>
      <c r="J46" s="151">
        <f>KK3.3!N115</f>
        <v>3</v>
      </c>
      <c r="K46" s="151">
        <f>KK3.4!N165</f>
        <v>3</v>
      </c>
      <c r="L46" s="166">
        <f t="shared" si="2"/>
        <v>3</v>
      </c>
      <c r="M46" s="159"/>
      <c r="N46" s="35">
        <f t="shared" si="17"/>
        <v>3</v>
      </c>
      <c r="O46" s="154"/>
      <c r="P46" s="8" t="s">
        <v>77</v>
      </c>
    </row>
    <row r="47" ht="15.75" customHeight="1">
      <c r="A47" s="142" t="s">
        <v>172</v>
      </c>
      <c r="B47" s="50"/>
      <c r="C47" s="82">
        <v>5.0</v>
      </c>
      <c r="D47" s="50" t="s">
        <v>178</v>
      </c>
      <c r="E47" s="82" t="s">
        <v>119</v>
      </c>
      <c r="F47" s="82" t="s">
        <v>120</v>
      </c>
      <c r="G47" s="160" t="s">
        <v>124</v>
      </c>
      <c r="H47" s="151">
        <f>KK3.1!S120</f>
        <v>3</v>
      </c>
      <c r="I47" s="151">
        <f>KK3.2!N121</f>
        <v>1</v>
      </c>
      <c r="J47" s="151">
        <f>KK3.3!N120</f>
        <v>1</v>
      </c>
      <c r="K47" s="151">
        <f>KK3.4!N170</f>
        <v>2</v>
      </c>
      <c r="L47" s="152">
        <f t="shared" si="2"/>
        <v>1.75</v>
      </c>
      <c r="M47" s="159"/>
      <c r="N47" s="35">
        <f t="shared" si="17"/>
        <v>1.75</v>
      </c>
      <c r="O47" s="154"/>
      <c r="P47" s="8" t="s">
        <v>77</v>
      </c>
    </row>
    <row r="48" ht="15.75" customHeight="1">
      <c r="A48" s="142"/>
      <c r="B48" s="50"/>
      <c r="C48" s="82">
        <v>6.0</v>
      </c>
      <c r="D48" s="50" t="s">
        <v>179</v>
      </c>
      <c r="E48" s="82" t="s">
        <v>119</v>
      </c>
      <c r="F48" s="82" t="s">
        <v>124</v>
      </c>
      <c r="G48" s="160" t="s">
        <v>58</v>
      </c>
      <c r="H48" s="155"/>
      <c r="I48" s="155"/>
      <c r="J48" s="156"/>
      <c r="K48" s="151">
        <f>KK3.4!N175</f>
        <v>3</v>
      </c>
      <c r="L48" s="152">
        <f t="shared" si="2"/>
        <v>3</v>
      </c>
      <c r="M48" s="159"/>
      <c r="N48" s="35">
        <f t="shared" si="17"/>
        <v>3</v>
      </c>
      <c r="O48" s="154"/>
      <c r="P48" s="8"/>
    </row>
    <row r="49" ht="15.0" customHeight="1">
      <c r="A49" s="142" t="s">
        <v>180</v>
      </c>
      <c r="B49" s="143" t="s">
        <v>181</v>
      </c>
      <c r="C49" s="62"/>
      <c r="D49" s="63"/>
      <c r="E49" s="144"/>
      <c r="F49" s="144"/>
      <c r="G49" s="144"/>
      <c r="H49" s="146">
        <f t="shared" ref="H49:K49" si="18">H50</f>
        <v>3</v>
      </c>
      <c r="I49" s="146">
        <f t="shared" si="18"/>
        <v>3</v>
      </c>
      <c r="J49" s="146">
        <f t="shared" si="18"/>
        <v>3</v>
      </c>
      <c r="K49" s="146">
        <f t="shared" si="18"/>
        <v>3</v>
      </c>
      <c r="L49" s="157">
        <f t="shared" si="2"/>
        <v>3</v>
      </c>
      <c r="M49" s="148" t="str">
        <f>KK4_PENALTI!C17</f>
        <v>TIDAK</v>
      </c>
      <c r="N49" s="148">
        <f>IF(M49="YA",KK4_PENALTI!D17,L49)</f>
        <v>3</v>
      </c>
    </row>
    <row r="50" ht="15.75" customHeight="1">
      <c r="A50" s="142" t="s">
        <v>180</v>
      </c>
      <c r="B50" s="50"/>
      <c r="C50" s="82">
        <v>1.0</v>
      </c>
      <c r="D50" s="50" t="s">
        <v>182</v>
      </c>
      <c r="E50" s="82" t="s">
        <v>119</v>
      </c>
      <c r="F50" s="82" t="s">
        <v>124</v>
      </c>
      <c r="G50" s="94" t="s">
        <v>124</v>
      </c>
      <c r="H50" s="151">
        <f>KK3.1!S126</f>
        <v>3</v>
      </c>
      <c r="I50" s="151">
        <f>KK3.2!N127</f>
        <v>3</v>
      </c>
      <c r="J50" s="151">
        <f>KK3.3!N126</f>
        <v>3</v>
      </c>
      <c r="K50" s="151">
        <f>KK3.4!N181</f>
        <v>3</v>
      </c>
      <c r="L50" s="152">
        <f t="shared" si="2"/>
        <v>3</v>
      </c>
      <c r="M50" s="159"/>
      <c r="N50" s="35">
        <f>IF($M$49="YA",$N$49,L50)</f>
        <v>3</v>
      </c>
    </row>
    <row r="51" ht="15.0" customHeight="1">
      <c r="A51" s="142" t="s">
        <v>183</v>
      </c>
      <c r="B51" s="143" t="s">
        <v>184</v>
      </c>
      <c r="C51" s="62"/>
      <c r="D51" s="63"/>
      <c r="E51" s="144"/>
      <c r="F51" s="144"/>
      <c r="G51" s="144"/>
      <c r="H51" s="146">
        <f t="shared" ref="H51:K51" si="19">H52</f>
        <v>4</v>
      </c>
      <c r="I51" s="146">
        <f t="shared" si="19"/>
        <v>5</v>
      </c>
      <c r="J51" s="146">
        <f t="shared" si="19"/>
        <v>4</v>
      </c>
      <c r="K51" s="146">
        <f t="shared" si="19"/>
        <v>3</v>
      </c>
      <c r="L51" s="157">
        <f t="shared" si="2"/>
        <v>4</v>
      </c>
      <c r="M51" s="148" t="str">
        <f>KK4_PENALTI!C18</f>
        <v>TIDAK</v>
      </c>
      <c r="N51" s="148">
        <f>IF(M51="YA",KK4_PENALTI!D18,L51)</f>
        <v>4</v>
      </c>
    </row>
    <row r="52" ht="15.75" customHeight="1">
      <c r="A52" s="142" t="s">
        <v>183</v>
      </c>
      <c r="B52" s="50"/>
      <c r="C52" s="82">
        <v>1.0</v>
      </c>
      <c r="D52" s="50" t="s">
        <v>185</v>
      </c>
      <c r="E52" s="82" t="s">
        <v>119</v>
      </c>
      <c r="F52" s="82" t="s">
        <v>124</v>
      </c>
      <c r="G52" s="94" t="s">
        <v>124</v>
      </c>
      <c r="H52" s="151">
        <f>KK3.1!S132</f>
        <v>4</v>
      </c>
      <c r="I52" s="151">
        <f>KK3.2!N133</f>
        <v>5</v>
      </c>
      <c r="J52" s="151">
        <f>KK3.3!N132</f>
        <v>4</v>
      </c>
      <c r="K52" s="151">
        <f>KK3.4!N187</f>
        <v>3</v>
      </c>
      <c r="L52" s="152">
        <f t="shared" si="2"/>
        <v>4</v>
      </c>
      <c r="M52" s="159"/>
      <c r="N52" s="35">
        <f>IF($M$51="YA",$N$51,L52)</f>
        <v>4</v>
      </c>
    </row>
    <row r="53" ht="15.0" customHeight="1">
      <c r="A53" s="142" t="s">
        <v>186</v>
      </c>
      <c r="B53" s="143" t="s">
        <v>187</v>
      </c>
      <c r="C53" s="62"/>
      <c r="D53" s="63"/>
      <c r="E53" s="144"/>
      <c r="F53" s="144"/>
      <c r="G53" s="144"/>
      <c r="H53" s="146">
        <f t="shared" ref="H53:K53" si="20">H54</f>
        <v>4</v>
      </c>
      <c r="I53" s="146">
        <f t="shared" si="20"/>
        <v>3</v>
      </c>
      <c r="J53" s="146">
        <f t="shared" si="20"/>
        <v>3</v>
      </c>
      <c r="K53" s="146">
        <f t="shared" si="20"/>
        <v>4</v>
      </c>
      <c r="L53" s="157">
        <f t="shared" si="2"/>
        <v>3.5</v>
      </c>
      <c r="M53" s="148" t="str">
        <f>KK4_PENALTI!C19</f>
        <v>TIDAK</v>
      </c>
      <c r="N53" s="148">
        <f>IF(M53="YA",KK4_PENALTI!D19,L53)</f>
        <v>3.5</v>
      </c>
    </row>
    <row r="54" ht="15.75" customHeight="1">
      <c r="A54" s="142" t="s">
        <v>186</v>
      </c>
      <c r="B54" s="50"/>
      <c r="C54" s="82">
        <v>1.0</v>
      </c>
      <c r="D54" s="50" t="s">
        <v>188</v>
      </c>
      <c r="E54" s="82" t="s">
        <v>119</v>
      </c>
      <c r="F54" s="82" t="s">
        <v>124</v>
      </c>
      <c r="G54" s="94" t="s">
        <v>124</v>
      </c>
      <c r="H54" s="151">
        <f>KK3.1!S138</f>
        <v>4</v>
      </c>
      <c r="I54" s="151">
        <f>KK3.2!N139</f>
        <v>3</v>
      </c>
      <c r="J54" s="151">
        <f>KK3.3!N138</f>
        <v>3</v>
      </c>
      <c r="K54" s="151">
        <f>KK3.4!N193</f>
        <v>4</v>
      </c>
      <c r="L54" s="152">
        <f t="shared" si="2"/>
        <v>3.5</v>
      </c>
      <c r="M54" s="159"/>
      <c r="N54" s="35">
        <f>IF($M$53="YA",$N$53,L54)</f>
        <v>3.5</v>
      </c>
    </row>
    <row r="55" ht="15.0" customHeight="1">
      <c r="A55" s="142" t="s">
        <v>189</v>
      </c>
      <c r="B55" s="143" t="s">
        <v>190</v>
      </c>
      <c r="C55" s="62"/>
      <c r="D55" s="63"/>
      <c r="E55" s="144"/>
      <c r="F55" s="144"/>
      <c r="G55" s="144"/>
      <c r="H55" s="146">
        <f t="shared" ref="H55:K55" si="21">H56</f>
        <v>4</v>
      </c>
      <c r="I55" s="146">
        <f t="shared" si="21"/>
        <v>4</v>
      </c>
      <c r="J55" s="146">
        <f t="shared" si="21"/>
        <v>5</v>
      </c>
      <c r="K55" s="146">
        <f t="shared" si="21"/>
        <v>3</v>
      </c>
      <c r="L55" s="157">
        <f t="shared" si="2"/>
        <v>4</v>
      </c>
      <c r="M55" s="148" t="str">
        <f>KK4_PENALTI!C20</f>
        <v>TIDAK</v>
      </c>
      <c r="N55" s="148">
        <f>IF(M55="YA",KK4_PENALTI!D20,L55)</f>
        <v>4</v>
      </c>
    </row>
    <row r="56" ht="15.75" customHeight="1">
      <c r="A56" s="142" t="s">
        <v>189</v>
      </c>
      <c r="B56" s="50"/>
      <c r="C56" s="82">
        <v>1.0</v>
      </c>
      <c r="D56" s="50" t="s">
        <v>191</v>
      </c>
      <c r="E56" s="82" t="s">
        <v>119</v>
      </c>
      <c r="F56" s="82" t="s">
        <v>124</v>
      </c>
      <c r="G56" s="94" t="s">
        <v>124</v>
      </c>
      <c r="H56" s="151">
        <f>KK3.1!S144</f>
        <v>4</v>
      </c>
      <c r="I56" s="151">
        <f>KK3.2!N145</f>
        <v>4</v>
      </c>
      <c r="J56" s="151">
        <f>KK3.3!N144</f>
        <v>5</v>
      </c>
      <c r="K56" s="151">
        <f>KK3.4!N199</f>
        <v>3</v>
      </c>
      <c r="L56" s="152">
        <f t="shared" si="2"/>
        <v>4</v>
      </c>
      <c r="M56" s="159"/>
      <c r="N56" s="35">
        <f>IF($M$55="YA",$N$55,L56)</f>
        <v>4</v>
      </c>
    </row>
    <row r="57" ht="15.0" customHeight="1">
      <c r="A57" s="142" t="s">
        <v>192</v>
      </c>
      <c r="B57" s="143" t="s">
        <v>193</v>
      </c>
      <c r="C57" s="62"/>
      <c r="D57" s="63"/>
      <c r="E57" s="144"/>
      <c r="F57" s="144"/>
      <c r="G57" s="144"/>
      <c r="H57" s="146">
        <f t="shared" ref="H57:K57" si="22">H58</f>
        <v>4</v>
      </c>
      <c r="I57" s="146">
        <f t="shared" si="22"/>
        <v>3</v>
      </c>
      <c r="J57" s="146">
        <f t="shared" si="22"/>
        <v>3</v>
      </c>
      <c r="K57" s="146">
        <f t="shared" si="22"/>
        <v>4</v>
      </c>
      <c r="L57" s="157">
        <f t="shared" si="2"/>
        <v>3.5</v>
      </c>
      <c r="M57" s="148" t="str">
        <f>KK4_PENALTI!C21</f>
        <v>TIDAK</v>
      </c>
      <c r="N57" s="148">
        <f>IF(M57="YA",KK4_PENALTI!D21,L57)</f>
        <v>3.5</v>
      </c>
    </row>
    <row r="58" ht="15.75" customHeight="1">
      <c r="A58" s="142" t="s">
        <v>192</v>
      </c>
      <c r="B58" s="167"/>
      <c r="C58" s="168">
        <v>1.0</v>
      </c>
      <c r="D58" s="167" t="s">
        <v>194</v>
      </c>
      <c r="E58" s="82" t="s">
        <v>119</v>
      </c>
      <c r="F58" s="150" t="s">
        <v>124</v>
      </c>
      <c r="G58" s="150" t="s">
        <v>124</v>
      </c>
      <c r="H58" s="151">
        <f>KK3.1!S150</f>
        <v>4</v>
      </c>
      <c r="I58" s="151">
        <f>KK3.2!N151</f>
        <v>3</v>
      </c>
      <c r="J58" s="151">
        <f>KK3.3!N150</f>
        <v>3</v>
      </c>
      <c r="K58" s="151">
        <f>KK3.4!N205</f>
        <v>4</v>
      </c>
      <c r="L58" s="152">
        <f t="shared" si="2"/>
        <v>3.5</v>
      </c>
      <c r="M58" s="159"/>
      <c r="N58" s="35">
        <f>IF($M$57="YA",$N$57,L58)</f>
        <v>3.5</v>
      </c>
    </row>
    <row r="59" ht="15.0" customHeight="1">
      <c r="A59" s="142" t="s">
        <v>195</v>
      </c>
      <c r="B59" s="143" t="s">
        <v>196</v>
      </c>
      <c r="C59" s="62"/>
      <c r="D59" s="63"/>
      <c r="E59" s="144"/>
      <c r="F59" s="144"/>
      <c r="G59" s="144"/>
      <c r="H59" s="146">
        <f t="shared" ref="H59:K59" si="23">H60</f>
        <v>4</v>
      </c>
      <c r="I59" s="146">
        <f t="shared" si="23"/>
        <v>3</v>
      </c>
      <c r="J59" s="146">
        <f t="shared" si="23"/>
        <v>3</v>
      </c>
      <c r="K59" s="146">
        <f t="shared" si="23"/>
        <v>3</v>
      </c>
      <c r="L59" s="157">
        <f t="shared" si="2"/>
        <v>3.25</v>
      </c>
      <c r="M59" s="148" t="str">
        <f>KK4_PENALTI!C22</f>
        <v>TIDAK</v>
      </c>
      <c r="N59" s="148">
        <f>IF(M59="YA",KK4_PENALTI!D22,L59)</f>
        <v>3.25</v>
      </c>
    </row>
    <row r="60" ht="15.75" customHeight="1">
      <c r="A60" s="142" t="s">
        <v>195</v>
      </c>
      <c r="B60" s="50"/>
      <c r="C60" s="82">
        <v>1.0</v>
      </c>
      <c r="D60" s="50" t="s">
        <v>197</v>
      </c>
      <c r="E60" s="82" t="s">
        <v>119</v>
      </c>
      <c r="F60" s="150" t="s">
        <v>124</v>
      </c>
      <c r="G60" s="150" t="s">
        <v>124</v>
      </c>
      <c r="H60" s="151">
        <f>KK3.1!S156</f>
        <v>4</v>
      </c>
      <c r="I60" s="151">
        <f>KK3.2!N157</f>
        <v>3</v>
      </c>
      <c r="J60" s="151">
        <f>KK3.3!N156</f>
        <v>3</v>
      </c>
      <c r="K60" s="151">
        <f>KK3.4!N211</f>
        <v>3</v>
      </c>
      <c r="L60" s="152">
        <f t="shared" si="2"/>
        <v>3.25</v>
      </c>
      <c r="M60" s="159"/>
      <c r="N60" s="35">
        <f>IF($M$59="YA",$N$59,L60)</f>
        <v>3.25</v>
      </c>
    </row>
    <row r="61" ht="15.0" customHeight="1">
      <c r="A61" s="142" t="s">
        <v>198</v>
      </c>
      <c r="B61" s="143" t="s">
        <v>199</v>
      </c>
      <c r="C61" s="62"/>
      <c r="D61" s="63"/>
      <c r="E61" s="144"/>
      <c r="F61" s="144"/>
      <c r="G61" s="144"/>
      <c r="H61" s="146">
        <f t="shared" ref="H61:K61" si="24">H62</f>
        <v>4</v>
      </c>
      <c r="I61" s="146">
        <f t="shared" si="24"/>
        <v>3</v>
      </c>
      <c r="J61" s="146">
        <f t="shared" si="24"/>
        <v>3</v>
      </c>
      <c r="K61" s="146">
        <f t="shared" si="24"/>
        <v>3</v>
      </c>
      <c r="L61" s="157">
        <f t="shared" si="2"/>
        <v>3.25</v>
      </c>
      <c r="M61" s="148" t="str">
        <f>KK4_PENALTI!C23</f>
        <v>TIDAK</v>
      </c>
      <c r="N61" s="148">
        <f>IF(M61="YA",KK4_PENALTI!D23,L61)</f>
        <v>3.25</v>
      </c>
    </row>
    <row r="62" ht="15.75" customHeight="1">
      <c r="A62" s="142" t="s">
        <v>198</v>
      </c>
      <c r="B62" s="50"/>
      <c r="C62" s="82">
        <v>1.0</v>
      </c>
      <c r="D62" s="50" t="s">
        <v>200</v>
      </c>
      <c r="E62" s="82" t="s">
        <v>119</v>
      </c>
      <c r="F62" s="150" t="s">
        <v>124</v>
      </c>
      <c r="G62" s="150" t="s">
        <v>124</v>
      </c>
      <c r="H62" s="151">
        <f>KK3.1!S162</f>
        <v>4</v>
      </c>
      <c r="I62" s="151">
        <f>KK3.2!N163</f>
        <v>3</v>
      </c>
      <c r="J62" s="151">
        <f>KK3.3!N162</f>
        <v>3</v>
      </c>
      <c r="K62" s="151">
        <f>KK3.4!N217</f>
        <v>3</v>
      </c>
      <c r="L62" s="152">
        <f t="shared" si="2"/>
        <v>3.25</v>
      </c>
      <c r="M62" s="159"/>
      <c r="N62" s="35">
        <f>IF($M$61="YA",$N$61,L62)</f>
        <v>3.25</v>
      </c>
    </row>
    <row r="63" ht="15.0" customHeight="1">
      <c r="A63" s="142" t="s">
        <v>201</v>
      </c>
      <c r="B63" s="143" t="s">
        <v>202</v>
      </c>
      <c r="C63" s="62"/>
      <c r="D63" s="63"/>
      <c r="E63" s="144"/>
      <c r="F63" s="144"/>
      <c r="G63" s="144"/>
      <c r="H63" s="146">
        <f t="shared" ref="H63:K63" si="25">H64</f>
        <v>5</v>
      </c>
      <c r="I63" s="146">
        <f t="shared" si="25"/>
        <v>4</v>
      </c>
      <c r="J63" s="146">
        <f t="shared" si="25"/>
        <v>3</v>
      </c>
      <c r="K63" s="146">
        <f t="shared" si="25"/>
        <v>4</v>
      </c>
      <c r="L63" s="157">
        <f t="shared" si="2"/>
        <v>4</v>
      </c>
      <c r="M63" s="148" t="str">
        <f>KK4_PENALTI!C24</f>
        <v>TIDAK</v>
      </c>
      <c r="N63" s="148">
        <f>IF(M63="YA",KK4_PENALTI!D24,L63)</f>
        <v>4</v>
      </c>
    </row>
    <row r="64" ht="15.75" customHeight="1">
      <c r="A64" s="142" t="s">
        <v>201</v>
      </c>
      <c r="B64" s="50"/>
      <c r="C64" s="82">
        <v>1.0</v>
      </c>
      <c r="D64" s="50" t="s">
        <v>203</v>
      </c>
      <c r="E64" s="82" t="s">
        <v>119</v>
      </c>
      <c r="F64" s="150" t="s">
        <v>124</v>
      </c>
      <c r="G64" s="150" t="s">
        <v>124</v>
      </c>
      <c r="H64" s="151">
        <f>KK3.1!S168</f>
        <v>5</v>
      </c>
      <c r="I64" s="151">
        <f>KK3.2!N169</f>
        <v>4</v>
      </c>
      <c r="J64" s="151">
        <f>KK3.3!N168</f>
        <v>3</v>
      </c>
      <c r="K64" s="151">
        <f>KK3.4!N223</f>
        <v>4</v>
      </c>
      <c r="L64" s="152">
        <f t="shared" si="2"/>
        <v>4</v>
      </c>
      <c r="M64" s="159"/>
      <c r="N64" s="35">
        <f>IF($M$63="YA",$N$63,L64)</f>
        <v>4</v>
      </c>
    </row>
    <row r="65" ht="15.0" customHeight="1">
      <c r="A65" s="142" t="s">
        <v>204</v>
      </c>
      <c r="B65" s="143" t="s">
        <v>205</v>
      </c>
      <c r="C65" s="62"/>
      <c r="D65" s="63"/>
      <c r="E65" s="144"/>
      <c r="F65" s="144"/>
      <c r="G65" s="144"/>
      <c r="H65" s="146">
        <f t="shared" ref="H65:K65" si="26">H66</f>
        <v>3</v>
      </c>
      <c r="I65" s="146">
        <f t="shared" si="26"/>
        <v>3</v>
      </c>
      <c r="J65" s="146">
        <f t="shared" si="26"/>
        <v>4</v>
      </c>
      <c r="K65" s="146">
        <f t="shared" si="26"/>
        <v>4</v>
      </c>
      <c r="L65" s="157">
        <f t="shared" si="2"/>
        <v>3.5</v>
      </c>
      <c r="M65" s="148" t="str">
        <f>KK4_PENALTI!C25</f>
        <v>TIDAK</v>
      </c>
      <c r="N65" s="148">
        <f>IF(M65="YA",KK4_PENALTI!D25,L65)</f>
        <v>3.5</v>
      </c>
      <c r="O65" s="158"/>
      <c r="P65" s="8"/>
    </row>
    <row r="66" ht="15.75" customHeight="1">
      <c r="A66" s="142" t="s">
        <v>204</v>
      </c>
      <c r="B66" s="50"/>
      <c r="C66" s="82">
        <v>1.0</v>
      </c>
      <c r="D66" s="50" t="s">
        <v>206</v>
      </c>
      <c r="E66" s="82" t="s">
        <v>119</v>
      </c>
      <c r="F66" s="150" t="s">
        <v>124</v>
      </c>
      <c r="G66" s="150" t="s">
        <v>124</v>
      </c>
      <c r="H66" s="151">
        <f>KK3.1!S174</f>
        <v>3</v>
      </c>
      <c r="I66" s="151">
        <f>KK3.2!N175</f>
        <v>3</v>
      </c>
      <c r="J66" s="151">
        <f>KK3.3!N174</f>
        <v>4</v>
      </c>
      <c r="K66" s="151">
        <f>KK3.4!N229</f>
        <v>4</v>
      </c>
      <c r="L66" s="152">
        <f t="shared" si="2"/>
        <v>3.5</v>
      </c>
      <c r="M66" s="159"/>
      <c r="N66" s="35">
        <f>IF($M$65="YA",$N$65,L66)</f>
        <v>3.5</v>
      </c>
      <c r="O66" s="154"/>
      <c r="P66" s="8"/>
    </row>
    <row r="67" ht="15.0" customHeight="1">
      <c r="A67" s="142" t="s">
        <v>207</v>
      </c>
      <c r="B67" s="143" t="s">
        <v>208</v>
      </c>
      <c r="C67" s="62"/>
      <c r="D67" s="63"/>
      <c r="E67" s="144"/>
      <c r="F67" s="144"/>
      <c r="G67" s="144"/>
      <c r="H67" s="146">
        <f t="shared" ref="H67:K67" si="27">H68</f>
        <v>5</v>
      </c>
      <c r="I67" s="146">
        <f t="shared" si="27"/>
        <v>3</v>
      </c>
      <c r="J67" s="146">
        <f t="shared" si="27"/>
        <v>3</v>
      </c>
      <c r="K67" s="146">
        <f t="shared" si="27"/>
        <v>4</v>
      </c>
      <c r="L67" s="157">
        <f t="shared" si="2"/>
        <v>3.75</v>
      </c>
      <c r="M67" s="148" t="str">
        <f>KK4_PENALTI!C26</f>
        <v>TIDAK</v>
      </c>
      <c r="N67" s="148">
        <f>IF(M67="YA",KK4_PENALTI!D26,L67)</f>
        <v>3.75</v>
      </c>
      <c r="O67" s="158"/>
      <c r="P67" s="8"/>
    </row>
    <row r="68" ht="15.75" customHeight="1">
      <c r="A68" s="142" t="s">
        <v>207</v>
      </c>
      <c r="B68" s="50"/>
      <c r="C68" s="82">
        <v>1.0</v>
      </c>
      <c r="D68" s="50" t="s">
        <v>209</v>
      </c>
      <c r="E68" s="82" t="s">
        <v>119</v>
      </c>
      <c r="F68" s="150" t="s">
        <v>124</v>
      </c>
      <c r="G68" s="150" t="s">
        <v>124</v>
      </c>
      <c r="H68" s="151">
        <f>KK3.1!S180</f>
        <v>5</v>
      </c>
      <c r="I68" s="151">
        <f>KK3.2!N181</f>
        <v>3</v>
      </c>
      <c r="J68" s="151">
        <f>KK3.3!N180</f>
        <v>3</v>
      </c>
      <c r="K68" s="151">
        <f>KK3.4!N235</f>
        <v>4</v>
      </c>
      <c r="L68" s="152">
        <f t="shared" si="2"/>
        <v>3.75</v>
      </c>
      <c r="M68" s="159"/>
      <c r="N68" s="35">
        <f>IF($M$67="YA",$N$67,L68)</f>
        <v>3.75</v>
      </c>
      <c r="O68" s="154"/>
      <c r="P68" s="8"/>
    </row>
    <row r="69" ht="15.0" customHeight="1">
      <c r="A69" s="142" t="s">
        <v>210</v>
      </c>
      <c r="B69" s="143" t="s">
        <v>211</v>
      </c>
      <c r="C69" s="62"/>
      <c r="D69" s="63"/>
      <c r="E69" s="144"/>
      <c r="F69" s="144"/>
      <c r="G69" s="144"/>
      <c r="H69" s="146">
        <f t="shared" ref="H69:K69" si="28">H70</f>
        <v>3</v>
      </c>
      <c r="I69" s="146">
        <f t="shared" si="28"/>
        <v>4</v>
      </c>
      <c r="J69" s="146">
        <f t="shared" si="28"/>
        <v>4</v>
      </c>
      <c r="K69" s="146">
        <f t="shared" si="28"/>
        <v>3</v>
      </c>
      <c r="L69" s="157">
        <f t="shared" si="2"/>
        <v>3.5</v>
      </c>
      <c r="M69" s="148" t="str">
        <f>KK4_PENALTI!C27</f>
        <v>TIDAK</v>
      </c>
      <c r="N69" s="148">
        <f>IF(M69="YA",KK4_PENALTI!D27,L69)</f>
        <v>3.5</v>
      </c>
      <c r="O69" s="158"/>
      <c r="P69" s="8"/>
    </row>
    <row r="70" ht="15.75" customHeight="1">
      <c r="A70" s="142" t="s">
        <v>210</v>
      </c>
      <c r="B70" s="50"/>
      <c r="C70" s="82">
        <v>1.0</v>
      </c>
      <c r="D70" s="50" t="s">
        <v>212</v>
      </c>
      <c r="E70" s="82" t="s">
        <v>119</v>
      </c>
      <c r="F70" s="150" t="s">
        <v>124</v>
      </c>
      <c r="G70" s="150" t="s">
        <v>124</v>
      </c>
      <c r="H70" s="151">
        <f>KK3.1!S186</f>
        <v>3</v>
      </c>
      <c r="I70" s="151">
        <f>KK3.2!N187</f>
        <v>4</v>
      </c>
      <c r="J70" s="151">
        <f>KK3.3!N186</f>
        <v>4</v>
      </c>
      <c r="K70" s="151">
        <f>KK3.4!N241</f>
        <v>3</v>
      </c>
      <c r="L70" s="152">
        <f t="shared" si="2"/>
        <v>3.5</v>
      </c>
      <c r="M70" s="159"/>
      <c r="N70" s="35">
        <f>IF($M$69="YA",$N$69,L70)</f>
        <v>3.5</v>
      </c>
      <c r="O70" s="154"/>
      <c r="P70" s="8"/>
    </row>
    <row r="71" ht="15.0" customHeight="1">
      <c r="A71" s="142" t="s">
        <v>213</v>
      </c>
      <c r="B71" s="143" t="s">
        <v>214</v>
      </c>
      <c r="C71" s="62"/>
      <c r="D71" s="63"/>
      <c r="E71" s="144"/>
      <c r="F71" s="144"/>
      <c r="G71" s="144"/>
      <c r="H71" s="146">
        <f t="shared" ref="H71:K71" si="29">AVERAGE(H72:H76)</f>
        <v>3</v>
      </c>
      <c r="I71" s="146">
        <f t="shared" si="29"/>
        <v>3</v>
      </c>
      <c r="J71" s="146">
        <f t="shared" si="29"/>
        <v>3</v>
      </c>
      <c r="K71" s="146">
        <f t="shared" si="29"/>
        <v>3.2</v>
      </c>
      <c r="L71" s="157">
        <f t="shared" si="2"/>
        <v>3.05</v>
      </c>
      <c r="M71" s="148" t="str">
        <f>KK4_PENALTI!C29</f>
        <v>TIDAK</v>
      </c>
      <c r="N71" s="148">
        <f>IF(M71="YA",KK4_PENALTI!D29,L71)</f>
        <v>3.05</v>
      </c>
      <c r="O71" s="158"/>
      <c r="P71" s="8"/>
    </row>
    <row r="72" ht="15.75" customHeight="1">
      <c r="A72" s="142" t="s">
        <v>213</v>
      </c>
      <c r="B72" s="50"/>
      <c r="C72" s="82">
        <v>1.0</v>
      </c>
      <c r="D72" s="50" t="s">
        <v>215</v>
      </c>
      <c r="E72" s="82" t="s">
        <v>119</v>
      </c>
      <c r="F72" s="150" t="s">
        <v>124</v>
      </c>
      <c r="G72" s="150" t="s">
        <v>124</v>
      </c>
      <c r="H72" s="151">
        <f>KK3.1!S192</f>
        <v>3</v>
      </c>
      <c r="I72" s="151">
        <f>KK3.2!N193</f>
        <v>3</v>
      </c>
      <c r="J72" s="151">
        <f>KK3.3!N192</f>
        <v>3</v>
      </c>
      <c r="K72" s="151">
        <f>KK3.4!N247</f>
        <v>4</v>
      </c>
      <c r="L72" s="152">
        <f t="shared" si="2"/>
        <v>3.25</v>
      </c>
      <c r="M72" s="159"/>
      <c r="N72" s="35">
        <f t="shared" ref="N72:N76" si="30">IF($M$71="YA",$N$71,L72)</f>
        <v>3.25</v>
      </c>
      <c r="O72" s="154"/>
      <c r="P72" s="8"/>
    </row>
    <row r="73" ht="15.75" customHeight="1">
      <c r="A73" s="142" t="s">
        <v>213</v>
      </c>
      <c r="B73" s="50"/>
      <c r="C73" s="82">
        <v>2.0</v>
      </c>
      <c r="D73" s="50" t="s">
        <v>216</v>
      </c>
      <c r="E73" s="82" t="s">
        <v>119</v>
      </c>
      <c r="F73" s="82" t="s">
        <v>120</v>
      </c>
      <c r="G73" s="160" t="s">
        <v>124</v>
      </c>
      <c r="H73" s="151">
        <f>KK3.1!S197</f>
        <v>3</v>
      </c>
      <c r="I73" s="151">
        <f>KK3.2!N198</f>
        <v>3</v>
      </c>
      <c r="J73" s="151">
        <f>KK3.3!N197</f>
        <v>3</v>
      </c>
      <c r="K73" s="151">
        <f>KK3.4!N252</f>
        <v>3</v>
      </c>
      <c r="L73" s="152">
        <f t="shared" si="2"/>
        <v>3</v>
      </c>
      <c r="M73" s="159"/>
      <c r="N73" s="35">
        <f t="shared" si="30"/>
        <v>3</v>
      </c>
      <c r="O73" s="154"/>
      <c r="P73" s="8" t="s">
        <v>139</v>
      </c>
    </row>
    <row r="74" ht="15.75" customHeight="1">
      <c r="A74" s="142" t="s">
        <v>213</v>
      </c>
      <c r="B74" s="50"/>
      <c r="C74" s="82">
        <v>3.0</v>
      </c>
      <c r="D74" s="50" t="s">
        <v>217</v>
      </c>
      <c r="E74" s="82" t="s">
        <v>119</v>
      </c>
      <c r="F74" s="82" t="s">
        <v>120</v>
      </c>
      <c r="G74" s="160" t="s">
        <v>124</v>
      </c>
      <c r="H74" s="151">
        <f>KK3.1!S202</f>
        <v>3</v>
      </c>
      <c r="I74" s="151">
        <f>KK3.2!N203</f>
        <v>3</v>
      </c>
      <c r="J74" s="151">
        <f>KK3.3!N202</f>
        <v>3</v>
      </c>
      <c r="K74" s="151">
        <f>KK3.4!N257</f>
        <v>3</v>
      </c>
      <c r="L74" s="166">
        <f t="shared" si="2"/>
        <v>3</v>
      </c>
      <c r="M74" s="159"/>
      <c r="N74" s="35">
        <f t="shared" si="30"/>
        <v>3</v>
      </c>
      <c r="O74" s="154"/>
      <c r="P74" s="8" t="s">
        <v>170</v>
      </c>
    </row>
    <row r="75" ht="15.75" customHeight="1">
      <c r="A75" s="142" t="s">
        <v>213</v>
      </c>
      <c r="B75" s="50"/>
      <c r="C75" s="82">
        <v>4.0</v>
      </c>
      <c r="D75" s="50" t="s">
        <v>218</v>
      </c>
      <c r="E75" s="82" t="s">
        <v>119</v>
      </c>
      <c r="F75" s="82" t="s">
        <v>120</v>
      </c>
      <c r="G75" s="160" t="s">
        <v>124</v>
      </c>
      <c r="H75" s="151">
        <f>KK3.1!S207</f>
        <v>3</v>
      </c>
      <c r="I75" s="151">
        <f>KK3.2!N208</f>
        <v>3</v>
      </c>
      <c r="J75" s="151">
        <f>KK3.3!N207</f>
        <v>3</v>
      </c>
      <c r="K75" s="151">
        <f>KK3.4!N262</f>
        <v>3</v>
      </c>
      <c r="L75" s="152">
        <f t="shared" si="2"/>
        <v>3</v>
      </c>
      <c r="M75" s="159"/>
      <c r="N75" s="35">
        <f t="shared" si="30"/>
        <v>3</v>
      </c>
      <c r="O75" s="154"/>
      <c r="P75" s="8" t="s">
        <v>170</v>
      </c>
    </row>
    <row r="76" ht="15.75" customHeight="1">
      <c r="A76" s="142"/>
      <c r="B76" s="50"/>
      <c r="C76" s="82">
        <v>5.0</v>
      </c>
      <c r="D76" s="50" t="s">
        <v>219</v>
      </c>
      <c r="E76" s="82" t="s">
        <v>119</v>
      </c>
      <c r="F76" s="82" t="s">
        <v>124</v>
      </c>
      <c r="G76" s="160" t="s">
        <v>58</v>
      </c>
      <c r="H76" s="155"/>
      <c r="I76" s="155"/>
      <c r="J76" s="156"/>
      <c r="K76" s="151">
        <f>KK3.4!N267</f>
        <v>3</v>
      </c>
      <c r="L76" s="152">
        <f t="shared" si="2"/>
        <v>3</v>
      </c>
      <c r="M76" s="159"/>
      <c r="N76" s="35">
        <f t="shared" si="30"/>
        <v>3</v>
      </c>
      <c r="O76" s="154"/>
      <c r="P76" s="8"/>
    </row>
    <row r="77" ht="15.0" customHeight="1">
      <c r="A77" s="142" t="s">
        <v>220</v>
      </c>
      <c r="B77" s="143" t="s">
        <v>221</v>
      </c>
      <c r="C77" s="62"/>
      <c r="D77" s="63"/>
      <c r="E77" s="144"/>
      <c r="F77" s="144"/>
      <c r="G77" s="144"/>
      <c r="H77" s="146">
        <f t="shared" ref="H77:K77" si="31">H78</f>
        <v>4</v>
      </c>
      <c r="I77" s="146">
        <f t="shared" si="31"/>
        <v>2</v>
      </c>
      <c r="J77" s="146">
        <f t="shared" si="31"/>
        <v>2</v>
      </c>
      <c r="K77" s="146">
        <f t="shared" si="31"/>
        <v>4</v>
      </c>
      <c r="L77" s="157">
        <f t="shared" si="2"/>
        <v>3</v>
      </c>
      <c r="M77" s="148" t="str">
        <f>KK4_PENALTI!C30</f>
        <v>TIDAK</v>
      </c>
      <c r="N77" s="148">
        <f>IF(M77="YA",KK4_PENALTI!D30,L77)</f>
        <v>3</v>
      </c>
      <c r="O77" s="158"/>
      <c r="P77" s="8"/>
    </row>
    <row r="78" ht="15.75" customHeight="1">
      <c r="A78" s="142" t="s">
        <v>220</v>
      </c>
      <c r="B78" s="50"/>
      <c r="C78" s="82">
        <v>1.0</v>
      </c>
      <c r="D78" s="50" t="s">
        <v>222</v>
      </c>
      <c r="E78" s="82" t="s">
        <v>119</v>
      </c>
      <c r="F78" s="160" t="s">
        <v>124</v>
      </c>
      <c r="G78" s="160" t="s">
        <v>124</v>
      </c>
      <c r="H78" s="151">
        <f>KK3.1!S213</f>
        <v>4</v>
      </c>
      <c r="I78" s="151">
        <f>KK3.2!N214</f>
        <v>2</v>
      </c>
      <c r="J78" s="151">
        <f>KK3.3!N213</f>
        <v>2</v>
      </c>
      <c r="K78" s="151">
        <f>KK3.4!N273</f>
        <v>4</v>
      </c>
      <c r="L78" s="152">
        <f t="shared" si="2"/>
        <v>3</v>
      </c>
      <c r="M78" s="159"/>
      <c r="N78" s="35">
        <f>IF($M$77="YA",$N$77,L78)</f>
        <v>3</v>
      </c>
      <c r="O78" s="154"/>
      <c r="P78" s="8"/>
    </row>
    <row r="79" ht="15.0" customHeight="1">
      <c r="A79" s="142" t="s">
        <v>223</v>
      </c>
      <c r="B79" s="143" t="s">
        <v>224</v>
      </c>
      <c r="C79" s="62"/>
      <c r="D79" s="63"/>
      <c r="E79" s="144"/>
      <c r="F79" s="144"/>
      <c r="G79" s="144"/>
      <c r="H79" s="146">
        <f t="shared" ref="H79:K79" si="32">AVERAGE(H80:H82)</f>
        <v>3.333333333</v>
      </c>
      <c r="I79" s="146">
        <f t="shared" si="32"/>
        <v>3</v>
      </c>
      <c r="J79" s="146">
        <f t="shared" si="32"/>
        <v>3</v>
      </c>
      <c r="K79" s="146">
        <f t="shared" si="32"/>
        <v>3</v>
      </c>
      <c r="L79" s="157">
        <f t="shared" si="2"/>
        <v>3.083333333</v>
      </c>
      <c r="M79" s="148" t="str">
        <f>KK4_PENALTI!C32</f>
        <v>TIDAK</v>
      </c>
      <c r="N79" s="148">
        <f>IF(M79="YA",KK4_PENALTI!D32,L79)</f>
        <v>3.083333333</v>
      </c>
      <c r="O79" s="158"/>
      <c r="P79" s="8"/>
    </row>
    <row r="80" ht="15.75" customHeight="1">
      <c r="A80" s="142" t="s">
        <v>223</v>
      </c>
      <c r="B80" s="50"/>
      <c r="C80" s="82">
        <v>1.0</v>
      </c>
      <c r="D80" s="50" t="s">
        <v>225</v>
      </c>
      <c r="E80" s="82" t="s">
        <v>119</v>
      </c>
      <c r="F80" s="160" t="s">
        <v>124</v>
      </c>
      <c r="G80" s="160" t="s">
        <v>124</v>
      </c>
      <c r="H80" s="151">
        <f>KK3.1!S219</f>
        <v>4</v>
      </c>
      <c r="I80" s="151">
        <f>KK3.2!N220</f>
        <v>4</v>
      </c>
      <c r="J80" s="151">
        <f>KK3.3!N219</f>
        <v>4</v>
      </c>
      <c r="K80" s="151">
        <f>KK3.4!N279</f>
        <v>3</v>
      </c>
      <c r="L80" s="152">
        <f t="shared" si="2"/>
        <v>3.75</v>
      </c>
      <c r="M80" s="159"/>
      <c r="N80" s="35">
        <f t="shared" ref="N80:N82" si="33">IF($M$79="YA",$N$79,L80)</f>
        <v>3.75</v>
      </c>
      <c r="O80" s="154"/>
      <c r="P80" s="8"/>
    </row>
    <row r="81" ht="15.75" customHeight="1">
      <c r="A81" s="142" t="s">
        <v>223</v>
      </c>
      <c r="B81" s="50"/>
      <c r="C81" s="82">
        <v>2.0</v>
      </c>
      <c r="D81" s="50" t="s">
        <v>226</v>
      </c>
      <c r="E81" s="82" t="s">
        <v>119</v>
      </c>
      <c r="F81" s="82" t="s">
        <v>120</v>
      </c>
      <c r="G81" s="160" t="s">
        <v>124</v>
      </c>
      <c r="H81" s="151">
        <f>KK3.1!S224</f>
        <v>3</v>
      </c>
      <c r="I81" s="151">
        <f>KK3.2!N225</f>
        <v>2</v>
      </c>
      <c r="J81" s="151">
        <f>KK3.3!N224</f>
        <v>2</v>
      </c>
      <c r="K81" s="151">
        <f>KK3.4!N284</f>
        <v>3</v>
      </c>
      <c r="L81" s="152">
        <f t="shared" si="2"/>
        <v>2.5</v>
      </c>
      <c r="M81" s="159"/>
      <c r="N81" s="35">
        <f t="shared" si="33"/>
        <v>2.5</v>
      </c>
      <c r="O81" s="154"/>
      <c r="P81" s="8" t="s">
        <v>170</v>
      </c>
    </row>
    <row r="82" ht="15.75" customHeight="1">
      <c r="A82" s="142" t="s">
        <v>223</v>
      </c>
      <c r="B82" s="50"/>
      <c r="C82" s="82">
        <v>3.0</v>
      </c>
      <c r="D82" s="50" t="s">
        <v>227</v>
      </c>
      <c r="E82" s="82" t="s">
        <v>119</v>
      </c>
      <c r="F82" s="82" t="s">
        <v>120</v>
      </c>
      <c r="G82" s="160" t="s">
        <v>124</v>
      </c>
      <c r="H82" s="151">
        <f>KK3.1!S229</f>
        <v>3</v>
      </c>
      <c r="I82" s="151">
        <f>KK3.2!N230</f>
        <v>3</v>
      </c>
      <c r="J82" s="151">
        <f>KK3.3!N229</f>
        <v>3</v>
      </c>
      <c r="K82" s="151">
        <f>KK3.4!N289</f>
        <v>3</v>
      </c>
      <c r="L82" s="166">
        <f t="shared" si="2"/>
        <v>3</v>
      </c>
      <c r="M82" s="159"/>
      <c r="N82" s="35">
        <f t="shared" si="33"/>
        <v>3</v>
      </c>
      <c r="O82" s="154"/>
      <c r="P82" s="8" t="s">
        <v>170</v>
      </c>
    </row>
    <row r="83" ht="15.0" customHeight="1">
      <c r="A83" s="142" t="s">
        <v>228</v>
      </c>
      <c r="B83" s="143" t="s">
        <v>229</v>
      </c>
      <c r="C83" s="62"/>
      <c r="D83" s="63"/>
      <c r="E83" s="144"/>
      <c r="F83" s="144"/>
      <c r="G83" s="144"/>
      <c r="H83" s="146">
        <f t="shared" ref="H83:K83" si="34">AVERAGE(H84:H85)</f>
        <v>3.5</v>
      </c>
      <c r="I83" s="146">
        <f t="shared" si="34"/>
        <v>2.5</v>
      </c>
      <c r="J83" s="146">
        <f t="shared" si="34"/>
        <v>2.5</v>
      </c>
      <c r="K83" s="146">
        <f t="shared" si="34"/>
        <v>2</v>
      </c>
      <c r="L83" s="157">
        <f t="shared" si="2"/>
        <v>2.625</v>
      </c>
      <c r="M83" s="148" t="str">
        <f>KK4_PENALTI!C33</f>
        <v>TIDAK</v>
      </c>
      <c r="N83" s="148">
        <f>IF(M83="YA",KK4_PENALTI!D33,L83)</f>
        <v>2.625</v>
      </c>
      <c r="O83" s="158"/>
      <c r="P83" s="8"/>
    </row>
    <row r="84" ht="15.75" customHeight="1">
      <c r="A84" s="142" t="s">
        <v>228</v>
      </c>
      <c r="B84" s="50"/>
      <c r="C84" s="82">
        <v>1.0</v>
      </c>
      <c r="D84" s="50" t="s">
        <v>230</v>
      </c>
      <c r="E84" s="82" t="s">
        <v>119</v>
      </c>
      <c r="F84" s="160" t="s">
        <v>124</v>
      </c>
      <c r="G84" s="160" t="s">
        <v>124</v>
      </c>
      <c r="H84" s="151">
        <f>KK3.1!S235</f>
        <v>4</v>
      </c>
      <c r="I84" s="151">
        <f>KK3.2!N236</f>
        <v>3</v>
      </c>
      <c r="J84" s="151">
        <f>KK3.3!N235</f>
        <v>3</v>
      </c>
      <c r="K84" s="151">
        <f>KK3.4!N295</f>
        <v>2</v>
      </c>
      <c r="L84" s="152">
        <f t="shared" si="2"/>
        <v>3</v>
      </c>
      <c r="M84" s="159"/>
      <c r="N84" s="35">
        <f t="shared" ref="N84:N85" si="35">IF($M$83="YA",$N$83,L84)</f>
        <v>3</v>
      </c>
      <c r="O84" s="154"/>
      <c r="P84" s="8"/>
    </row>
    <row r="85" ht="15.75" customHeight="1">
      <c r="A85" s="169" t="s">
        <v>228</v>
      </c>
      <c r="B85" s="170"/>
      <c r="C85" s="108">
        <v>2.0</v>
      </c>
      <c r="D85" s="170" t="s">
        <v>231</v>
      </c>
      <c r="E85" s="108" t="s">
        <v>119</v>
      </c>
      <c r="F85" s="108" t="s">
        <v>120</v>
      </c>
      <c r="G85" s="171" t="s">
        <v>124</v>
      </c>
      <c r="H85" s="172">
        <f>KK3.1!S240</f>
        <v>3</v>
      </c>
      <c r="I85" s="172">
        <f>KK3.2!N241</f>
        <v>2</v>
      </c>
      <c r="J85" s="172">
        <f>KK3.3!N240</f>
        <v>2</v>
      </c>
      <c r="K85" s="172">
        <f>KK3.4!N300</f>
        <v>2</v>
      </c>
      <c r="L85" s="173">
        <f t="shared" si="2"/>
        <v>2.25</v>
      </c>
      <c r="M85" s="174"/>
      <c r="N85" s="175">
        <f t="shared" si="35"/>
        <v>2.25</v>
      </c>
      <c r="O85" s="176"/>
      <c r="P85" s="177" t="s">
        <v>170</v>
      </c>
    </row>
  </sheetData>
  <autoFilter ref="$A$5:$P$85"/>
  <mergeCells count="29">
    <mergeCell ref="A1:O1"/>
    <mergeCell ref="A2:K2"/>
    <mergeCell ref="M2:O2"/>
    <mergeCell ref="E3:G3"/>
    <mergeCell ref="B6:D6"/>
    <mergeCell ref="B15:D15"/>
    <mergeCell ref="B17:D17"/>
    <mergeCell ref="B25:D25"/>
    <mergeCell ref="B27:D27"/>
    <mergeCell ref="B29:D29"/>
    <mergeCell ref="B33:D33"/>
    <mergeCell ref="B35:D35"/>
    <mergeCell ref="B38:D38"/>
    <mergeCell ref="B42:D42"/>
    <mergeCell ref="B63:D63"/>
    <mergeCell ref="B65:D65"/>
    <mergeCell ref="B67:D67"/>
    <mergeCell ref="B69:D69"/>
    <mergeCell ref="B71:D71"/>
    <mergeCell ref="B77:D77"/>
    <mergeCell ref="B79:D79"/>
    <mergeCell ref="B83:D83"/>
    <mergeCell ref="B49:D49"/>
    <mergeCell ref="B51:D51"/>
    <mergeCell ref="B53:D53"/>
    <mergeCell ref="B55:D55"/>
    <mergeCell ref="B57:D57"/>
    <mergeCell ref="B59:D59"/>
    <mergeCell ref="B61:D61"/>
  </mergeCells>
  <printOptions/>
  <pageMargins bottom="0.75" footer="0.0" header="0.0" left="0.699305555555556" right="0.699305555555556"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4" max="4" width="81.22"/>
    <col customWidth="1" min="9" max="9" width="14.56"/>
    <col customWidth="1" min="13" max="13" width="32.89"/>
  </cols>
  <sheetData>
    <row r="2">
      <c r="A2" s="131" t="s">
        <v>106</v>
      </c>
      <c r="B2" s="132" t="s">
        <v>107</v>
      </c>
      <c r="C2" s="132" t="s">
        <v>108</v>
      </c>
      <c r="D2" s="132" t="s">
        <v>109</v>
      </c>
      <c r="E2" s="132" t="s">
        <v>111</v>
      </c>
      <c r="F2" s="132" t="s">
        <v>112</v>
      </c>
      <c r="G2" s="132" t="s">
        <v>113</v>
      </c>
      <c r="H2" s="132" t="s">
        <v>114</v>
      </c>
      <c r="I2" s="132" t="s">
        <v>115</v>
      </c>
    </row>
    <row r="3">
      <c r="A3" s="137"/>
      <c r="B3" s="138"/>
      <c r="C3" s="138"/>
      <c r="D3" s="138"/>
      <c r="E3" s="138"/>
      <c r="F3" s="138"/>
      <c r="G3" s="138"/>
      <c r="H3" s="138"/>
      <c r="I3" s="138"/>
    </row>
    <row r="4">
      <c r="A4" s="137"/>
      <c r="B4" s="138"/>
      <c r="C4" s="138"/>
      <c r="D4" s="138"/>
      <c r="E4" s="138"/>
      <c r="F4" s="138"/>
      <c r="G4" s="138"/>
      <c r="H4" s="138"/>
      <c r="I4" s="138"/>
    </row>
    <row r="5">
      <c r="A5" s="178" t="s">
        <v>121</v>
      </c>
      <c r="B5" s="179" t="s">
        <v>122</v>
      </c>
      <c r="C5" s="62"/>
      <c r="D5" s="63"/>
      <c r="E5" s="180">
        <v>3.0</v>
      </c>
      <c r="F5" s="180">
        <v>5.0</v>
      </c>
      <c r="G5" s="180">
        <v>5.0</v>
      </c>
      <c r="H5" s="180">
        <v>3.375</v>
      </c>
      <c r="I5" s="146">
        <f t="shared" ref="I5:I7" si="1">AVERAGE(E5:H5)</f>
        <v>4.09375</v>
      </c>
      <c r="J5" s="181">
        <f>AVERAGE(I5:I21)</f>
        <v>3.55859375</v>
      </c>
      <c r="K5" s="182"/>
    </row>
    <row r="6">
      <c r="A6" s="178" t="s">
        <v>132</v>
      </c>
      <c r="B6" s="179" t="s">
        <v>133</v>
      </c>
      <c r="C6" s="62"/>
      <c r="D6" s="63"/>
      <c r="E6" s="180">
        <v>4.0</v>
      </c>
      <c r="F6" s="180">
        <v>3.0</v>
      </c>
      <c r="G6" s="180">
        <v>3.0</v>
      </c>
      <c r="H6" s="180">
        <v>4.0</v>
      </c>
      <c r="I6" s="146">
        <f t="shared" si="1"/>
        <v>3.5</v>
      </c>
      <c r="J6" s="182"/>
      <c r="K6" s="182"/>
    </row>
    <row r="7">
      <c r="A7" s="178" t="s">
        <v>135</v>
      </c>
      <c r="B7" s="179" t="s">
        <v>136</v>
      </c>
      <c r="C7" s="62"/>
      <c r="D7" s="63"/>
      <c r="E7" s="183">
        <f t="shared" ref="E7:H7" si="2">AVERAGE(E8:E11)</f>
        <v>3.25</v>
      </c>
      <c r="F7" s="183">
        <f t="shared" si="2"/>
        <v>3</v>
      </c>
      <c r="G7" s="183">
        <f t="shared" si="2"/>
        <v>2.75</v>
      </c>
      <c r="H7" s="183">
        <f t="shared" si="2"/>
        <v>3</v>
      </c>
      <c r="I7" s="146">
        <f t="shared" si="1"/>
        <v>3</v>
      </c>
      <c r="K7" s="182"/>
    </row>
    <row r="8" ht="23.25" customHeight="1">
      <c r="A8" s="178" t="s">
        <v>135</v>
      </c>
      <c r="B8" s="184"/>
      <c r="C8" s="168">
        <v>1.0</v>
      </c>
      <c r="D8" s="167" t="s">
        <v>137</v>
      </c>
      <c r="E8" s="180">
        <v>4.0</v>
      </c>
      <c r="F8" s="180">
        <v>4.0</v>
      </c>
      <c r="G8" s="180">
        <v>3.0</v>
      </c>
      <c r="H8" s="180">
        <v>3.0</v>
      </c>
      <c r="I8" s="166"/>
      <c r="J8" s="182"/>
      <c r="K8" s="182"/>
    </row>
    <row r="9">
      <c r="A9" s="178" t="s">
        <v>135</v>
      </c>
      <c r="B9" s="184"/>
      <c r="C9" s="168">
        <v>2.0</v>
      </c>
      <c r="D9" s="167" t="s">
        <v>138</v>
      </c>
      <c r="E9" s="180">
        <v>3.0</v>
      </c>
      <c r="F9" s="180">
        <v>3.0</v>
      </c>
      <c r="G9" s="180">
        <v>3.0</v>
      </c>
      <c r="H9" s="180">
        <v>3.0</v>
      </c>
      <c r="I9" s="166"/>
      <c r="J9" s="182"/>
      <c r="K9" s="182"/>
    </row>
    <row r="10">
      <c r="A10" s="178" t="s">
        <v>135</v>
      </c>
      <c r="B10" s="184"/>
      <c r="C10" s="168">
        <v>3.0</v>
      </c>
      <c r="D10" s="167" t="s">
        <v>140</v>
      </c>
      <c r="E10" s="180">
        <v>3.0</v>
      </c>
      <c r="F10" s="180">
        <v>2.0</v>
      </c>
      <c r="G10" s="180">
        <v>2.0</v>
      </c>
      <c r="H10" s="180">
        <v>3.0</v>
      </c>
      <c r="I10" s="166"/>
      <c r="J10" s="182"/>
      <c r="K10" s="182"/>
      <c r="M10" s="185" t="s">
        <v>16</v>
      </c>
      <c r="N10" s="1">
        <f>J5</f>
        <v>3.55859375</v>
      </c>
    </row>
    <row r="11">
      <c r="A11" s="178" t="s">
        <v>135</v>
      </c>
      <c r="B11" s="186"/>
      <c r="C11" s="187">
        <v>4.0</v>
      </c>
      <c r="D11" s="188" t="s">
        <v>141</v>
      </c>
      <c r="E11" s="180">
        <v>3.0</v>
      </c>
      <c r="F11" s="180">
        <v>3.0</v>
      </c>
      <c r="G11" s="180">
        <v>3.0</v>
      </c>
      <c r="H11" s="180">
        <v>3.0</v>
      </c>
      <c r="I11" s="189"/>
      <c r="J11" s="182"/>
      <c r="K11" s="182"/>
      <c r="M11" s="185" t="s">
        <v>99</v>
      </c>
      <c r="N11" s="1">
        <f>J22</f>
        <v>2.891666667</v>
      </c>
    </row>
    <row r="12">
      <c r="A12" s="178" t="s">
        <v>145</v>
      </c>
      <c r="B12" s="179" t="s">
        <v>146</v>
      </c>
      <c r="C12" s="62"/>
      <c r="D12" s="63"/>
      <c r="E12" s="180">
        <v>4.0</v>
      </c>
      <c r="F12" s="180">
        <v>4.0</v>
      </c>
      <c r="G12" s="180">
        <v>4.0</v>
      </c>
      <c r="H12" s="180">
        <v>3.0</v>
      </c>
      <c r="I12" s="146">
        <f t="shared" ref="I12:I14" si="3">AVERAGE(E12:H12)</f>
        <v>3.75</v>
      </c>
      <c r="J12" s="182"/>
      <c r="K12" s="182"/>
      <c r="M12" s="185" t="s">
        <v>28</v>
      </c>
      <c r="N12" s="1">
        <f>J32</f>
        <v>3.568181818</v>
      </c>
    </row>
    <row r="13" ht="15.0" customHeight="1">
      <c r="A13" s="178" t="s">
        <v>148</v>
      </c>
      <c r="B13" s="179" t="s">
        <v>149</v>
      </c>
      <c r="C13" s="62"/>
      <c r="D13" s="63"/>
      <c r="E13" s="180">
        <v>5.0</v>
      </c>
      <c r="F13" s="180">
        <v>5.0</v>
      </c>
      <c r="G13" s="180">
        <v>5.0</v>
      </c>
      <c r="H13" s="180">
        <v>4.0</v>
      </c>
      <c r="I13" s="146">
        <f t="shared" si="3"/>
        <v>4.75</v>
      </c>
      <c r="J13" s="190"/>
      <c r="K13" s="190"/>
      <c r="L13" s="190"/>
      <c r="M13" s="8" t="s">
        <v>40</v>
      </c>
      <c r="N13" s="1">
        <f>J43</f>
        <v>3.03125</v>
      </c>
    </row>
    <row r="14">
      <c r="A14" s="178" t="s">
        <v>151</v>
      </c>
      <c r="B14" s="179" t="s">
        <v>152</v>
      </c>
      <c r="C14" s="62"/>
      <c r="D14" s="63"/>
      <c r="E14" s="183">
        <f t="shared" ref="E14:H14" si="4">AVERAGE(E15:E17)</f>
        <v>3</v>
      </c>
      <c r="F14" s="183">
        <f t="shared" si="4"/>
        <v>2</v>
      </c>
      <c r="G14" s="183">
        <f t="shared" si="4"/>
        <v>3</v>
      </c>
      <c r="H14" s="183">
        <f t="shared" si="4"/>
        <v>3</v>
      </c>
      <c r="I14" s="146">
        <f t="shared" si="3"/>
        <v>2.75</v>
      </c>
      <c r="J14" s="182"/>
      <c r="K14" s="182"/>
      <c r="M14" s="185" t="s">
        <v>100</v>
      </c>
      <c r="N14" s="1">
        <f>J49</f>
        <v>2.854166667</v>
      </c>
    </row>
    <row r="15">
      <c r="A15" s="178" t="s">
        <v>151</v>
      </c>
      <c r="B15" s="167"/>
      <c r="C15" s="168">
        <v>1.0</v>
      </c>
      <c r="D15" s="167" t="s">
        <v>153</v>
      </c>
      <c r="E15" s="180">
        <v>3.0</v>
      </c>
      <c r="F15" s="180">
        <v>2.0</v>
      </c>
      <c r="G15" s="180">
        <v>5.0</v>
      </c>
      <c r="H15" s="180">
        <v>3.0</v>
      </c>
      <c r="I15" s="189"/>
      <c r="J15" s="182"/>
      <c r="K15" s="182"/>
    </row>
    <row r="16">
      <c r="A16" s="178" t="s">
        <v>151</v>
      </c>
      <c r="B16" s="167"/>
      <c r="C16" s="168">
        <v>2.0</v>
      </c>
      <c r="D16" s="167" t="s">
        <v>154</v>
      </c>
      <c r="E16" s="180">
        <v>3.0</v>
      </c>
      <c r="F16" s="180">
        <v>2.0</v>
      </c>
      <c r="G16" s="180">
        <v>2.0</v>
      </c>
      <c r="H16" s="180">
        <v>3.0</v>
      </c>
      <c r="I16" s="189"/>
      <c r="J16" s="182"/>
      <c r="K16" s="182"/>
    </row>
    <row r="17">
      <c r="A17" s="178" t="s">
        <v>151</v>
      </c>
      <c r="B17" s="167"/>
      <c r="C17" s="168">
        <v>3.0</v>
      </c>
      <c r="D17" s="167" t="s">
        <v>156</v>
      </c>
      <c r="E17" s="180">
        <v>3.0</v>
      </c>
      <c r="F17" s="180">
        <v>2.0</v>
      </c>
      <c r="G17" s="180">
        <v>2.0</v>
      </c>
      <c r="H17" s="180">
        <v>3.0</v>
      </c>
      <c r="I17" s="189"/>
      <c r="J17" s="182"/>
      <c r="K17" s="182"/>
    </row>
    <row r="18" ht="15.0" customHeight="1">
      <c r="A18" s="178" t="s">
        <v>157</v>
      </c>
      <c r="B18" s="179" t="s">
        <v>158</v>
      </c>
      <c r="C18" s="62"/>
      <c r="D18" s="63"/>
      <c r="E18" s="180">
        <v>3.0</v>
      </c>
      <c r="F18" s="180">
        <v>3.0</v>
      </c>
      <c r="G18" s="180">
        <v>3.0</v>
      </c>
      <c r="H18" s="180">
        <v>3.0</v>
      </c>
      <c r="I18" s="146">
        <f t="shared" ref="I18:I19" si="6">AVERAGE(E18:H18)</f>
        <v>3</v>
      </c>
      <c r="J18" s="190"/>
      <c r="K18" s="190"/>
      <c r="L18" s="190"/>
      <c r="M18" s="8"/>
    </row>
    <row r="19">
      <c r="A19" s="178" t="s">
        <v>160</v>
      </c>
      <c r="B19" s="179" t="s">
        <v>161</v>
      </c>
      <c r="C19" s="62"/>
      <c r="D19" s="63"/>
      <c r="E19" s="183">
        <f t="shared" ref="E19:H19" si="5">AVERAGE(E20:E21)</f>
        <v>3</v>
      </c>
      <c r="F19" s="183">
        <f t="shared" si="5"/>
        <v>4</v>
      </c>
      <c r="G19" s="183">
        <f t="shared" si="5"/>
        <v>4</v>
      </c>
      <c r="H19" s="183">
        <f t="shared" si="5"/>
        <v>3.5</v>
      </c>
      <c r="I19" s="146">
        <f t="shared" si="6"/>
        <v>3.625</v>
      </c>
      <c r="J19" s="182"/>
      <c r="K19" s="182"/>
    </row>
    <row r="20">
      <c r="A20" s="178" t="s">
        <v>160</v>
      </c>
      <c r="B20" s="168"/>
      <c r="C20" s="168">
        <v>1.0</v>
      </c>
      <c r="D20" s="167" t="s">
        <v>162</v>
      </c>
      <c r="E20" s="180">
        <v>3.0</v>
      </c>
      <c r="F20" s="180">
        <v>5.0</v>
      </c>
      <c r="G20" s="180">
        <v>5.0</v>
      </c>
      <c r="H20" s="180">
        <v>4.0</v>
      </c>
      <c r="I20" s="189"/>
      <c r="J20" s="182"/>
      <c r="K20" s="182"/>
    </row>
    <row r="21">
      <c r="A21" s="178" t="s">
        <v>160</v>
      </c>
      <c r="B21" s="168"/>
      <c r="C21" s="168">
        <v>2.0</v>
      </c>
      <c r="D21" s="167" t="s">
        <v>163</v>
      </c>
      <c r="E21" s="180">
        <v>3.0</v>
      </c>
      <c r="F21" s="180">
        <v>3.0</v>
      </c>
      <c r="G21" s="180">
        <v>3.0</v>
      </c>
      <c r="H21" s="180">
        <v>3.0</v>
      </c>
      <c r="I21" s="189"/>
      <c r="J21" s="182"/>
      <c r="K21" s="182"/>
    </row>
    <row r="22">
      <c r="A22" s="178" t="s">
        <v>165</v>
      </c>
      <c r="B22" s="179" t="s">
        <v>166</v>
      </c>
      <c r="C22" s="62"/>
      <c r="D22" s="63"/>
      <c r="E22" s="183">
        <f t="shared" ref="E22:H22" si="7">AVERAGE(E23:E25)</f>
        <v>4</v>
      </c>
      <c r="F22" s="183">
        <f t="shared" si="7"/>
        <v>2.333333333</v>
      </c>
      <c r="G22" s="183">
        <f t="shared" si="7"/>
        <v>2.333333333</v>
      </c>
      <c r="H22" s="183">
        <f t="shared" si="7"/>
        <v>2.666666667</v>
      </c>
      <c r="I22" s="146">
        <f>AVERAGE(E22:H22)</f>
        <v>2.833333333</v>
      </c>
      <c r="J22" s="181">
        <f>AVERAGE(I22:I31)</f>
        <v>2.891666667</v>
      </c>
      <c r="K22" s="182"/>
    </row>
    <row r="23">
      <c r="A23" s="178" t="s">
        <v>165</v>
      </c>
      <c r="B23" s="167"/>
      <c r="C23" s="168">
        <v>1.0</v>
      </c>
      <c r="D23" s="167" t="s">
        <v>167</v>
      </c>
      <c r="E23" s="180">
        <v>4.0</v>
      </c>
      <c r="F23" s="180">
        <v>2.0</v>
      </c>
      <c r="G23" s="180">
        <v>2.0</v>
      </c>
      <c r="H23" s="180">
        <v>4.0</v>
      </c>
      <c r="I23" s="189"/>
      <c r="J23" s="182"/>
      <c r="K23" s="182"/>
    </row>
    <row r="24">
      <c r="A24" s="178" t="s">
        <v>165</v>
      </c>
      <c r="B24" s="167"/>
      <c r="C24" s="168">
        <v>2.0</v>
      </c>
      <c r="D24" s="167" t="s">
        <v>169</v>
      </c>
      <c r="E24" s="180">
        <v>4.0</v>
      </c>
      <c r="F24" s="180">
        <v>3.0</v>
      </c>
      <c r="G24" s="180">
        <v>3.0</v>
      </c>
      <c r="H24" s="180">
        <v>2.0</v>
      </c>
      <c r="I24" s="189"/>
      <c r="J24" s="182"/>
      <c r="K24" s="182"/>
    </row>
    <row r="25">
      <c r="A25" s="178" t="s">
        <v>165</v>
      </c>
      <c r="B25" s="167"/>
      <c r="C25" s="168">
        <v>3.0</v>
      </c>
      <c r="D25" s="167" t="s">
        <v>171</v>
      </c>
      <c r="E25" s="180">
        <v>4.0</v>
      </c>
      <c r="F25" s="180">
        <v>2.0</v>
      </c>
      <c r="G25" s="180">
        <v>2.0</v>
      </c>
      <c r="H25" s="180">
        <v>2.0</v>
      </c>
      <c r="I25" s="189"/>
      <c r="J25" s="182"/>
      <c r="K25" s="182"/>
    </row>
    <row r="26">
      <c r="A26" s="178" t="s">
        <v>172</v>
      </c>
      <c r="B26" s="179" t="s">
        <v>173</v>
      </c>
      <c r="C26" s="62"/>
      <c r="D26" s="63"/>
      <c r="E26" s="183">
        <f t="shared" ref="E26:H26" si="8">AVERAGE(E27:E31)</f>
        <v>3.6</v>
      </c>
      <c r="F26" s="183">
        <f t="shared" si="8"/>
        <v>2.6</v>
      </c>
      <c r="G26" s="183">
        <f t="shared" si="8"/>
        <v>2.6</v>
      </c>
      <c r="H26" s="183">
        <f t="shared" si="8"/>
        <v>3</v>
      </c>
      <c r="I26" s="146">
        <f>AVERAGE(E26:H26)</f>
        <v>2.95</v>
      </c>
      <c r="J26" s="182"/>
      <c r="K26" s="182"/>
    </row>
    <row r="27">
      <c r="A27" s="178" t="s">
        <v>172</v>
      </c>
      <c r="B27" s="167"/>
      <c r="C27" s="168">
        <v>1.0</v>
      </c>
      <c r="D27" s="167" t="s">
        <v>174</v>
      </c>
      <c r="E27" s="180">
        <v>4.0</v>
      </c>
      <c r="F27" s="180">
        <v>3.0</v>
      </c>
      <c r="G27" s="180">
        <v>3.0</v>
      </c>
      <c r="H27" s="180">
        <v>3.0</v>
      </c>
      <c r="I27" s="189"/>
      <c r="J27" s="182"/>
      <c r="K27" s="182"/>
    </row>
    <row r="28">
      <c r="A28" s="178" t="s">
        <v>172</v>
      </c>
      <c r="B28" s="167"/>
      <c r="C28" s="168">
        <v>2.0</v>
      </c>
      <c r="D28" s="167" t="s">
        <v>175</v>
      </c>
      <c r="E28" s="180">
        <v>4.0</v>
      </c>
      <c r="F28" s="180">
        <v>3.0</v>
      </c>
      <c r="G28" s="180">
        <v>3.0</v>
      </c>
      <c r="H28" s="180">
        <v>4.0</v>
      </c>
      <c r="I28" s="189"/>
      <c r="J28" s="182"/>
      <c r="K28" s="182"/>
    </row>
    <row r="29">
      <c r="A29" s="178" t="s">
        <v>172</v>
      </c>
      <c r="B29" s="167"/>
      <c r="C29" s="168">
        <v>3.0</v>
      </c>
      <c r="D29" s="167" t="s">
        <v>176</v>
      </c>
      <c r="E29" s="180">
        <v>4.0</v>
      </c>
      <c r="F29" s="180">
        <v>3.0</v>
      </c>
      <c r="G29" s="180">
        <v>3.0</v>
      </c>
      <c r="H29" s="180">
        <v>3.0</v>
      </c>
      <c r="I29" s="189"/>
      <c r="J29" s="182"/>
      <c r="K29" s="182"/>
    </row>
    <row r="30">
      <c r="A30" s="178" t="s">
        <v>172</v>
      </c>
      <c r="B30" s="167"/>
      <c r="C30" s="168">
        <v>4.0</v>
      </c>
      <c r="D30" s="167" t="s">
        <v>177</v>
      </c>
      <c r="E30" s="180">
        <v>3.0</v>
      </c>
      <c r="F30" s="180">
        <v>3.0</v>
      </c>
      <c r="G30" s="180">
        <v>3.0</v>
      </c>
      <c r="H30" s="180">
        <v>3.0</v>
      </c>
      <c r="I30" s="189"/>
      <c r="J30" s="182"/>
      <c r="K30" s="182"/>
    </row>
    <row r="31">
      <c r="A31" s="178" t="s">
        <v>172</v>
      </c>
      <c r="B31" s="167"/>
      <c r="C31" s="168">
        <v>5.0</v>
      </c>
      <c r="D31" s="167" t="s">
        <v>178</v>
      </c>
      <c r="E31" s="180">
        <v>3.0</v>
      </c>
      <c r="F31" s="180">
        <v>1.0</v>
      </c>
      <c r="G31" s="180">
        <v>1.0</v>
      </c>
      <c r="H31" s="180">
        <v>2.0</v>
      </c>
      <c r="I31" s="189"/>
      <c r="J31" s="182"/>
      <c r="K31" s="182"/>
    </row>
    <row r="32">
      <c r="A32" s="178" t="s">
        <v>180</v>
      </c>
      <c r="B32" s="179" t="s">
        <v>181</v>
      </c>
      <c r="C32" s="62"/>
      <c r="D32" s="63"/>
      <c r="E32" s="180">
        <v>3.0</v>
      </c>
      <c r="F32" s="180">
        <v>3.0</v>
      </c>
      <c r="G32" s="180">
        <v>3.0</v>
      </c>
      <c r="H32" s="180">
        <v>3.0</v>
      </c>
      <c r="I32" s="146">
        <f t="shared" ref="I32:I43" si="9">AVERAGE(E32:H32)</f>
        <v>3</v>
      </c>
      <c r="J32" s="181">
        <f>AVERAGE(I32:I42)</f>
        <v>3.568181818</v>
      </c>
      <c r="K32" s="182"/>
    </row>
    <row r="33">
      <c r="A33" s="178" t="s">
        <v>183</v>
      </c>
      <c r="B33" s="179" t="s">
        <v>184</v>
      </c>
      <c r="C33" s="62"/>
      <c r="D33" s="63"/>
      <c r="E33" s="180">
        <v>4.0</v>
      </c>
      <c r="F33" s="180">
        <v>5.0</v>
      </c>
      <c r="G33" s="180">
        <v>4.0</v>
      </c>
      <c r="H33" s="180">
        <v>3.0</v>
      </c>
      <c r="I33" s="146">
        <f t="shared" si="9"/>
        <v>4</v>
      </c>
      <c r="J33" s="182"/>
      <c r="K33" s="182"/>
    </row>
    <row r="34">
      <c r="A34" s="178" t="s">
        <v>186</v>
      </c>
      <c r="B34" s="179" t="s">
        <v>187</v>
      </c>
      <c r="C34" s="62"/>
      <c r="D34" s="63"/>
      <c r="E34" s="180">
        <v>4.0</v>
      </c>
      <c r="F34" s="180">
        <v>3.0</v>
      </c>
      <c r="G34" s="180">
        <v>3.0</v>
      </c>
      <c r="H34" s="180">
        <v>4.0</v>
      </c>
      <c r="I34" s="146">
        <f t="shared" si="9"/>
        <v>3.5</v>
      </c>
      <c r="J34" s="182"/>
      <c r="K34" s="182"/>
    </row>
    <row r="35">
      <c r="A35" s="178" t="s">
        <v>189</v>
      </c>
      <c r="B35" s="179" t="s">
        <v>190</v>
      </c>
      <c r="C35" s="62"/>
      <c r="D35" s="63"/>
      <c r="E35" s="180">
        <v>4.0</v>
      </c>
      <c r="F35" s="180">
        <v>4.0</v>
      </c>
      <c r="G35" s="180">
        <v>5.0</v>
      </c>
      <c r="H35" s="180">
        <v>3.0</v>
      </c>
      <c r="I35" s="146">
        <f t="shared" si="9"/>
        <v>4</v>
      </c>
      <c r="J35" s="182"/>
      <c r="K35" s="182"/>
    </row>
    <row r="36">
      <c r="A36" s="178" t="s">
        <v>192</v>
      </c>
      <c r="B36" s="179" t="s">
        <v>193</v>
      </c>
      <c r="C36" s="62"/>
      <c r="D36" s="63"/>
      <c r="E36" s="180">
        <v>4.0</v>
      </c>
      <c r="F36" s="180">
        <v>3.0</v>
      </c>
      <c r="G36" s="180">
        <v>3.0</v>
      </c>
      <c r="H36" s="180">
        <v>4.0</v>
      </c>
      <c r="I36" s="146">
        <f t="shared" si="9"/>
        <v>3.5</v>
      </c>
      <c r="J36" s="182"/>
      <c r="K36" s="182"/>
    </row>
    <row r="37">
      <c r="A37" s="178" t="s">
        <v>195</v>
      </c>
      <c r="B37" s="179" t="s">
        <v>196</v>
      </c>
      <c r="C37" s="62"/>
      <c r="D37" s="63"/>
      <c r="E37" s="180">
        <v>4.0</v>
      </c>
      <c r="F37" s="180">
        <v>3.0</v>
      </c>
      <c r="G37" s="180">
        <v>3.0</v>
      </c>
      <c r="H37" s="180">
        <v>3.0</v>
      </c>
      <c r="I37" s="146">
        <f t="shared" si="9"/>
        <v>3.25</v>
      </c>
      <c r="J37" s="182"/>
      <c r="K37" s="182"/>
    </row>
    <row r="38">
      <c r="A38" s="178" t="s">
        <v>198</v>
      </c>
      <c r="B38" s="179" t="s">
        <v>199</v>
      </c>
      <c r="C38" s="62"/>
      <c r="D38" s="63"/>
      <c r="E38" s="180">
        <v>4.0</v>
      </c>
      <c r="F38" s="180">
        <v>3.0</v>
      </c>
      <c r="G38" s="180">
        <v>3.0</v>
      </c>
      <c r="H38" s="180">
        <v>3.0</v>
      </c>
      <c r="I38" s="146">
        <f t="shared" si="9"/>
        <v>3.25</v>
      </c>
      <c r="J38" s="182"/>
      <c r="K38" s="182"/>
    </row>
    <row r="39">
      <c r="A39" s="178" t="s">
        <v>201</v>
      </c>
      <c r="B39" s="179" t="s">
        <v>202</v>
      </c>
      <c r="C39" s="62"/>
      <c r="D39" s="63"/>
      <c r="E39" s="180">
        <v>5.0</v>
      </c>
      <c r="F39" s="180">
        <v>4.0</v>
      </c>
      <c r="G39" s="180">
        <v>3.0</v>
      </c>
      <c r="H39" s="180">
        <v>4.0</v>
      </c>
      <c r="I39" s="146">
        <f t="shared" si="9"/>
        <v>4</v>
      </c>
      <c r="J39" s="182"/>
      <c r="K39" s="182"/>
    </row>
    <row r="40">
      <c r="A40" s="178" t="s">
        <v>204</v>
      </c>
      <c r="B40" s="179" t="s">
        <v>205</v>
      </c>
      <c r="C40" s="62"/>
      <c r="D40" s="63"/>
      <c r="E40" s="180">
        <v>3.0</v>
      </c>
      <c r="F40" s="180">
        <v>3.0</v>
      </c>
      <c r="G40" s="180">
        <v>4.0</v>
      </c>
      <c r="H40" s="180">
        <v>4.0</v>
      </c>
      <c r="I40" s="146">
        <f t="shared" si="9"/>
        <v>3.5</v>
      </c>
      <c r="J40" s="182"/>
      <c r="K40" s="182"/>
    </row>
    <row r="41">
      <c r="A41" s="178" t="s">
        <v>207</v>
      </c>
      <c r="B41" s="179" t="s">
        <v>208</v>
      </c>
      <c r="C41" s="62"/>
      <c r="D41" s="63"/>
      <c r="E41" s="180">
        <v>5.0</v>
      </c>
      <c r="F41" s="180">
        <v>3.0</v>
      </c>
      <c r="G41" s="180">
        <v>3.0</v>
      </c>
      <c r="H41" s="180">
        <v>4.0</v>
      </c>
      <c r="I41" s="146">
        <f t="shared" si="9"/>
        <v>3.75</v>
      </c>
      <c r="J41" s="182"/>
      <c r="K41" s="182"/>
    </row>
    <row r="42">
      <c r="A42" s="178" t="s">
        <v>210</v>
      </c>
      <c r="B42" s="179" t="s">
        <v>211</v>
      </c>
      <c r="C42" s="62"/>
      <c r="D42" s="63"/>
      <c r="E42" s="180">
        <v>3.0</v>
      </c>
      <c r="F42" s="180">
        <v>4.0</v>
      </c>
      <c r="G42" s="180">
        <v>4.0</v>
      </c>
      <c r="H42" s="180">
        <v>3.0</v>
      </c>
      <c r="I42" s="146">
        <f t="shared" si="9"/>
        <v>3.5</v>
      </c>
      <c r="J42" s="182"/>
      <c r="K42" s="182"/>
    </row>
    <row r="43">
      <c r="A43" s="178" t="s">
        <v>213</v>
      </c>
      <c r="B43" s="179" t="s">
        <v>214</v>
      </c>
      <c r="C43" s="62"/>
      <c r="D43" s="63"/>
      <c r="E43" s="183">
        <f t="shared" ref="E43:H43" si="10">AVERAGE(E44:E47)</f>
        <v>3</v>
      </c>
      <c r="F43" s="183">
        <f t="shared" si="10"/>
        <v>3</v>
      </c>
      <c r="G43" s="183">
        <f t="shared" si="10"/>
        <v>3</v>
      </c>
      <c r="H43" s="183">
        <f t="shared" si="10"/>
        <v>3.25</v>
      </c>
      <c r="I43" s="146">
        <f t="shared" si="9"/>
        <v>3.0625</v>
      </c>
      <c r="J43" s="181">
        <f>AVERAGE(I43:I48)</f>
        <v>3.03125</v>
      </c>
      <c r="K43" s="182"/>
    </row>
    <row r="44">
      <c r="A44" s="178" t="s">
        <v>213</v>
      </c>
      <c r="B44" s="167"/>
      <c r="C44" s="168">
        <v>1.0</v>
      </c>
      <c r="D44" s="167" t="s">
        <v>215</v>
      </c>
      <c r="E44" s="180">
        <v>3.0</v>
      </c>
      <c r="F44" s="180">
        <v>3.0</v>
      </c>
      <c r="G44" s="180">
        <v>3.0</v>
      </c>
      <c r="H44" s="180">
        <v>4.0</v>
      </c>
      <c r="I44" s="189"/>
      <c r="J44" s="182"/>
      <c r="K44" s="182"/>
    </row>
    <row r="45">
      <c r="A45" s="178" t="s">
        <v>213</v>
      </c>
      <c r="B45" s="167"/>
      <c r="C45" s="168">
        <v>2.0</v>
      </c>
      <c r="D45" s="167" t="s">
        <v>216</v>
      </c>
      <c r="E45" s="180">
        <v>3.0</v>
      </c>
      <c r="F45" s="180">
        <v>3.0</v>
      </c>
      <c r="G45" s="180">
        <v>3.0</v>
      </c>
      <c r="H45" s="180">
        <v>3.0</v>
      </c>
      <c r="I45" s="189"/>
      <c r="J45" s="182"/>
      <c r="K45" s="182"/>
    </row>
    <row r="46">
      <c r="A46" s="178" t="s">
        <v>213</v>
      </c>
      <c r="B46" s="167"/>
      <c r="C46" s="168">
        <v>3.0</v>
      </c>
      <c r="D46" s="167" t="s">
        <v>217</v>
      </c>
      <c r="E46" s="180">
        <v>3.0</v>
      </c>
      <c r="F46" s="180">
        <v>3.0</v>
      </c>
      <c r="G46" s="180">
        <v>3.0</v>
      </c>
      <c r="H46" s="180">
        <v>3.0</v>
      </c>
      <c r="I46" s="189"/>
      <c r="J46" s="182"/>
      <c r="K46" s="182"/>
    </row>
    <row r="47">
      <c r="A47" s="178" t="s">
        <v>213</v>
      </c>
      <c r="B47" s="167"/>
      <c r="C47" s="168">
        <v>4.0</v>
      </c>
      <c r="D47" s="167" t="s">
        <v>218</v>
      </c>
      <c r="E47" s="180">
        <v>3.0</v>
      </c>
      <c r="F47" s="180">
        <v>3.0</v>
      </c>
      <c r="G47" s="180">
        <v>3.0</v>
      </c>
      <c r="H47" s="180">
        <v>3.0</v>
      </c>
      <c r="I47" s="189"/>
      <c r="J47" s="182"/>
      <c r="K47" s="182"/>
    </row>
    <row r="48">
      <c r="A48" s="178" t="s">
        <v>220</v>
      </c>
      <c r="B48" s="179" t="s">
        <v>221</v>
      </c>
      <c r="C48" s="62"/>
      <c r="D48" s="63"/>
      <c r="E48" s="180">
        <v>4.0</v>
      </c>
      <c r="F48" s="180">
        <v>2.0</v>
      </c>
      <c r="G48" s="180">
        <v>2.0</v>
      </c>
      <c r="H48" s="180">
        <v>4.0</v>
      </c>
      <c r="I48" s="146">
        <f t="shared" ref="I48:I49" si="12">AVERAGE(E48:H48)</f>
        <v>3</v>
      </c>
      <c r="J48" s="182"/>
      <c r="K48" s="182"/>
    </row>
    <row r="49">
      <c r="A49" s="178" t="s">
        <v>223</v>
      </c>
      <c r="B49" s="179" t="s">
        <v>224</v>
      </c>
      <c r="C49" s="62"/>
      <c r="D49" s="63"/>
      <c r="E49" s="183">
        <f t="shared" ref="E49:H49" si="11">AVERAGE(E50:E52)</f>
        <v>3.333333333</v>
      </c>
      <c r="F49" s="183">
        <f t="shared" si="11"/>
        <v>3</v>
      </c>
      <c r="G49" s="183">
        <f t="shared" si="11"/>
        <v>3</v>
      </c>
      <c r="H49" s="183">
        <f t="shared" si="11"/>
        <v>3</v>
      </c>
      <c r="I49" s="146">
        <f t="shared" si="12"/>
        <v>3.083333333</v>
      </c>
      <c r="J49" s="181">
        <f>AVERAGE(I49:I53)</f>
        <v>2.854166667</v>
      </c>
      <c r="K49" s="182"/>
    </row>
    <row r="50">
      <c r="A50" s="178" t="s">
        <v>223</v>
      </c>
      <c r="B50" s="167"/>
      <c r="C50" s="168">
        <v>1.0</v>
      </c>
      <c r="D50" s="167" t="s">
        <v>225</v>
      </c>
      <c r="E50" s="180">
        <v>4.0</v>
      </c>
      <c r="F50" s="180">
        <v>4.0</v>
      </c>
      <c r="G50" s="180">
        <v>4.0</v>
      </c>
      <c r="H50" s="180">
        <v>3.0</v>
      </c>
      <c r="I50" s="189"/>
      <c r="J50" s="182"/>
      <c r="K50" s="182"/>
    </row>
    <row r="51">
      <c r="A51" s="178" t="s">
        <v>223</v>
      </c>
      <c r="B51" s="167"/>
      <c r="C51" s="168">
        <v>2.0</v>
      </c>
      <c r="D51" s="167" t="s">
        <v>226</v>
      </c>
      <c r="E51" s="180">
        <v>3.0</v>
      </c>
      <c r="F51" s="180">
        <v>2.0</v>
      </c>
      <c r="G51" s="180">
        <v>2.0</v>
      </c>
      <c r="H51" s="180">
        <v>3.0</v>
      </c>
      <c r="I51" s="189"/>
      <c r="J51" s="182"/>
      <c r="K51" s="182"/>
    </row>
    <row r="52">
      <c r="A52" s="178" t="s">
        <v>223</v>
      </c>
      <c r="B52" s="167"/>
      <c r="C52" s="168">
        <v>3.0</v>
      </c>
      <c r="D52" s="167" t="s">
        <v>227</v>
      </c>
      <c r="E52" s="180">
        <v>3.0</v>
      </c>
      <c r="F52" s="180">
        <v>3.0</v>
      </c>
      <c r="G52" s="180">
        <v>3.0</v>
      </c>
      <c r="H52" s="180">
        <v>3.0</v>
      </c>
      <c r="I52" s="189"/>
      <c r="J52" s="182"/>
      <c r="K52" s="182"/>
    </row>
    <row r="53">
      <c r="A53" s="178" t="s">
        <v>228</v>
      </c>
      <c r="B53" s="179" t="s">
        <v>229</v>
      </c>
      <c r="C53" s="62"/>
      <c r="D53" s="63"/>
      <c r="E53" s="183">
        <f t="shared" ref="E53:H53" si="13">AVERAGE(E54:E55)</f>
        <v>3.5</v>
      </c>
      <c r="F53" s="183">
        <f t="shared" si="13"/>
        <v>2.5</v>
      </c>
      <c r="G53" s="183">
        <f t="shared" si="13"/>
        <v>2.5</v>
      </c>
      <c r="H53" s="183">
        <f t="shared" si="13"/>
        <v>2</v>
      </c>
      <c r="I53" s="146">
        <f>AVERAGE(E53:H53)</f>
        <v>2.625</v>
      </c>
      <c r="J53" s="182"/>
      <c r="K53" s="182"/>
    </row>
    <row r="54">
      <c r="A54" s="178" t="s">
        <v>228</v>
      </c>
      <c r="B54" s="167"/>
      <c r="C54" s="168">
        <v>1.0</v>
      </c>
      <c r="D54" s="167" t="s">
        <v>230</v>
      </c>
      <c r="E54" s="180">
        <v>4.0</v>
      </c>
      <c r="F54" s="180">
        <v>3.0</v>
      </c>
      <c r="G54" s="180">
        <v>3.0</v>
      </c>
      <c r="H54" s="180">
        <v>2.0</v>
      </c>
      <c r="I54" s="189"/>
      <c r="J54" s="182"/>
      <c r="K54" s="182"/>
    </row>
    <row r="55">
      <c r="A55" s="191" t="s">
        <v>228</v>
      </c>
      <c r="B55" s="192"/>
      <c r="C55" s="193">
        <v>2.0</v>
      </c>
      <c r="D55" s="192" t="s">
        <v>231</v>
      </c>
      <c r="E55" s="180">
        <v>3.0</v>
      </c>
      <c r="F55" s="180">
        <v>2.0</v>
      </c>
      <c r="G55" s="180">
        <v>2.0</v>
      </c>
      <c r="H55" s="180">
        <v>2.0</v>
      </c>
      <c r="I55" s="189"/>
      <c r="J55" s="182"/>
      <c r="K55" s="182"/>
    </row>
  </sheetData>
  <mergeCells count="25">
    <mergeCell ref="B5:D5"/>
    <mergeCell ref="B6:D6"/>
    <mergeCell ref="B7:D7"/>
    <mergeCell ref="B12:D12"/>
    <mergeCell ref="B13:D13"/>
    <mergeCell ref="B14:D14"/>
    <mergeCell ref="B18:D18"/>
    <mergeCell ref="B19:D19"/>
    <mergeCell ref="B22:D22"/>
    <mergeCell ref="B26:D26"/>
    <mergeCell ref="B32:D32"/>
    <mergeCell ref="B33:D33"/>
    <mergeCell ref="B34:D34"/>
    <mergeCell ref="B35:D35"/>
    <mergeCell ref="B43:D43"/>
    <mergeCell ref="B48:D48"/>
    <mergeCell ref="B49:D49"/>
    <mergeCell ref="B53:D53"/>
    <mergeCell ref="B36:D36"/>
    <mergeCell ref="B37:D37"/>
    <mergeCell ref="B38:D38"/>
    <mergeCell ref="B39:D39"/>
    <mergeCell ref="B40:D40"/>
    <mergeCell ref="B41:D41"/>
    <mergeCell ref="B42:D42"/>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1.22" defaultRowHeight="15.0"/>
  <cols>
    <col customWidth="1" min="1" max="2" width="6.11"/>
    <col customWidth="1" min="3" max="3" width="4.0"/>
    <col customWidth="1" min="4" max="4" width="35.11"/>
    <col customWidth="1" min="5" max="5" width="7.67"/>
    <col customWidth="1" min="6" max="6" width="7.22"/>
    <col customWidth="1" min="7" max="7" width="8.89"/>
    <col customWidth="1" min="8" max="8" width="12.67"/>
    <col customWidth="1" min="9" max="9" width="8.67"/>
    <col customWidth="1" min="10" max="26" width="10.56"/>
  </cols>
  <sheetData>
    <row r="1" ht="90.0" customHeight="1">
      <c r="A1" s="194" t="s">
        <v>232</v>
      </c>
      <c r="B1" s="195"/>
      <c r="C1" s="195"/>
      <c r="D1" s="195"/>
      <c r="E1" s="195"/>
      <c r="F1" s="195"/>
      <c r="G1" s="195"/>
      <c r="H1" s="195"/>
      <c r="I1" s="196"/>
    </row>
    <row r="2" ht="77.25" customHeight="1">
      <c r="A2" s="197" t="s">
        <v>233</v>
      </c>
      <c r="B2" s="198"/>
      <c r="C2" s="198"/>
      <c r="D2" s="198"/>
      <c r="E2" s="199" t="s">
        <v>104</v>
      </c>
      <c r="F2" s="195"/>
      <c r="G2" s="195"/>
      <c r="H2" s="200" t="s">
        <v>105</v>
      </c>
      <c r="I2" s="201"/>
    </row>
    <row r="3">
      <c r="A3" s="202"/>
      <c r="B3" s="202"/>
      <c r="C3" s="10"/>
      <c r="D3" s="203"/>
      <c r="E3" s="203"/>
      <c r="F3" s="10"/>
      <c r="G3" s="10"/>
      <c r="H3" s="10"/>
      <c r="I3" s="204"/>
    </row>
    <row r="4">
      <c r="A4" s="205" t="s">
        <v>234</v>
      </c>
      <c r="B4" s="205"/>
      <c r="C4" s="205"/>
      <c r="D4" s="205"/>
      <c r="E4" s="205"/>
      <c r="F4" s="10"/>
      <c r="G4" s="10"/>
      <c r="H4" s="10"/>
      <c r="I4" s="204"/>
    </row>
    <row r="5" ht="15.0" customHeight="1">
      <c r="A5" s="206" t="s">
        <v>108</v>
      </c>
      <c r="B5" s="207" t="s">
        <v>235</v>
      </c>
      <c r="C5" s="127"/>
      <c r="D5" s="128"/>
      <c r="E5" s="208" t="s">
        <v>236</v>
      </c>
      <c r="F5" s="208" t="s">
        <v>237</v>
      </c>
      <c r="G5" s="208" t="s">
        <v>238</v>
      </c>
      <c r="H5" s="208" t="s">
        <v>239</v>
      </c>
      <c r="I5" s="209" t="s">
        <v>240</v>
      </c>
    </row>
    <row r="6">
      <c r="A6" s="210"/>
      <c r="B6" s="211"/>
      <c r="C6" s="212"/>
      <c r="D6" s="213"/>
      <c r="E6" s="210"/>
      <c r="F6" s="210"/>
      <c r="G6" s="210"/>
      <c r="H6" s="210"/>
      <c r="I6" s="210"/>
    </row>
    <row r="7">
      <c r="A7" s="214" t="s">
        <v>241</v>
      </c>
      <c r="B7" s="215" t="s">
        <v>242</v>
      </c>
      <c r="C7" s="216"/>
      <c r="D7" s="217"/>
      <c r="E7" s="218"/>
      <c r="F7" s="218"/>
      <c r="G7" s="219">
        <v>0.5</v>
      </c>
      <c r="H7" s="220">
        <f>AVERAGE(H8:H12)</f>
        <v>0.9</v>
      </c>
      <c r="I7" s="221">
        <f>G7*H7</f>
        <v>0.45</v>
      </c>
    </row>
    <row r="8">
      <c r="A8" s="222"/>
      <c r="B8" s="223" t="s">
        <v>243</v>
      </c>
      <c r="C8" s="224" t="s">
        <v>244</v>
      </c>
      <c r="D8" s="63"/>
      <c r="E8" s="225">
        <v>1.1</v>
      </c>
      <c r="F8" s="225" t="s">
        <v>245</v>
      </c>
      <c r="G8" s="226"/>
      <c r="H8" s="227">
        <f>'KKE 1.1 SASTRA PEMDA'!K26</f>
        <v>0.9444444444</v>
      </c>
      <c r="I8" s="228"/>
    </row>
    <row r="9">
      <c r="A9" s="222"/>
      <c r="B9" s="223" t="s">
        <v>246</v>
      </c>
      <c r="C9" s="229" t="s">
        <v>247</v>
      </c>
      <c r="D9" s="213"/>
      <c r="E9" s="225">
        <v>1.1</v>
      </c>
      <c r="F9" s="225" t="s">
        <v>248</v>
      </c>
      <c r="G9" s="226"/>
      <c r="H9" s="227">
        <f>'KKE 1.1 SASTRA PEMDA'!L26</f>
        <v>1</v>
      </c>
      <c r="I9" s="228"/>
    </row>
    <row r="10">
      <c r="A10" s="222"/>
      <c r="B10" s="223" t="s">
        <v>249</v>
      </c>
      <c r="C10" s="229" t="s">
        <v>250</v>
      </c>
      <c r="D10" s="213"/>
      <c r="E10" s="225">
        <v>1.1</v>
      </c>
      <c r="F10" s="225" t="s">
        <v>251</v>
      </c>
      <c r="G10" s="226"/>
      <c r="H10" s="227">
        <f>'KKE 1.1 SASTRA PEMDA'!M26</f>
        <v>0.7222222222</v>
      </c>
      <c r="I10" s="228"/>
    </row>
    <row r="11">
      <c r="A11" s="222"/>
      <c r="B11" s="223" t="s">
        <v>252</v>
      </c>
      <c r="C11" s="229" t="s">
        <v>253</v>
      </c>
      <c r="D11" s="213"/>
      <c r="E11" s="225">
        <v>1.1</v>
      </c>
      <c r="F11" s="225" t="s">
        <v>254</v>
      </c>
      <c r="G11" s="226"/>
      <c r="H11" s="227">
        <f>'KKE 1.1 SASTRA PEMDA'!N26</f>
        <v>1</v>
      </c>
      <c r="I11" s="228"/>
    </row>
    <row r="12">
      <c r="A12" s="222"/>
      <c r="B12" s="223" t="s">
        <v>255</v>
      </c>
      <c r="C12" s="229" t="s">
        <v>256</v>
      </c>
      <c r="D12" s="213"/>
      <c r="E12" s="225">
        <v>1.1</v>
      </c>
      <c r="F12" s="225" t="s">
        <v>257</v>
      </c>
      <c r="G12" s="226"/>
      <c r="H12" s="227">
        <f>'KKE 1.1 SASTRA PEMDA'!O26</f>
        <v>0.8333333333</v>
      </c>
      <c r="I12" s="228"/>
    </row>
    <row r="13">
      <c r="A13" s="230" t="s">
        <v>258</v>
      </c>
      <c r="B13" s="215" t="s">
        <v>259</v>
      </c>
      <c r="C13" s="231"/>
      <c r="D13" s="232"/>
      <c r="E13" s="78"/>
      <c r="F13" s="233"/>
      <c r="G13" s="219">
        <v>0.5</v>
      </c>
      <c r="H13" s="220">
        <f>AVERAGE(H14:H18)</f>
        <v>0.896</v>
      </c>
      <c r="I13" s="221">
        <f>G13*H13</f>
        <v>0.448</v>
      </c>
    </row>
    <row r="14">
      <c r="A14" s="234"/>
      <c r="B14" s="223" t="s">
        <v>243</v>
      </c>
      <c r="C14" s="224" t="s">
        <v>260</v>
      </c>
      <c r="D14" s="63"/>
      <c r="E14" s="235">
        <v>1.2</v>
      </c>
      <c r="F14" s="236" t="s">
        <v>257</v>
      </c>
      <c r="G14" s="226"/>
      <c r="H14" s="227">
        <f>'KKE 1.2 SASARAN OPD'!N57</f>
        <v>1</v>
      </c>
      <c r="I14" s="228"/>
    </row>
    <row r="15" ht="31.5" customHeight="1">
      <c r="A15" s="234"/>
      <c r="B15" s="223" t="s">
        <v>246</v>
      </c>
      <c r="C15" s="237" t="s">
        <v>261</v>
      </c>
      <c r="D15" s="213"/>
      <c r="E15" s="235">
        <v>1.2</v>
      </c>
      <c r="F15" s="236" t="s">
        <v>262</v>
      </c>
      <c r="G15" s="226"/>
      <c r="H15" s="227">
        <f>'KKE 1.2 SASARAN OPD'!O57</f>
        <v>0.78</v>
      </c>
      <c r="I15" s="228"/>
    </row>
    <row r="16">
      <c r="A16" s="234"/>
      <c r="B16" s="223" t="s">
        <v>249</v>
      </c>
      <c r="C16" s="229" t="s">
        <v>250</v>
      </c>
      <c r="D16" s="213"/>
      <c r="E16" s="235">
        <v>1.2</v>
      </c>
      <c r="F16" s="236" t="s">
        <v>263</v>
      </c>
      <c r="G16" s="226"/>
      <c r="H16" s="227">
        <f>'KKE 1.2 SASARAN OPD'!P57</f>
        <v>0.94</v>
      </c>
      <c r="I16" s="228"/>
    </row>
    <row r="17">
      <c r="A17" s="234"/>
      <c r="B17" s="223" t="s">
        <v>252</v>
      </c>
      <c r="C17" s="229" t="s">
        <v>253</v>
      </c>
      <c r="D17" s="213"/>
      <c r="E17" s="235">
        <v>1.2</v>
      </c>
      <c r="F17" s="236" t="s">
        <v>264</v>
      </c>
      <c r="G17" s="226"/>
      <c r="H17" s="227">
        <f>'KKE 1.2 SASARAN OPD'!Q57</f>
        <v>0.84</v>
      </c>
      <c r="I17" s="228"/>
    </row>
    <row r="18">
      <c r="A18" s="234"/>
      <c r="B18" s="223" t="s">
        <v>255</v>
      </c>
      <c r="C18" s="229" t="s">
        <v>256</v>
      </c>
      <c r="D18" s="213"/>
      <c r="E18" s="235">
        <v>1.2</v>
      </c>
      <c r="F18" s="236" t="s">
        <v>265</v>
      </c>
      <c r="G18" s="226"/>
      <c r="H18" s="227">
        <f>'KKE 1.2 SASARAN OPD'!R57</f>
        <v>0.92</v>
      </c>
      <c r="I18" s="228"/>
    </row>
    <row r="19" ht="18.0" customHeight="1">
      <c r="A19" s="238"/>
      <c r="B19" s="224"/>
      <c r="C19" s="239" t="s">
        <v>240</v>
      </c>
      <c r="D19" s="63"/>
      <c r="E19" s="240"/>
      <c r="F19" s="236"/>
      <c r="G19" s="241"/>
      <c r="H19" s="242"/>
      <c r="I19" s="243">
        <f>I7+I13</f>
        <v>0.898</v>
      </c>
    </row>
    <row r="20" ht="18.0" customHeight="1">
      <c r="A20" s="238"/>
      <c r="B20" s="224"/>
      <c r="C20" s="239" t="s">
        <v>266</v>
      </c>
      <c r="D20" s="63"/>
      <c r="E20" s="240"/>
      <c r="F20" s="236"/>
      <c r="G20" s="241"/>
      <c r="H20" s="242"/>
      <c r="I20" s="214">
        <f>(IF(I19&gt;=90%,"5",IF(I19&gt;=80%,"4",IF(I19&gt;=70%,"3",IF(I19&gt;=60%,"2","1")))))*1</f>
        <v>4</v>
      </c>
    </row>
    <row r="21" ht="15.75" hidden="1" customHeight="1">
      <c r="A21" s="202"/>
      <c r="B21" s="202"/>
      <c r="C21" s="10"/>
      <c r="D21" s="203"/>
      <c r="E21" s="203"/>
      <c r="F21" s="10"/>
      <c r="G21" s="10"/>
      <c r="H21" s="244"/>
      <c r="I21" s="204"/>
    </row>
    <row r="22" ht="15.75" customHeight="1">
      <c r="A22" s="202"/>
      <c r="B22" s="202"/>
      <c r="C22" s="10"/>
      <c r="D22" s="203"/>
      <c r="E22" s="203"/>
      <c r="F22" s="10"/>
      <c r="G22" s="10"/>
      <c r="H22" s="244"/>
      <c r="I22" s="204"/>
    </row>
    <row r="23" ht="15.75" customHeight="1">
      <c r="A23" s="205" t="s">
        <v>267</v>
      </c>
      <c r="B23" s="205"/>
      <c r="C23" s="205"/>
      <c r="D23" s="205"/>
      <c r="E23" s="205"/>
      <c r="F23" s="10"/>
      <c r="G23" s="10"/>
      <c r="H23" s="244"/>
      <c r="I23" s="204"/>
    </row>
    <row r="24" ht="15.75" customHeight="1">
      <c r="A24" s="206" t="s">
        <v>108</v>
      </c>
      <c r="B24" s="207" t="s">
        <v>235</v>
      </c>
      <c r="C24" s="127"/>
      <c r="D24" s="128"/>
      <c r="E24" s="208" t="s">
        <v>236</v>
      </c>
      <c r="F24" s="208" t="s">
        <v>237</v>
      </c>
      <c r="G24" s="208" t="s">
        <v>238</v>
      </c>
      <c r="H24" s="245" t="s">
        <v>239</v>
      </c>
      <c r="I24" s="209" t="s">
        <v>240</v>
      </c>
    </row>
    <row r="25" ht="15.75" customHeight="1">
      <c r="A25" s="210"/>
      <c r="B25" s="211"/>
      <c r="C25" s="212"/>
      <c r="D25" s="213"/>
      <c r="E25" s="210"/>
      <c r="F25" s="210"/>
      <c r="G25" s="210"/>
      <c r="H25" s="210"/>
      <c r="I25" s="210"/>
    </row>
    <row r="26" ht="15.75" customHeight="1">
      <c r="A26" s="222" t="s">
        <v>241</v>
      </c>
      <c r="B26" s="246" t="s">
        <v>268</v>
      </c>
      <c r="C26" s="62"/>
      <c r="D26" s="63"/>
      <c r="E26" s="82"/>
      <c r="F26" s="83"/>
      <c r="G26" s="220">
        <v>0.5</v>
      </c>
      <c r="H26" s="220">
        <f>AVERAGE(H27:H31)</f>
        <v>0.9490196078</v>
      </c>
      <c r="I26" s="221">
        <f>G26*H26</f>
        <v>0.4745098039</v>
      </c>
    </row>
    <row r="27" ht="15.75" customHeight="1">
      <c r="A27" s="222"/>
      <c r="B27" s="223" t="s">
        <v>243</v>
      </c>
      <c r="C27" s="247" t="s">
        <v>269</v>
      </c>
      <c r="D27" s="63"/>
      <c r="E27" s="248" t="s">
        <v>165</v>
      </c>
      <c r="F27" s="236" t="s">
        <v>265</v>
      </c>
      <c r="G27" s="226"/>
      <c r="H27" s="227">
        <f>'KKE 2.1 SASKEG'!R127</f>
        <v>0.9803921569</v>
      </c>
      <c r="I27" s="228"/>
    </row>
    <row r="28" ht="30.0" customHeight="1">
      <c r="A28" s="234"/>
      <c r="B28" s="223" t="s">
        <v>246</v>
      </c>
      <c r="C28" s="247" t="s">
        <v>270</v>
      </c>
      <c r="D28" s="63"/>
      <c r="E28" s="248" t="s">
        <v>165</v>
      </c>
      <c r="F28" s="236" t="s">
        <v>271</v>
      </c>
      <c r="G28" s="226"/>
      <c r="H28" s="227">
        <f>'KKE 2.1 SASKEG'!S127</f>
        <v>0.9803921569</v>
      </c>
      <c r="I28" s="228"/>
    </row>
    <row r="29" ht="15.75" customHeight="1">
      <c r="A29" s="222"/>
      <c r="B29" s="223" t="s">
        <v>249</v>
      </c>
      <c r="C29" s="247" t="s">
        <v>250</v>
      </c>
      <c r="D29" s="63"/>
      <c r="E29" s="248" t="s">
        <v>165</v>
      </c>
      <c r="F29" s="225" t="s">
        <v>272</v>
      </c>
      <c r="G29" s="226"/>
      <c r="H29" s="227">
        <f>'KKE 2.1 SASKEG'!T127</f>
        <v>0.9117647059</v>
      </c>
      <c r="I29" s="228"/>
    </row>
    <row r="30" ht="15.75" customHeight="1">
      <c r="A30" s="222"/>
      <c r="B30" s="223" t="s">
        <v>252</v>
      </c>
      <c r="C30" s="247" t="s">
        <v>253</v>
      </c>
      <c r="D30" s="63"/>
      <c r="E30" s="248" t="s">
        <v>165</v>
      </c>
      <c r="F30" s="225" t="s">
        <v>273</v>
      </c>
      <c r="G30" s="226"/>
      <c r="H30" s="227">
        <f>'KKE 2.1 SASKEG'!U127</f>
        <v>0.9411764706</v>
      </c>
      <c r="I30" s="228"/>
    </row>
    <row r="31" ht="15.75" customHeight="1">
      <c r="A31" s="222"/>
      <c r="B31" s="223" t="s">
        <v>255</v>
      </c>
      <c r="C31" s="247" t="s">
        <v>256</v>
      </c>
      <c r="D31" s="63"/>
      <c r="E31" s="248" t="s">
        <v>165</v>
      </c>
      <c r="F31" s="225" t="s">
        <v>274</v>
      </c>
      <c r="G31" s="226"/>
      <c r="H31" s="227">
        <f>'KKE 2.1 SASKEG'!V127</f>
        <v>0.931372549</v>
      </c>
      <c r="I31" s="228"/>
    </row>
    <row r="32" ht="14.25" customHeight="1">
      <c r="A32" s="234" t="s">
        <v>258</v>
      </c>
      <c r="B32" s="249" t="s">
        <v>275</v>
      </c>
      <c r="C32" s="62"/>
      <c r="D32" s="63"/>
      <c r="E32" s="234"/>
      <c r="F32" s="83"/>
      <c r="G32" s="220">
        <v>0.5</v>
      </c>
      <c r="H32" s="220">
        <f>AVERAGE(H33:H37)</f>
        <v>1.105714286</v>
      </c>
      <c r="I32" s="221">
        <f>G32*H32</f>
        <v>0.5528571429</v>
      </c>
    </row>
    <row r="33" ht="15.75" customHeight="1">
      <c r="A33" s="222"/>
      <c r="B33" s="250" t="s">
        <v>243</v>
      </c>
      <c r="C33" s="251" t="s">
        <v>276</v>
      </c>
      <c r="D33" s="213"/>
      <c r="E33" s="234" t="s">
        <v>172</v>
      </c>
      <c r="F33" s="225" t="s">
        <v>272</v>
      </c>
      <c r="G33" s="226"/>
      <c r="H33" s="227">
        <f>'KK 2.2 RO'!T210</f>
        <v>1.085714286</v>
      </c>
      <c r="I33" s="228"/>
    </row>
    <row r="34" ht="30.0" customHeight="1">
      <c r="A34" s="234"/>
      <c r="B34" s="250" t="s">
        <v>246</v>
      </c>
      <c r="C34" s="252" t="s">
        <v>250</v>
      </c>
      <c r="D34" s="213"/>
      <c r="E34" s="234" t="s">
        <v>172</v>
      </c>
      <c r="F34" s="225" t="s">
        <v>273</v>
      </c>
      <c r="G34" s="226"/>
      <c r="H34" s="227">
        <f>'KK 2.2 RO'!U210</f>
        <v>1.085714286</v>
      </c>
      <c r="I34" s="228"/>
    </row>
    <row r="35" ht="15.75" customHeight="1">
      <c r="A35" s="222"/>
      <c r="B35" s="250" t="s">
        <v>249</v>
      </c>
      <c r="C35" s="252" t="s">
        <v>253</v>
      </c>
      <c r="D35" s="213"/>
      <c r="E35" s="234" t="s">
        <v>172</v>
      </c>
      <c r="F35" s="225" t="s">
        <v>274</v>
      </c>
      <c r="G35" s="226"/>
      <c r="H35" s="227">
        <f>'KK 2.2 RO'!V210</f>
        <v>1.125714286</v>
      </c>
      <c r="I35" s="228"/>
    </row>
    <row r="36" ht="15.75" customHeight="1">
      <c r="A36" s="222"/>
      <c r="B36" s="250" t="s">
        <v>252</v>
      </c>
      <c r="C36" s="252" t="s">
        <v>256</v>
      </c>
      <c r="D36" s="213"/>
      <c r="E36" s="234" t="s">
        <v>172</v>
      </c>
      <c r="F36" s="225" t="s">
        <v>277</v>
      </c>
      <c r="G36" s="226"/>
      <c r="H36" s="227">
        <f>'KK 2.2 RO'!W210</f>
        <v>1.125714286</v>
      </c>
      <c r="I36" s="228"/>
    </row>
    <row r="37" ht="15.75" customHeight="1">
      <c r="A37" s="222"/>
      <c r="B37" s="223"/>
      <c r="C37" s="247"/>
      <c r="D37" s="63"/>
      <c r="E37" s="83"/>
      <c r="F37" s="225"/>
      <c r="G37" s="226"/>
      <c r="H37" s="227"/>
      <c r="I37" s="228"/>
    </row>
    <row r="38" ht="15.75" customHeight="1">
      <c r="A38" s="234"/>
      <c r="B38" s="246"/>
      <c r="C38" s="62"/>
      <c r="D38" s="63"/>
      <c r="E38" s="83"/>
      <c r="F38" s="83"/>
      <c r="G38" s="220"/>
      <c r="H38" s="220"/>
      <c r="I38" s="221"/>
    </row>
    <row r="39" ht="15.75" customHeight="1">
      <c r="A39" s="222"/>
      <c r="B39" s="223"/>
      <c r="C39" s="247"/>
      <c r="D39" s="63"/>
      <c r="E39" s="83"/>
      <c r="F39" s="225"/>
      <c r="G39" s="226"/>
      <c r="H39" s="227"/>
      <c r="I39" s="228"/>
    </row>
    <row r="40" ht="15.75" customHeight="1">
      <c r="A40" s="222"/>
      <c r="B40" s="223"/>
      <c r="C40" s="247"/>
      <c r="D40" s="63"/>
      <c r="E40" s="83"/>
      <c r="F40" s="225"/>
      <c r="G40" s="226"/>
      <c r="H40" s="227"/>
      <c r="I40" s="228"/>
    </row>
    <row r="41" ht="15.75" customHeight="1">
      <c r="A41" s="222"/>
      <c r="B41" s="223"/>
      <c r="C41" s="247"/>
      <c r="D41" s="63"/>
      <c r="E41" s="83"/>
      <c r="F41" s="225"/>
      <c r="G41" s="226"/>
      <c r="H41" s="227"/>
      <c r="I41" s="228"/>
    </row>
    <row r="42" ht="15.75" customHeight="1">
      <c r="A42" s="222"/>
      <c r="B42" s="223"/>
      <c r="C42" s="247"/>
      <c r="D42" s="63"/>
      <c r="E42" s="83"/>
      <c r="F42" s="225"/>
      <c r="G42" s="226"/>
      <c r="H42" s="227"/>
      <c r="I42" s="228"/>
    </row>
    <row r="43" ht="15.75" customHeight="1">
      <c r="A43" s="238"/>
      <c r="B43" s="224"/>
      <c r="C43" s="239" t="s">
        <v>240</v>
      </c>
      <c r="D43" s="63"/>
      <c r="E43" s="238"/>
      <c r="F43" s="83"/>
      <c r="G43" s="83"/>
      <c r="H43" s="83"/>
      <c r="I43" s="253">
        <f>I26+I32+I38</f>
        <v>1.027366947</v>
      </c>
    </row>
    <row r="44" ht="15.75" customHeight="1">
      <c r="A44" s="238"/>
      <c r="B44" s="224"/>
      <c r="C44" s="239" t="s">
        <v>266</v>
      </c>
      <c r="D44" s="63"/>
      <c r="E44" s="238"/>
      <c r="F44" s="83"/>
      <c r="G44" s="83"/>
      <c r="H44" s="83"/>
      <c r="I44" s="254">
        <f>(IF(I43&gt;=90%,"5",IF(I43&gt;=80%,"4",IF(I43&gt;=70%,"3",IF(I43&gt;=60%,"2","1")))))*1</f>
        <v>5</v>
      </c>
    </row>
    <row r="45" ht="15.75" customHeight="1">
      <c r="A45" s="202"/>
      <c r="B45" s="202"/>
      <c r="C45" s="10"/>
      <c r="D45" s="203"/>
      <c r="E45" s="203"/>
      <c r="F45" s="10"/>
      <c r="G45" s="10"/>
      <c r="H45" s="10"/>
      <c r="I45" s="204"/>
    </row>
    <row r="46" ht="15.75" customHeight="1">
      <c r="A46" s="255" t="s">
        <v>278</v>
      </c>
      <c r="B46" s="255"/>
      <c r="C46" s="10"/>
      <c r="D46" s="203"/>
      <c r="E46" s="203"/>
      <c r="F46" s="10"/>
      <c r="G46" s="10"/>
      <c r="H46" s="10"/>
      <c r="I46" s="204"/>
    </row>
    <row r="47" ht="15.75" customHeight="1">
      <c r="A47" s="202"/>
      <c r="B47" s="202"/>
      <c r="C47" s="256">
        <v>1.0</v>
      </c>
      <c r="D47" s="203" t="s">
        <v>279</v>
      </c>
      <c r="E47" s="203"/>
      <c r="F47" s="10"/>
      <c r="G47" s="10"/>
      <c r="H47" s="10"/>
      <c r="I47" s="204"/>
    </row>
    <row r="48" ht="15.75" customHeight="1">
      <c r="A48" s="202"/>
      <c r="B48" s="202"/>
      <c r="C48" s="256">
        <v>2.0</v>
      </c>
      <c r="D48" s="203" t="s">
        <v>280</v>
      </c>
      <c r="E48" s="203"/>
      <c r="F48" s="10"/>
      <c r="G48" s="10"/>
      <c r="H48" s="10"/>
      <c r="I48" s="204"/>
    </row>
    <row r="49" ht="15.75" customHeight="1">
      <c r="C49" s="256">
        <v>3.0</v>
      </c>
      <c r="D49" s="203" t="s">
        <v>281</v>
      </c>
    </row>
    <row r="50" ht="15.75" customHeight="1">
      <c r="C50" s="256">
        <v>4.0</v>
      </c>
      <c r="D50" s="203" t="s">
        <v>282</v>
      </c>
    </row>
    <row r="51" ht="15.75" customHeight="1">
      <c r="C51" s="256">
        <v>5.0</v>
      </c>
      <c r="D51" s="203" t="s">
        <v>283</v>
      </c>
    </row>
  </sheetData>
  <mergeCells count="48">
    <mergeCell ref="G5:G6"/>
    <mergeCell ref="H5:H6"/>
    <mergeCell ref="A1:I1"/>
    <mergeCell ref="A2:D2"/>
    <mergeCell ref="E2:G2"/>
    <mergeCell ref="A5:A6"/>
    <mergeCell ref="E5:E6"/>
    <mergeCell ref="F5:F6"/>
    <mergeCell ref="I5:I6"/>
    <mergeCell ref="B5:D6"/>
    <mergeCell ref="C8:D8"/>
    <mergeCell ref="C9:D9"/>
    <mergeCell ref="C10:D10"/>
    <mergeCell ref="C11:D11"/>
    <mergeCell ref="C12:D12"/>
    <mergeCell ref="C14:D14"/>
    <mergeCell ref="B24:D25"/>
    <mergeCell ref="E24:E25"/>
    <mergeCell ref="F24:F25"/>
    <mergeCell ref="G24:G25"/>
    <mergeCell ref="H24:H25"/>
    <mergeCell ref="I24:I25"/>
    <mergeCell ref="C15:D15"/>
    <mergeCell ref="C16:D16"/>
    <mergeCell ref="C17:D17"/>
    <mergeCell ref="C18:D18"/>
    <mergeCell ref="C19:D19"/>
    <mergeCell ref="C20:D20"/>
    <mergeCell ref="A24:A25"/>
    <mergeCell ref="B26:D26"/>
    <mergeCell ref="C27:D27"/>
    <mergeCell ref="C28:D28"/>
    <mergeCell ref="C29:D29"/>
    <mergeCell ref="C30:D30"/>
    <mergeCell ref="C31:D31"/>
    <mergeCell ref="B32:D32"/>
    <mergeCell ref="C40:D40"/>
    <mergeCell ref="C41:D41"/>
    <mergeCell ref="C42:D42"/>
    <mergeCell ref="C43:D43"/>
    <mergeCell ref="C44:D44"/>
    <mergeCell ref="C33:D33"/>
    <mergeCell ref="C34:D34"/>
    <mergeCell ref="C35:D35"/>
    <mergeCell ref="C36:D36"/>
    <mergeCell ref="C37:D37"/>
    <mergeCell ref="B38:D38"/>
    <mergeCell ref="C39:D39"/>
  </mergeCells>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1.22" defaultRowHeight="15.0"/>
  <cols>
    <col customWidth="1" min="1" max="1" width="3.67"/>
    <col customWidth="1" min="2" max="2" width="33.67"/>
    <col customWidth="1" min="3" max="3" width="32.44"/>
    <col customWidth="1" min="4" max="5" width="20.11"/>
    <col customWidth="1" min="6" max="6" width="25.0"/>
    <col customWidth="1" min="7" max="7" width="17.44"/>
    <col customWidth="1" min="8" max="8" width="17.11"/>
    <col customWidth="1" min="9" max="9" width="17.56"/>
    <col customWidth="1" min="10" max="10" width="43.22"/>
    <col customWidth="1" min="11" max="11" width="19.0"/>
    <col customWidth="1" min="12" max="12" width="16.33"/>
    <col customWidth="1" min="13" max="13" width="16.89"/>
    <col customWidth="1" min="14" max="14" width="15.78"/>
    <col customWidth="1" min="15" max="15" width="16.44"/>
    <col customWidth="1" min="16" max="16" width="26.56"/>
    <col customWidth="1" min="17" max="26" width="11.0"/>
  </cols>
  <sheetData>
    <row r="1" ht="71.25" customHeight="1">
      <c r="A1" s="257" t="s">
        <v>284</v>
      </c>
    </row>
    <row r="2" ht="32.25" customHeight="1">
      <c r="A2" s="258" t="s">
        <v>285</v>
      </c>
      <c r="B2" s="259"/>
      <c r="C2" s="260"/>
      <c r="D2" s="261"/>
      <c r="E2" s="262"/>
      <c r="F2" s="262"/>
      <c r="G2" s="263"/>
      <c r="H2" s="263"/>
      <c r="I2" s="263"/>
      <c r="J2" s="264"/>
      <c r="K2" s="264"/>
      <c r="L2" s="264"/>
      <c r="M2" s="264"/>
      <c r="N2" s="264"/>
      <c r="O2" s="264"/>
      <c r="P2" s="264"/>
    </row>
    <row r="3" ht="32.25" customHeight="1">
      <c r="A3" s="265" t="s">
        <v>286</v>
      </c>
      <c r="B3" s="265" t="s">
        <v>287</v>
      </c>
      <c r="C3" s="265" t="s">
        <v>288</v>
      </c>
      <c r="D3" s="265" t="s">
        <v>289</v>
      </c>
      <c r="E3" s="266" t="s">
        <v>290</v>
      </c>
      <c r="F3" s="62"/>
      <c r="G3" s="62"/>
      <c r="H3" s="62"/>
      <c r="I3" s="62"/>
      <c r="J3" s="63"/>
      <c r="K3" s="267" t="s">
        <v>291</v>
      </c>
      <c r="L3" s="62"/>
      <c r="M3" s="62"/>
      <c r="N3" s="62"/>
      <c r="O3" s="62"/>
      <c r="P3" s="63"/>
    </row>
    <row r="4">
      <c r="A4" s="210"/>
      <c r="B4" s="210"/>
      <c r="C4" s="210"/>
      <c r="D4" s="210"/>
      <c r="E4" s="268" t="s">
        <v>292</v>
      </c>
      <c r="F4" s="268" t="s">
        <v>293</v>
      </c>
      <c r="G4" s="268" t="s">
        <v>294</v>
      </c>
      <c r="H4" s="268" t="s">
        <v>295</v>
      </c>
      <c r="I4" s="268" t="s">
        <v>296</v>
      </c>
      <c r="J4" s="268" t="s">
        <v>297</v>
      </c>
      <c r="K4" s="269" t="s">
        <v>292</v>
      </c>
      <c r="L4" s="269" t="s">
        <v>293</v>
      </c>
      <c r="M4" s="269" t="s">
        <v>294</v>
      </c>
      <c r="N4" s="269" t="s">
        <v>295</v>
      </c>
      <c r="O4" s="269" t="s">
        <v>296</v>
      </c>
      <c r="P4" s="269" t="s">
        <v>297</v>
      </c>
    </row>
    <row r="5" ht="32.25" customHeight="1">
      <c r="A5" s="268">
        <v>1.0</v>
      </c>
      <c r="B5" s="268">
        <f t="shared" ref="B5:P5" si="1">A5+1</f>
        <v>2</v>
      </c>
      <c r="C5" s="268">
        <f t="shared" si="1"/>
        <v>3</v>
      </c>
      <c r="D5" s="268">
        <f t="shared" si="1"/>
        <v>4</v>
      </c>
      <c r="E5" s="268">
        <f t="shared" si="1"/>
        <v>5</v>
      </c>
      <c r="F5" s="268">
        <f t="shared" si="1"/>
        <v>6</v>
      </c>
      <c r="G5" s="268">
        <f t="shared" si="1"/>
        <v>7</v>
      </c>
      <c r="H5" s="268">
        <f t="shared" si="1"/>
        <v>8</v>
      </c>
      <c r="I5" s="268">
        <f t="shared" si="1"/>
        <v>9</v>
      </c>
      <c r="J5" s="268">
        <f t="shared" si="1"/>
        <v>10</v>
      </c>
      <c r="K5" s="269">
        <f t="shared" si="1"/>
        <v>11</v>
      </c>
      <c r="L5" s="269">
        <f t="shared" si="1"/>
        <v>12</v>
      </c>
      <c r="M5" s="269">
        <f t="shared" si="1"/>
        <v>13</v>
      </c>
      <c r="N5" s="269">
        <f t="shared" si="1"/>
        <v>14</v>
      </c>
      <c r="O5" s="269">
        <f t="shared" si="1"/>
        <v>15</v>
      </c>
      <c r="P5" s="269">
        <f t="shared" si="1"/>
        <v>16</v>
      </c>
    </row>
    <row r="6" ht="63.75" customHeight="1">
      <c r="A6" s="270">
        <v>1.0</v>
      </c>
      <c r="B6" s="271" t="s">
        <v>298</v>
      </c>
      <c r="C6" s="272" t="s">
        <v>299</v>
      </c>
      <c r="D6" s="273" t="s">
        <v>300</v>
      </c>
      <c r="E6" s="274" t="s">
        <v>301</v>
      </c>
      <c r="F6" s="274" t="s">
        <v>301</v>
      </c>
      <c r="G6" s="274" t="s">
        <v>301</v>
      </c>
      <c r="H6" s="274" t="s">
        <v>301</v>
      </c>
      <c r="I6" s="274" t="s">
        <v>301</v>
      </c>
      <c r="J6" s="274" t="s">
        <v>302</v>
      </c>
      <c r="K6" s="275" t="s">
        <v>301</v>
      </c>
      <c r="L6" s="275" t="s">
        <v>301</v>
      </c>
      <c r="M6" s="275" t="s">
        <v>301</v>
      </c>
      <c r="N6" s="275" t="s">
        <v>301</v>
      </c>
      <c r="O6" s="275" t="s">
        <v>301</v>
      </c>
      <c r="P6" s="275"/>
    </row>
    <row r="7" ht="51.75" customHeight="1">
      <c r="A7" s="270">
        <v>2.0</v>
      </c>
      <c r="B7" s="276" t="s">
        <v>303</v>
      </c>
      <c r="C7" s="277" t="s">
        <v>304</v>
      </c>
      <c r="D7" s="278" t="s">
        <v>305</v>
      </c>
      <c r="E7" s="274" t="s">
        <v>301</v>
      </c>
      <c r="F7" s="274" t="s">
        <v>301</v>
      </c>
      <c r="G7" s="274" t="s">
        <v>301</v>
      </c>
      <c r="H7" s="274" t="s">
        <v>301</v>
      </c>
      <c r="I7" s="274" t="s">
        <v>301</v>
      </c>
      <c r="J7" s="274" t="s">
        <v>306</v>
      </c>
      <c r="K7" s="275" t="s">
        <v>301</v>
      </c>
      <c r="L7" s="275" t="s">
        <v>301</v>
      </c>
      <c r="M7" s="275" t="s">
        <v>301</v>
      </c>
      <c r="N7" s="275" t="s">
        <v>301</v>
      </c>
      <c r="O7" s="275" t="s">
        <v>301</v>
      </c>
      <c r="P7" s="275"/>
    </row>
    <row r="8" ht="54.0" customHeight="1">
      <c r="A8" s="270">
        <v>3.0</v>
      </c>
      <c r="B8" s="271" t="s">
        <v>307</v>
      </c>
      <c r="C8" s="272" t="s">
        <v>308</v>
      </c>
      <c r="D8" s="273" t="s">
        <v>309</v>
      </c>
      <c r="E8" s="274" t="s">
        <v>301</v>
      </c>
      <c r="F8" s="274" t="s">
        <v>301</v>
      </c>
      <c r="G8" s="274" t="s">
        <v>301</v>
      </c>
      <c r="H8" s="274" t="s">
        <v>301</v>
      </c>
      <c r="I8" s="274" t="s">
        <v>301</v>
      </c>
      <c r="J8" s="274" t="s">
        <v>310</v>
      </c>
      <c r="K8" s="275" t="s">
        <v>301</v>
      </c>
      <c r="L8" s="275" t="s">
        <v>301</v>
      </c>
      <c r="M8" s="275" t="s">
        <v>271</v>
      </c>
      <c r="N8" s="275" t="s">
        <v>301</v>
      </c>
      <c r="O8" s="275" t="s">
        <v>301</v>
      </c>
      <c r="P8" s="275" t="s">
        <v>311</v>
      </c>
    </row>
    <row r="9" ht="54.0" customHeight="1">
      <c r="A9" s="270">
        <v>4.0</v>
      </c>
      <c r="B9" s="276" t="s">
        <v>312</v>
      </c>
      <c r="C9" s="277" t="s">
        <v>313</v>
      </c>
      <c r="D9" s="278" t="s">
        <v>314</v>
      </c>
      <c r="E9" s="274" t="s">
        <v>301</v>
      </c>
      <c r="F9" s="274" t="s">
        <v>301</v>
      </c>
      <c r="G9" s="274" t="s">
        <v>301</v>
      </c>
      <c r="H9" s="274" t="s">
        <v>301</v>
      </c>
      <c r="I9" s="274" t="s">
        <v>301</v>
      </c>
      <c r="J9" s="274" t="s">
        <v>315</v>
      </c>
      <c r="K9" s="275" t="s">
        <v>301</v>
      </c>
      <c r="L9" s="275" t="s">
        <v>301</v>
      </c>
      <c r="M9" s="275" t="s">
        <v>301</v>
      </c>
      <c r="N9" s="275" t="s">
        <v>301</v>
      </c>
      <c r="O9" s="275" t="s">
        <v>301</v>
      </c>
      <c r="P9" s="275"/>
    </row>
    <row r="10" ht="53.25" customHeight="1">
      <c r="A10" s="270">
        <v>5.0</v>
      </c>
      <c r="B10" s="271" t="s">
        <v>316</v>
      </c>
      <c r="C10" s="272" t="s">
        <v>317</v>
      </c>
      <c r="D10" s="279" t="s">
        <v>318</v>
      </c>
      <c r="E10" s="274" t="s">
        <v>301</v>
      </c>
      <c r="F10" s="274" t="s">
        <v>301</v>
      </c>
      <c r="G10" s="274" t="s">
        <v>301</v>
      </c>
      <c r="H10" s="274" t="s">
        <v>301</v>
      </c>
      <c r="I10" s="274" t="s">
        <v>301</v>
      </c>
      <c r="J10" s="274" t="s">
        <v>319</v>
      </c>
      <c r="K10" s="275" t="s">
        <v>301</v>
      </c>
      <c r="L10" s="275" t="s">
        <v>301</v>
      </c>
      <c r="M10" s="275" t="s">
        <v>301</v>
      </c>
      <c r="N10" s="275" t="s">
        <v>301</v>
      </c>
      <c r="O10" s="275" t="s">
        <v>301</v>
      </c>
      <c r="P10" s="275"/>
    </row>
    <row r="11" ht="58.5" customHeight="1">
      <c r="A11" s="270">
        <v>6.0</v>
      </c>
      <c r="B11" s="276" t="s">
        <v>320</v>
      </c>
      <c r="C11" s="277" t="s">
        <v>321</v>
      </c>
      <c r="D11" s="278" t="s">
        <v>322</v>
      </c>
      <c r="E11" s="274" t="s">
        <v>301</v>
      </c>
      <c r="F11" s="274" t="s">
        <v>301</v>
      </c>
      <c r="G11" s="274" t="s">
        <v>301</v>
      </c>
      <c r="H11" s="274" t="s">
        <v>301</v>
      </c>
      <c r="I11" s="274" t="s">
        <v>301</v>
      </c>
      <c r="J11" s="274" t="s">
        <v>319</v>
      </c>
      <c r="K11" s="275" t="s">
        <v>301</v>
      </c>
      <c r="L11" s="275" t="s">
        <v>301</v>
      </c>
      <c r="M11" s="275" t="s">
        <v>301</v>
      </c>
      <c r="N11" s="275" t="s">
        <v>301</v>
      </c>
      <c r="O11" s="275" t="s">
        <v>301</v>
      </c>
      <c r="P11" s="275"/>
    </row>
    <row r="12">
      <c r="A12" s="270">
        <v>7.0</v>
      </c>
      <c r="B12" s="271" t="s">
        <v>323</v>
      </c>
      <c r="C12" s="272" t="s">
        <v>324</v>
      </c>
      <c r="D12" s="280" t="s">
        <v>325</v>
      </c>
      <c r="E12" s="274" t="s">
        <v>301</v>
      </c>
      <c r="F12" s="274" t="s">
        <v>301</v>
      </c>
      <c r="G12" s="274" t="s">
        <v>301</v>
      </c>
      <c r="H12" s="274" t="s">
        <v>301</v>
      </c>
      <c r="I12" s="274" t="s">
        <v>301</v>
      </c>
      <c r="J12" s="274" t="s">
        <v>326</v>
      </c>
      <c r="K12" s="275" t="s">
        <v>301</v>
      </c>
      <c r="L12" s="275" t="s">
        <v>301</v>
      </c>
      <c r="M12" s="275" t="s">
        <v>271</v>
      </c>
      <c r="N12" s="275" t="s">
        <v>301</v>
      </c>
      <c r="O12" s="275" t="s">
        <v>301</v>
      </c>
      <c r="P12" s="275"/>
    </row>
    <row r="13" ht="57.75" customHeight="1">
      <c r="A13" s="270">
        <v>8.0</v>
      </c>
      <c r="B13" s="276" t="s">
        <v>327</v>
      </c>
      <c r="C13" s="277" t="s">
        <v>328</v>
      </c>
      <c r="D13" s="278" t="s">
        <v>329</v>
      </c>
      <c r="E13" s="274" t="s">
        <v>301</v>
      </c>
      <c r="F13" s="274" t="s">
        <v>301</v>
      </c>
      <c r="G13" s="274" t="s">
        <v>301</v>
      </c>
      <c r="H13" s="274" t="s">
        <v>301</v>
      </c>
      <c r="I13" s="274" t="s">
        <v>301</v>
      </c>
      <c r="J13" s="274" t="s">
        <v>330</v>
      </c>
      <c r="K13" s="275" t="s">
        <v>301</v>
      </c>
      <c r="L13" s="275" t="s">
        <v>301</v>
      </c>
      <c r="M13" s="275" t="s">
        <v>301</v>
      </c>
      <c r="N13" s="275" t="s">
        <v>301</v>
      </c>
      <c r="O13" s="275" t="s">
        <v>301</v>
      </c>
      <c r="P13" s="275"/>
    </row>
    <row r="14" ht="60.0" customHeight="1">
      <c r="A14" s="270">
        <v>9.0</v>
      </c>
      <c r="B14" s="271" t="s">
        <v>331</v>
      </c>
      <c r="C14" s="272" t="s">
        <v>332</v>
      </c>
      <c r="D14" s="279" t="s">
        <v>333</v>
      </c>
      <c r="E14" s="274" t="s">
        <v>301</v>
      </c>
      <c r="F14" s="274" t="s">
        <v>301</v>
      </c>
      <c r="G14" s="274" t="s">
        <v>301</v>
      </c>
      <c r="H14" s="274" t="s">
        <v>301</v>
      </c>
      <c r="I14" s="274" t="s">
        <v>301</v>
      </c>
      <c r="J14" s="274" t="s">
        <v>306</v>
      </c>
      <c r="K14" s="275" t="s">
        <v>301</v>
      </c>
      <c r="L14" s="275" t="s">
        <v>301</v>
      </c>
      <c r="M14" s="275" t="s">
        <v>301</v>
      </c>
      <c r="N14" s="275" t="s">
        <v>301</v>
      </c>
      <c r="O14" s="275" t="s">
        <v>301</v>
      </c>
      <c r="P14" s="275"/>
    </row>
    <row r="15">
      <c r="A15" s="270">
        <v>10.0</v>
      </c>
      <c r="B15" s="276" t="s">
        <v>298</v>
      </c>
      <c r="C15" s="281" t="s">
        <v>334</v>
      </c>
      <c r="D15" s="282" t="s">
        <v>335</v>
      </c>
      <c r="E15" s="274" t="s">
        <v>301</v>
      </c>
      <c r="F15" s="274" t="s">
        <v>301</v>
      </c>
      <c r="G15" s="274" t="s">
        <v>301</v>
      </c>
      <c r="H15" s="274" t="s">
        <v>301</v>
      </c>
      <c r="I15" s="274" t="s">
        <v>301</v>
      </c>
      <c r="J15" s="283" t="s">
        <v>319</v>
      </c>
      <c r="K15" s="275" t="s">
        <v>301</v>
      </c>
      <c r="L15" s="275" t="s">
        <v>301</v>
      </c>
      <c r="M15" s="275" t="s">
        <v>301</v>
      </c>
      <c r="N15" s="275" t="s">
        <v>301</v>
      </c>
      <c r="O15" s="275" t="s">
        <v>301</v>
      </c>
      <c r="P15" s="275" t="s">
        <v>336</v>
      </c>
    </row>
    <row r="16" ht="54.0" customHeight="1">
      <c r="A16" s="270">
        <v>11.0</v>
      </c>
      <c r="B16" s="271" t="s">
        <v>307</v>
      </c>
      <c r="C16" s="272" t="s">
        <v>337</v>
      </c>
      <c r="D16" s="279" t="s">
        <v>338</v>
      </c>
      <c r="E16" s="274" t="s">
        <v>301</v>
      </c>
      <c r="F16" s="274" t="s">
        <v>301</v>
      </c>
      <c r="G16" s="274" t="s">
        <v>301</v>
      </c>
      <c r="H16" s="274" t="s">
        <v>301</v>
      </c>
      <c r="I16" s="274" t="s">
        <v>301</v>
      </c>
      <c r="J16" s="283" t="s">
        <v>339</v>
      </c>
      <c r="K16" s="275" t="s">
        <v>301</v>
      </c>
      <c r="L16" s="275" t="s">
        <v>301</v>
      </c>
      <c r="M16" s="275" t="s">
        <v>301</v>
      </c>
      <c r="N16" s="275" t="s">
        <v>301</v>
      </c>
      <c r="O16" s="275" t="s">
        <v>301</v>
      </c>
      <c r="P16" s="275"/>
    </row>
    <row r="17">
      <c r="A17" s="270">
        <v>12.0</v>
      </c>
      <c r="B17" s="276" t="s">
        <v>312</v>
      </c>
      <c r="C17" s="277" t="s">
        <v>340</v>
      </c>
      <c r="D17" s="282" t="s">
        <v>341</v>
      </c>
      <c r="E17" s="274" t="s">
        <v>301</v>
      </c>
      <c r="F17" s="274" t="s">
        <v>301</v>
      </c>
      <c r="G17" s="274" t="s">
        <v>301</v>
      </c>
      <c r="H17" s="274" t="s">
        <v>301</v>
      </c>
      <c r="I17" s="274" t="s">
        <v>301</v>
      </c>
      <c r="J17" s="283" t="s">
        <v>342</v>
      </c>
      <c r="K17" s="275" t="s">
        <v>301</v>
      </c>
      <c r="L17" s="275" t="s">
        <v>301</v>
      </c>
      <c r="M17" s="275" t="s">
        <v>271</v>
      </c>
      <c r="N17" s="275" t="s">
        <v>301</v>
      </c>
      <c r="O17" s="275" t="s">
        <v>301</v>
      </c>
      <c r="P17" s="275" t="s">
        <v>343</v>
      </c>
    </row>
    <row r="18">
      <c r="A18" s="270">
        <v>13.0</v>
      </c>
      <c r="B18" s="271" t="s">
        <v>331</v>
      </c>
      <c r="C18" s="272" t="s">
        <v>344</v>
      </c>
      <c r="D18" s="279" t="s">
        <v>345</v>
      </c>
      <c r="E18" s="274" t="s">
        <v>301</v>
      </c>
      <c r="F18" s="274" t="s">
        <v>301</v>
      </c>
      <c r="G18" s="274" t="s">
        <v>301</v>
      </c>
      <c r="H18" s="274" t="s">
        <v>301</v>
      </c>
      <c r="I18" s="274" t="s">
        <v>301</v>
      </c>
      <c r="J18" s="283" t="s">
        <v>319</v>
      </c>
      <c r="K18" s="275" t="s">
        <v>301</v>
      </c>
      <c r="L18" s="275" t="s">
        <v>301</v>
      </c>
      <c r="M18" s="275" t="s">
        <v>271</v>
      </c>
      <c r="N18" s="275" t="s">
        <v>301</v>
      </c>
      <c r="O18" s="275" t="s">
        <v>301</v>
      </c>
      <c r="P18" s="275" t="s">
        <v>346</v>
      </c>
    </row>
    <row r="19" ht="60.75" customHeight="1">
      <c r="A19" s="270">
        <v>14.0</v>
      </c>
      <c r="B19" s="276" t="s">
        <v>298</v>
      </c>
      <c r="C19" s="277" t="s">
        <v>347</v>
      </c>
      <c r="D19" s="282" t="s">
        <v>348</v>
      </c>
      <c r="E19" s="274" t="s">
        <v>301</v>
      </c>
      <c r="F19" s="274" t="s">
        <v>301</v>
      </c>
      <c r="G19" s="274" t="s">
        <v>301</v>
      </c>
      <c r="H19" s="274" t="s">
        <v>301</v>
      </c>
      <c r="I19" s="274" t="s">
        <v>271</v>
      </c>
      <c r="J19" s="284" t="s">
        <v>349</v>
      </c>
      <c r="K19" s="275" t="s">
        <v>301</v>
      </c>
      <c r="L19" s="275" t="s">
        <v>301</v>
      </c>
      <c r="M19" s="275" t="s">
        <v>301</v>
      </c>
      <c r="N19" s="275" t="s">
        <v>301</v>
      </c>
      <c r="O19" s="275" t="s">
        <v>271</v>
      </c>
      <c r="P19" s="275"/>
    </row>
    <row r="20" ht="67.5" customHeight="1">
      <c r="A20" s="270">
        <v>15.0</v>
      </c>
      <c r="B20" s="271" t="s">
        <v>307</v>
      </c>
      <c r="C20" s="272" t="s">
        <v>350</v>
      </c>
      <c r="D20" s="279" t="s">
        <v>351</v>
      </c>
      <c r="E20" s="274" t="s">
        <v>301</v>
      </c>
      <c r="F20" s="274" t="s">
        <v>301</v>
      </c>
      <c r="G20" s="274" t="s">
        <v>301</v>
      </c>
      <c r="H20" s="274" t="s">
        <v>301</v>
      </c>
      <c r="I20" s="274" t="s">
        <v>301</v>
      </c>
      <c r="J20" s="283" t="s">
        <v>319</v>
      </c>
      <c r="K20" s="275" t="s">
        <v>301</v>
      </c>
      <c r="L20" s="275" t="s">
        <v>301</v>
      </c>
      <c r="M20" s="275" t="s">
        <v>301</v>
      </c>
      <c r="N20" s="275" t="s">
        <v>301</v>
      </c>
      <c r="O20" s="275" t="s">
        <v>301</v>
      </c>
      <c r="P20" s="275"/>
    </row>
    <row r="21" ht="65.25" customHeight="1">
      <c r="A21" s="270">
        <v>16.0</v>
      </c>
      <c r="B21" s="276" t="s">
        <v>312</v>
      </c>
      <c r="C21" s="277" t="s">
        <v>352</v>
      </c>
      <c r="D21" s="281" t="s">
        <v>353</v>
      </c>
      <c r="E21" s="274" t="s">
        <v>301</v>
      </c>
      <c r="F21" s="274" t="s">
        <v>301</v>
      </c>
      <c r="G21" s="274" t="s">
        <v>301</v>
      </c>
      <c r="H21" s="274" t="s">
        <v>301</v>
      </c>
      <c r="I21" s="274" t="s">
        <v>271</v>
      </c>
      <c r="J21" s="284" t="s">
        <v>354</v>
      </c>
      <c r="K21" s="275" t="s">
        <v>301</v>
      </c>
      <c r="L21" s="275" t="s">
        <v>301</v>
      </c>
      <c r="M21" s="275" t="s">
        <v>301</v>
      </c>
      <c r="N21" s="275" t="s">
        <v>301</v>
      </c>
      <c r="O21" s="275" t="s">
        <v>271</v>
      </c>
      <c r="P21" s="275"/>
    </row>
    <row r="22" ht="57.0" customHeight="1">
      <c r="A22" s="270">
        <v>17.0</v>
      </c>
      <c r="B22" s="271" t="s">
        <v>331</v>
      </c>
      <c r="C22" s="272" t="s">
        <v>355</v>
      </c>
      <c r="D22" s="279" t="s">
        <v>356</v>
      </c>
      <c r="E22" s="274" t="s">
        <v>301</v>
      </c>
      <c r="F22" s="274" t="s">
        <v>301</v>
      </c>
      <c r="G22" s="274" t="s">
        <v>301</v>
      </c>
      <c r="H22" s="274" t="s">
        <v>301</v>
      </c>
      <c r="I22" s="274" t="s">
        <v>301</v>
      </c>
      <c r="J22" s="283" t="s">
        <v>319</v>
      </c>
      <c r="K22" s="275" t="s">
        <v>301</v>
      </c>
      <c r="L22" s="275" t="s">
        <v>301</v>
      </c>
      <c r="M22" s="275" t="s">
        <v>301</v>
      </c>
      <c r="N22" s="275" t="s">
        <v>301</v>
      </c>
      <c r="O22" s="275" t="s">
        <v>301</v>
      </c>
      <c r="P22" s="275"/>
    </row>
    <row r="23">
      <c r="A23" s="270">
        <v>18.0</v>
      </c>
      <c r="B23" s="276" t="s">
        <v>312</v>
      </c>
      <c r="C23" s="277" t="s">
        <v>357</v>
      </c>
      <c r="D23" s="282" t="s">
        <v>348</v>
      </c>
      <c r="E23" s="274" t="s">
        <v>301</v>
      </c>
      <c r="F23" s="274" t="s">
        <v>301</v>
      </c>
      <c r="G23" s="274" t="s">
        <v>301</v>
      </c>
      <c r="H23" s="274" t="s">
        <v>301</v>
      </c>
      <c r="I23" s="274" t="s">
        <v>271</v>
      </c>
      <c r="J23" s="284" t="s">
        <v>358</v>
      </c>
      <c r="K23" s="275" t="s">
        <v>271</v>
      </c>
      <c r="L23" s="275" t="s">
        <v>301</v>
      </c>
      <c r="M23" s="275" t="s">
        <v>271</v>
      </c>
      <c r="N23" s="275" t="s">
        <v>301</v>
      </c>
      <c r="O23" s="274" t="s">
        <v>271</v>
      </c>
      <c r="P23" s="274" t="s">
        <v>359</v>
      </c>
      <c r="R23" s="185"/>
      <c r="S23" s="185"/>
      <c r="T23" s="185"/>
      <c r="U23" s="185"/>
      <c r="V23" s="185"/>
      <c r="W23" s="185"/>
      <c r="X23" s="185"/>
      <c r="Y23" s="185"/>
      <c r="Z23" s="185"/>
      <c r="AA23" s="185"/>
      <c r="AB23" s="185"/>
    </row>
    <row r="24">
      <c r="A24" s="285"/>
      <c r="B24" s="286"/>
      <c r="C24" s="285"/>
      <c r="D24" s="285"/>
      <c r="E24" s="287">
        <f t="shared" ref="E24:I24" si="2">COUNTIF(E6:E23,"Y")</f>
        <v>18</v>
      </c>
      <c r="F24" s="287">
        <f t="shared" si="2"/>
        <v>18</v>
      </c>
      <c r="G24" s="287">
        <f t="shared" si="2"/>
        <v>18</v>
      </c>
      <c r="H24" s="287">
        <f t="shared" si="2"/>
        <v>18</v>
      </c>
      <c r="I24" s="287">
        <f t="shared" si="2"/>
        <v>15</v>
      </c>
      <c r="J24" s="285"/>
      <c r="K24" s="287">
        <f t="shared" ref="K24:O24" si="3">COUNTIF(K6:K23,"Y")</f>
        <v>17</v>
      </c>
      <c r="L24" s="287">
        <f t="shared" si="3"/>
        <v>18</v>
      </c>
      <c r="M24" s="287">
        <f t="shared" si="3"/>
        <v>13</v>
      </c>
      <c r="N24" s="287">
        <f t="shared" si="3"/>
        <v>18</v>
      </c>
      <c r="O24" s="287">
        <f t="shared" si="3"/>
        <v>15</v>
      </c>
      <c r="P24" s="285"/>
      <c r="R24" s="185"/>
      <c r="S24" s="185"/>
      <c r="T24" s="185"/>
      <c r="U24" s="185"/>
      <c r="V24" s="185"/>
      <c r="W24" s="185"/>
      <c r="X24" s="185"/>
      <c r="Y24" s="185"/>
      <c r="Z24" s="185"/>
      <c r="AA24" s="185"/>
      <c r="AB24" s="185"/>
    </row>
    <row r="25">
      <c r="A25" s="285"/>
      <c r="B25" s="286"/>
      <c r="C25" s="285"/>
      <c r="D25" s="285"/>
      <c r="E25" s="287">
        <f t="shared" ref="E25:I25" si="4">COUNTA(E6:E23)</f>
        <v>18</v>
      </c>
      <c r="F25" s="287">
        <f t="shared" si="4"/>
        <v>18</v>
      </c>
      <c r="G25" s="287">
        <f t="shared" si="4"/>
        <v>18</v>
      </c>
      <c r="H25" s="287">
        <f t="shared" si="4"/>
        <v>18</v>
      </c>
      <c r="I25" s="287">
        <f t="shared" si="4"/>
        <v>18</v>
      </c>
      <c r="J25" s="285"/>
      <c r="K25" s="287">
        <f t="shared" ref="K25:O25" si="5">COUNTA(K6:K23)</f>
        <v>18</v>
      </c>
      <c r="L25" s="287">
        <f t="shared" si="5"/>
        <v>18</v>
      </c>
      <c r="M25" s="287">
        <f t="shared" si="5"/>
        <v>18</v>
      </c>
      <c r="N25" s="287">
        <f t="shared" si="5"/>
        <v>18</v>
      </c>
      <c r="O25" s="287">
        <f t="shared" si="5"/>
        <v>18</v>
      </c>
      <c r="P25" s="285"/>
    </row>
    <row r="26">
      <c r="A26" s="285"/>
      <c r="B26" s="286"/>
      <c r="C26" s="285"/>
      <c r="D26" s="285"/>
      <c r="E26" s="288">
        <f t="shared" ref="E26:I26" si="6">E24/E25</f>
        <v>1</v>
      </c>
      <c r="F26" s="288">
        <f t="shared" si="6"/>
        <v>1</v>
      </c>
      <c r="G26" s="288">
        <f t="shared" si="6"/>
        <v>1</v>
      </c>
      <c r="H26" s="288">
        <f t="shared" si="6"/>
        <v>1</v>
      </c>
      <c r="I26" s="288">
        <f t="shared" si="6"/>
        <v>0.8333333333</v>
      </c>
      <c r="J26" s="289"/>
      <c r="K26" s="290">
        <f t="shared" ref="K26:O26" si="7">K24/K25</f>
        <v>0.9444444444</v>
      </c>
      <c r="L26" s="290">
        <f t="shared" si="7"/>
        <v>1</v>
      </c>
      <c r="M26" s="290">
        <f t="shared" si="7"/>
        <v>0.7222222222</v>
      </c>
      <c r="N26" s="290">
        <f t="shared" si="7"/>
        <v>1</v>
      </c>
      <c r="O26" s="290">
        <f t="shared" si="7"/>
        <v>0.8333333333</v>
      </c>
      <c r="P26" s="289"/>
    </row>
    <row r="27">
      <c r="C27" s="291"/>
    </row>
    <row r="28">
      <c r="C28" s="291"/>
    </row>
    <row r="29">
      <c r="C29" s="291"/>
    </row>
    <row r="30">
      <c r="C30" s="291"/>
    </row>
    <row r="31">
      <c r="C31" s="291"/>
    </row>
    <row r="32">
      <c r="C32" s="291"/>
    </row>
    <row r="33">
      <c r="C33" s="291"/>
    </row>
    <row r="34">
      <c r="C34" s="291"/>
    </row>
    <row r="35">
      <c r="C35" s="291"/>
    </row>
    <row r="36">
      <c r="C36" s="291"/>
    </row>
    <row r="37">
      <c r="C37" s="291"/>
    </row>
    <row r="38">
      <c r="C38" s="291"/>
    </row>
    <row r="39">
      <c r="C39" s="291"/>
    </row>
    <row r="40">
      <c r="C40" s="291"/>
    </row>
    <row r="41">
      <c r="C41" s="291"/>
    </row>
    <row r="42">
      <c r="C42" s="291"/>
    </row>
    <row r="43">
      <c r="C43" s="291"/>
    </row>
    <row r="44">
      <c r="C44" s="291"/>
    </row>
    <row r="45">
      <c r="C45" s="291"/>
    </row>
    <row r="46">
      <c r="C46" s="291"/>
    </row>
    <row r="47">
      <c r="C47" s="291"/>
    </row>
    <row r="48">
      <c r="C48" s="291"/>
    </row>
    <row r="49">
      <c r="C49" s="291"/>
    </row>
    <row r="50">
      <c r="C50" s="291"/>
    </row>
    <row r="51">
      <c r="C51" s="291"/>
    </row>
    <row r="52">
      <c r="C52" s="291"/>
    </row>
    <row r="53">
      <c r="C53" s="291"/>
    </row>
    <row r="54">
      <c r="C54" s="291"/>
    </row>
    <row r="55">
      <c r="C55" s="291"/>
    </row>
    <row r="56">
      <c r="C56" s="291"/>
    </row>
    <row r="57">
      <c r="C57" s="291"/>
    </row>
    <row r="58">
      <c r="C58" s="291"/>
    </row>
    <row r="59">
      <c r="C59" s="291"/>
    </row>
    <row r="60">
      <c r="C60" s="291"/>
    </row>
    <row r="61">
      <c r="C61" s="291"/>
    </row>
    <row r="62">
      <c r="C62" s="291"/>
    </row>
    <row r="63">
      <c r="C63" s="291"/>
    </row>
    <row r="64">
      <c r="C64" s="291"/>
    </row>
    <row r="65">
      <c r="C65" s="291"/>
    </row>
    <row r="66">
      <c r="C66" s="291"/>
    </row>
    <row r="67">
      <c r="C67" s="291"/>
    </row>
    <row r="68">
      <c r="C68" s="291"/>
    </row>
    <row r="69">
      <c r="C69" s="291"/>
    </row>
    <row r="70">
      <c r="C70" s="291"/>
    </row>
    <row r="71">
      <c r="C71" s="291"/>
    </row>
    <row r="72">
      <c r="C72" s="291"/>
    </row>
    <row r="73">
      <c r="C73" s="291"/>
    </row>
    <row r="74">
      <c r="C74" s="291"/>
    </row>
    <row r="75">
      <c r="C75" s="291"/>
    </row>
    <row r="76">
      <c r="C76" s="291"/>
    </row>
    <row r="77">
      <c r="C77" s="291"/>
    </row>
    <row r="78">
      <c r="C78" s="291"/>
    </row>
    <row r="79">
      <c r="C79" s="291"/>
    </row>
    <row r="80">
      <c r="C80" s="291"/>
    </row>
    <row r="81">
      <c r="C81" s="291"/>
    </row>
    <row r="82">
      <c r="C82" s="291"/>
    </row>
    <row r="83">
      <c r="C83" s="291"/>
    </row>
    <row r="84">
      <c r="C84" s="291"/>
    </row>
    <row r="85">
      <c r="C85" s="291"/>
    </row>
    <row r="86">
      <c r="C86" s="291"/>
    </row>
    <row r="87">
      <c r="C87" s="291"/>
    </row>
    <row r="88">
      <c r="C88" s="291"/>
    </row>
    <row r="89">
      <c r="C89" s="291"/>
    </row>
    <row r="90">
      <c r="C90" s="291"/>
    </row>
    <row r="91">
      <c r="C91" s="291"/>
    </row>
    <row r="92">
      <c r="C92" s="291"/>
    </row>
    <row r="93">
      <c r="C93" s="291"/>
    </row>
    <row r="94">
      <c r="C94" s="291"/>
    </row>
    <row r="95">
      <c r="C95" s="291"/>
    </row>
    <row r="96">
      <c r="C96" s="291"/>
    </row>
    <row r="97">
      <c r="C97" s="291"/>
    </row>
    <row r="98">
      <c r="C98" s="291"/>
    </row>
    <row r="99">
      <c r="C99" s="291"/>
    </row>
    <row r="100">
      <c r="C100" s="291"/>
    </row>
    <row r="101">
      <c r="C101" s="291"/>
    </row>
    <row r="102">
      <c r="C102" s="291"/>
    </row>
    <row r="103">
      <c r="C103" s="291"/>
    </row>
    <row r="104">
      <c r="C104" s="291"/>
    </row>
    <row r="105">
      <c r="C105" s="291"/>
    </row>
    <row r="106">
      <c r="C106" s="291"/>
    </row>
    <row r="107">
      <c r="C107" s="291"/>
    </row>
    <row r="108">
      <c r="C108" s="291"/>
    </row>
    <row r="109">
      <c r="C109" s="291"/>
    </row>
    <row r="110">
      <c r="C110" s="291"/>
    </row>
    <row r="111">
      <c r="C111" s="291"/>
    </row>
    <row r="112">
      <c r="C112" s="291"/>
    </row>
    <row r="113">
      <c r="C113" s="291"/>
    </row>
    <row r="114">
      <c r="C114" s="291"/>
    </row>
    <row r="115">
      <c r="C115" s="291"/>
    </row>
    <row r="116">
      <c r="C116" s="291"/>
    </row>
    <row r="117">
      <c r="C117" s="291"/>
    </row>
    <row r="118">
      <c r="C118" s="291"/>
    </row>
    <row r="119">
      <c r="C119" s="291"/>
    </row>
    <row r="120">
      <c r="C120" s="291"/>
    </row>
    <row r="121">
      <c r="C121" s="291"/>
    </row>
    <row r="122">
      <c r="C122" s="291"/>
    </row>
    <row r="123">
      <c r="C123" s="291"/>
    </row>
    <row r="124">
      <c r="C124" s="291"/>
    </row>
    <row r="125">
      <c r="C125" s="291"/>
    </row>
    <row r="126">
      <c r="C126" s="291"/>
    </row>
    <row r="127">
      <c r="C127" s="291"/>
    </row>
    <row r="128">
      <c r="C128" s="291"/>
    </row>
    <row r="129">
      <c r="C129" s="291"/>
    </row>
    <row r="130">
      <c r="C130" s="291"/>
    </row>
    <row r="131">
      <c r="C131" s="291"/>
    </row>
    <row r="132">
      <c r="C132" s="291"/>
    </row>
    <row r="133">
      <c r="C133" s="291"/>
    </row>
    <row r="134">
      <c r="C134" s="291"/>
    </row>
    <row r="135">
      <c r="C135" s="291"/>
    </row>
    <row r="136">
      <c r="C136" s="291"/>
    </row>
    <row r="137">
      <c r="C137" s="291"/>
    </row>
    <row r="138">
      <c r="C138" s="291"/>
    </row>
    <row r="139">
      <c r="C139" s="291"/>
    </row>
    <row r="140">
      <c r="C140" s="291"/>
    </row>
    <row r="141">
      <c r="C141" s="291"/>
    </row>
    <row r="142">
      <c r="C142" s="291"/>
    </row>
    <row r="143">
      <c r="C143" s="291"/>
    </row>
    <row r="144">
      <c r="C144" s="291"/>
    </row>
    <row r="145">
      <c r="C145" s="291"/>
    </row>
    <row r="146">
      <c r="C146" s="291"/>
    </row>
    <row r="147">
      <c r="C147" s="291"/>
    </row>
    <row r="148">
      <c r="C148" s="291"/>
    </row>
    <row r="149">
      <c r="C149" s="291"/>
    </row>
    <row r="150">
      <c r="C150" s="291"/>
    </row>
    <row r="151">
      <c r="C151" s="291"/>
    </row>
    <row r="152">
      <c r="C152" s="291"/>
    </row>
    <row r="153">
      <c r="C153" s="291"/>
    </row>
    <row r="154">
      <c r="C154" s="291"/>
    </row>
    <row r="155">
      <c r="C155" s="291"/>
    </row>
    <row r="156">
      <c r="C156" s="291"/>
    </row>
    <row r="157">
      <c r="C157" s="291"/>
    </row>
    <row r="158">
      <c r="C158" s="291"/>
    </row>
    <row r="159">
      <c r="C159" s="291"/>
    </row>
    <row r="160">
      <c r="C160" s="291"/>
    </row>
    <row r="161">
      <c r="C161" s="291"/>
    </row>
    <row r="162">
      <c r="C162" s="291"/>
    </row>
    <row r="163">
      <c r="C163" s="291"/>
    </row>
    <row r="164">
      <c r="C164" s="291"/>
    </row>
    <row r="165">
      <c r="C165" s="291"/>
    </row>
    <row r="166">
      <c r="C166" s="291"/>
    </row>
    <row r="167">
      <c r="C167" s="291"/>
    </row>
    <row r="168">
      <c r="C168" s="291"/>
    </row>
    <row r="169">
      <c r="C169" s="291"/>
    </row>
    <row r="170">
      <c r="C170" s="291"/>
    </row>
    <row r="171">
      <c r="C171" s="291"/>
    </row>
    <row r="172">
      <c r="C172" s="291"/>
    </row>
    <row r="173">
      <c r="C173" s="291"/>
    </row>
    <row r="174">
      <c r="C174" s="291"/>
    </row>
    <row r="175">
      <c r="C175" s="291"/>
    </row>
    <row r="176">
      <c r="C176" s="291"/>
    </row>
    <row r="177">
      <c r="C177" s="291"/>
    </row>
    <row r="178">
      <c r="C178" s="291"/>
    </row>
    <row r="179">
      <c r="C179" s="291"/>
    </row>
    <row r="180">
      <c r="C180" s="291"/>
    </row>
    <row r="181">
      <c r="C181" s="291"/>
    </row>
    <row r="182">
      <c r="C182" s="291"/>
    </row>
    <row r="183">
      <c r="C183" s="291"/>
    </row>
    <row r="184">
      <c r="C184" s="291"/>
    </row>
    <row r="185">
      <c r="C185" s="291"/>
    </row>
    <row r="186">
      <c r="C186" s="291"/>
    </row>
    <row r="187">
      <c r="C187" s="291"/>
    </row>
    <row r="188">
      <c r="C188" s="291"/>
    </row>
    <row r="189">
      <c r="C189" s="291"/>
    </row>
    <row r="190">
      <c r="C190" s="291"/>
    </row>
    <row r="191">
      <c r="C191" s="291"/>
    </row>
    <row r="192">
      <c r="C192" s="291"/>
    </row>
    <row r="193">
      <c r="C193" s="291"/>
    </row>
    <row r="194">
      <c r="C194" s="291"/>
    </row>
    <row r="195">
      <c r="C195" s="291"/>
    </row>
    <row r="196">
      <c r="C196" s="291"/>
    </row>
    <row r="197">
      <c r="C197" s="291"/>
    </row>
    <row r="198">
      <c r="C198" s="291"/>
    </row>
    <row r="199">
      <c r="C199" s="291"/>
    </row>
    <row r="200">
      <c r="C200" s="291"/>
    </row>
    <row r="201">
      <c r="C201" s="291"/>
    </row>
    <row r="202">
      <c r="C202" s="291"/>
    </row>
    <row r="203">
      <c r="C203" s="291"/>
    </row>
    <row r="204">
      <c r="C204" s="291"/>
    </row>
    <row r="205">
      <c r="C205" s="291"/>
    </row>
    <row r="206">
      <c r="C206" s="291"/>
    </row>
    <row r="207">
      <c r="C207" s="291"/>
    </row>
    <row r="208">
      <c r="C208" s="291"/>
    </row>
    <row r="209">
      <c r="C209" s="291"/>
    </row>
    <row r="210">
      <c r="C210" s="291"/>
    </row>
    <row r="211">
      <c r="C211" s="291"/>
    </row>
    <row r="212">
      <c r="C212" s="291"/>
    </row>
    <row r="213">
      <c r="C213" s="291"/>
    </row>
    <row r="214">
      <c r="C214" s="291"/>
    </row>
    <row r="215">
      <c r="C215" s="291"/>
    </row>
    <row r="216">
      <c r="C216" s="291"/>
    </row>
    <row r="217">
      <c r="C217" s="291"/>
    </row>
    <row r="218">
      <c r="C218" s="291"/>
    </row>
    <row r="219">
      <c r="C219" s="291"/>
    </row>
    <row r="220">
      <c r="C220" s="291"/>
    </row>
    <row r="221">
      <c r="C221" s="291"/>
    </row>
    <row r="222">
      <c r="C222" s="291"/>
    </row>
    <row r="223">
      <c r="C223" s="291"/>
    </row>
    <row r="224">
      <c r="C224" s="291"/>
    </row>
    <row r="225">
      <c r="C225" s="291"/>
    </row>
    <row r="226">
      <c r="C226" s="291"/>
    </row>
    <row r="227">
      <c r="C227" s="291"/>
    </row>
    <row r="228">
      <c r="C228" s="291"/>
    </row>
    <row r="229">
      <c r="C229" s="291"/>
    </row>
    <row r="230">
      <c r="C230" s="291"/>
    </row>
    <row r="231">
      <c r="C231" s="291"/>
    </row>
    <row r="232">
      <c r="C232" s="291"/>
    </row>
    <row r="233">
      <c r="C233" s="291"/>
    </row>
    <row r="234">
      <c r="C234" s="291"/>
    </row>
    <row r="235">
      <c r="C235" s="291"/>
    </row>
    <row r="236">
      <c r="C236" s="291"/>
    </row>
    <row r="237">
      <c r="C237" s="291"/>
    </row>
    <row r="238">
      <c r="C238" s="291"/>
    </row>
    <row r="239">
      <c r="C239" s="291"/>
    </row>
    <row r="240">
      <c r="C240" s="291"/>
    </row>
    <row r="241">
      <c r="C241" s="291"/>
    </row>
    <row r="242">
      <c r="C242" s="291"/>
    </row>
    <row r="243">
      <c r="C243" s="291"/>
    </row>
    <row r="244">
      <c r="C244" s="291"/>
    </row>
    <row r="245">
      <c r="C245" s="291"/>
    </row>
    <row r="246">
      <c r="C246" s="291"/>
    </row>
    <row r="247">
      <c r="C247" s="291"/>
    </row>
    <row r="248">
      <c r="C248" s="291"/>
    </row>
    <row r="249">
      <c r="C249" s="291"/>
    </row>
    <row r="250">
      <c r="C250" s="291"/>
    </row>
    <row r="251">
      <c r="C251" s="291"/>
    </row>
    <row r="252">
      <c r="C252" s="291"/>
    </row>
    <row r="253">
      <c r="C253" s="291"/>
    </row>
    <row r="254">
      <c r="C254" s="291"/>
    </row>
    <row r="255">
      <c r="C255" s="291"/>
    </row>
    <row r="256">
      <c r="C256" s="291"/>
    </row>
    <row r="257">
      <c r="C257" s="291"/>
    </row>
    <row r="258">
      <c r="C258" s="291"/>
    </row>
    <row r="259">
      <c r="C259" s="291"/>
    </row>
    <row r="260">
      <c r="C260" s="291"/>
    </row>
    <row r="261">
      <c r="C261" s="291"/>
    </row>
    <row r="262">
      <c r="C262" s="291"/>
    </row>
    <row r="263">
      <c r="C263" s="291"/>
    </row>
    <row r="264">
      <c r="C264" s="291"/>
    </row>
    <row r="265">
      <c r="C265" s="291"/>
    </row>
    <row r="266">
      <c r="C266" s="291"/>
    </row>
    <row r="267">
      <c r="C267" s="291"/>
    </row>
    <row r="268">
      <c r="C268" s="291"/>
    </row>
    <row r="269">
      <c r="C269" s="291"/>
    </row>
    <row r="270">
      <c r="C270" s="291"/>
    </row>
    <row r="271">
      <c r="C271" s="291"/>
    </row>
    <row r="272">
      <c r="C272" s="291"/>
    </row>
    <row r="273">
      <c r="C273" s="291"/>
    </row>
    <row r="274">
      <c r="C274" s="291"/>
    </row>
    <row r="275">
      <c r="C275" s="291"/>
    </row>
    <row r="276">
      <c r="C276" s="291"/>
    </row>
    <row r="277">
      <c r="C277" s="291"/>
    </row>
    <row r="278">
      <c r="C278" s="291"/>
    </row>
    <row r="279">
      <c r="C279" s="291"/>
    </row>
    <row r="280">
      <c r="C280" s="291"/>
    </row>
    <row r="281">
      <c r="C281" s="291"/>
    </row>
    <row r="282">
      <c r="C282" s="291"/>
    </row>
    <row r="283">
      <c r="C283" s="291"/>
    </row>
    <row r="284">
      <c r="C284" s="291"/>
    </row>
    <row r="285">
      <c r="C285" s="291"/>
    </row>
    <row r="286">
      <c r="C286" s="291"/>
    </row>
    <row r="287">
      <c r="C287" s="291"/>
    </row>
    <row r="288">
      <c r="C288" s="291"/>
    </row>
    <row r="289">
      <c r="C289" s="291"/>
    </row>
    <row r="290">
      <c r="C290" s="291"/>
    </row>
    <row r="291">
      <c r="C291" s="291"/>
    </row>
    <row r="292">
      <c r="C292" s="291"/>
    </row>
    <row r="293">
      <c r="C293" s="291"/>
    </row>
    <row r="294">
      <c r="C294" s="291"/>
    </row>
    <row r="295">
      <c r="C295" s="291"/>
    </row>
    <row r="296">
      <c r="C296" s="291"/>
    </row>
    <row r="297">
      <c r="C297" s="291"/>
    </row>
    <row r="298">
      <c r="C298" s="291"/>
    </row>
    <row r="299">
      <c r="C299" s="291"/>
    </row>
    <row r="300">
      <c r="C300" s="291"/>
    </row>
    <row r="301">
      <c r="C301" s="291"/>
    </row>
    <row r="302">
      <c r="C302" s="291"/>
    </row>
    <row r="303">
      <c r="C303" s="291"/>
    </row>
    <row r="304">
      <c r="C304" s="291"/>
    </row>
    <row r="305">
      <c r="C305" s="291"/>
    </row>
    <row r="306">
      <c r="C306" s="291"/>
    </row>
    <row r="307">
      <c r="C307" s="291"/>
    </row>
    <row r="308">
      <c r="C308" s="291"/>
    </row>
    <row r="309">
      <c r="C309" s="291"/>
    </row>
    <row r="310">
      <c r="C310" s="291"/>
    </row>
    <row r="311">
      <c r="C311" s="291"/>
    </row>
    <row r="312">
      <c r="C312" s="291"/>
    </row>
    <row r="313">
      <c r="C313" s="291"/>
    </row>
    <row r="314">
      <c r="C314" s="291"/>
    </row>
    <row r="315">
      <c r="C315" s="291"/>
    </row>
    <row r="316">
      <c r="C316" s="291"/>
    </row>
    <row r="317">
      <c r="C317" s="291"/>
    </row>
    <row r="318">
      <c r="C318" s="291"/>
    </row>
    <row r="319">
      <c r="C319" s="291"/>
    </row>
    <row r="320">
      <c r="C320" s="291"/>
    </row>
    <row r="321">
      <c r="C321" s="291"/>
    </row>
    <row r="322">
      <c r="C322" s="291"/>
    </row>
    <row r="323">
      <c r="C323" s="291"/>
    </row>
    <row r="324">
      <c r="C324" s="291"/>
    </row>
    <row r="325">
      <c r="C325" s="291"/>
    </row>
    <row r="326">
      <c r="C326" s="291"/>
    </row>
    <row r="327">
      <c r="C327" s="291"/>
    </row>
    <row r="328">
      <c r="C328" s="291"/>
    </row>
    <row r="329">
      <c r="C329" s="291"/>
    </row>
    <row r="330">
      <c r="C330" s="291"/>
    </row>
    <row r="331">
      <c r="C331" s="291"/>
    </row>
    <row r="332">
      <c r="C332" s="291"/>
    </row>
    <row r="333">
      <c r="C333" s="291"/>
    </row>
    <row r="334">
      <c r="C334" s="291"/>
    </row>
    <row r="335">
      <c r="C335" s="291"/>
    </row>
    <row r="336">
      <c r="C336" s="291"/>
    </row>
    <row r="337">
      <c r="C337" s="291"/>
    </row>
    <row r="338">
      <c r="C338" s="291"/>
    </row>
    <row r="339">
      <c r="C339" s="291"/>
    </row>
    <row r="340">
      <c r="C340" s="291"/>
    </row>
    <row r="341">
      <c r="C341" s="291"/>
    </row>
    <row r="342">
      <c r="C342" s="291"/>
    </row>
    <row r="343">
      <c r="C343" s="291"/>
    </row>
    <row r="344">
      <c r="C344" s="291"/>
    </row>
    <row r="345">
      <c r="C345" s="291"/>
    </row>
    <row r="346">
      <c r="C346" s="291"/>
    </row>
    <row r="347">
      <c r="C347" s="291"/>
    </row>
    <row r="348">
      <c r="C348" s="291"/>
    </row>
    <row r="349">
      <c r="C349" s="291"/>
    </row>
    <row r="350">
      <c r="C350" s="291"/>
    </row>
    <row r="351">
      <c r="C351" s="291"/>
    </row>
    <row r="352">
      <c r="C352" s="291"/>
    </row>
    <row r="353">
      <c r="C353" s="291"/>
    </row>
    <row r="354">
      <c r="C354" s="291"/>
    </row>
    <row r="355">
      <c r="C355" s="291"/>
    </row>
    <row r="356">
      <c r="C356" s="291"/>
    </row>
    <row r="357">
      <c r="C357" s="291"/>
    </row>
    <row r="358">
      <c r="C358" s="291"/>
    </row>
    <row r="359">
      <c r="C359" s="291"/>
    </row>
    <row r="360">
      <c r="C360" s="291"/>
    </row>
    <row r="361">
      <c r="C361" s="291"/>
    </row>
    <row r="362">
      <c r="C362" s="291"/>
    </row>
    <row r="363">
      <c r="C363" s="291"/>
    </row>
    <row r="364">
      <c r="C364" s="291"/>
    </row>
    <row r="365">
      <c r="C365" s="291"/>
    </row>
    <row r="366">
      <c r="C366" s="291"/>
    </row>
    <row r="367">
      <c r="C367" s="291"/>
    </row>
    <row r="368">
      <c r="C368" s="291"/>
    </row>
    <row r="369">
      <c r="C369" s="291"/>
    </row>
    <row r="370">
      <c r="C370" s="291"/>
    </row>
    <row r="371">
      <c r="C371" s="291"/>
    </row>
    <row r="372">
      <c r="C372" s="291"/>
    </row>
    <row r="373">
      <c r="C373" s="291"/>
    </row>
    <row r="374">
      <c r="C374" s="291"/>
    </row>
    <row r="375">
      <c r="C375" s="291"/>
    </row>
    <row r="376">
      <c r="C376" s="291"/>
    </row>
    <row r="377">
      <c r="C377" s="291"/>
    </row>
    <row r="378">
      <c r="C378" s="291"/>
    </row>
    <row r="379">
      <c r="C379" s="291"/>
    </row>
    <row r="380">
      <c r="C380" s="291"/>
    </row>
    <row r="381">
      <c r="C381" s="291"/>
    </row>
    <row r="382">
      <c r="C382" s="291"/>
    </row>
    <row r="383">
      <c r="C383" s="291"/>
    </row>
    <row r="384">
      <c r="C384" s="291"/>
    </row>
    <row r="385">
      <c r="C385" s="291"/>
    </row>
    <row r="386">
      <c r="C386" s="291"/>
    </row>
    <row r="387">
      <c r="C387" s="291"/>
    </row>
    <row r="388">
      <c r="C388" s="291"/>
    </row>
    <row r="389">
      <c r="C389" s="291"/>
    </row>
    <row r="390">
      <c r="C390" s="291"/>
    </row>
    <row r="391">
      <c r="C391" s="291"/>
    </row>
    <row r="392">
      <c r="C392" s="291"/>
    </row>
    <row r="393">
      <c r="C393" s="291"/>
    </row>
    <row r="394">
      <c r="C394" s="291"/>
    </row>
    <row r="395">
      <c r="C395" s="291"/>
    </row>
    <row r="396">
      <c r="C396" s="291"/>
    </row>
    <row r="397">
      <c r="C397" s="291"/>
    </row>
    <row r="398">
      <c r="C398" s="291"/>
    </row>
    <row r="399">
      <c r="C399" s="291"/>
    </row>
    <row r="400">
      <c r="C400" s="291"/>
    </row>
    <row r="401">
      <c r="C401" s="291"/>
    </row>
    <row r="402">
      <c r="C402" s="291"/>
    </row>
    <row r="403">
      <c r="C403" s="291"/>
    </row>
    <row r="404">
      <c r="C404" s="291"/>
    </row>
    <row r="405">
      <c r="C405" s="291"/>
    </row>
    <row r="406">
      <c r="C406" s="291"/>
    </row>
    <row r="407">
      <c r="C407" s="291"/>
    </row>
    <row r="408">
      <c r="C408" s="291"/>
    </row>
    <row r="409">
      <c r="C409" s="291"/>
    </row>
    <row r="410">
      <c r="C410" s="291"/>
    </row>
    <row r="411">
      <c r="C411" s="291"/>
    </row>
    <row r="412">
      <c r="C412" s="291"/>
    </row>
    <row r="413">
      <c r="C413" s="291"/>
    </row>
    <row r="414">
      <c r="C414" s="291"/>
    </row>
    <row r="415">
      <c r="C415" s="291"/>
    </row>
    <row r="416">
      <c r="C416" s="291"/>
    </row>
    <row r="417">
      <c r="C417" s="291"/>
    </row>
    <row r="418">
      <c r="C418" s="291"/>
    </row>
    <row r="419">
      <c r="C419" s="291"/>
    </row>
    <row r="420">
      <c r="C420" s="291"/>
    </row>
    <row r="421">
      <c r="C421" s="291"/>
    </row>
    <row r="422">
      <c r="C422" s="291"/>
    </row>
    <row r="423">
      <c r="C423" s="291"/>
    </row>
    <row r="424">
      <c r="C424" s="291"/>
    </row>
    <row r="425">
      <c r="C425" s="291"/>
    </row>
    <row r="426">
      <c r="C426" s="291"/>
    </row>
    <row r="427">
      <c r="C427" s="291"/>
    </row>
    <row r="428">
      <c r="C428" s="291"/>
    </row>
    <row r="429">
      <c r="C429" s="291"/>
    </row>
    <row r="430">
      <c r="C430" s="291"/>
    </row>
    <row r="431">
      <c r="C431" s="291"/>
    </row>
    <row r="432">
      <c r="C432" s="291"/>
    </row>
    <row r="433">
      <c r="C433" s="291"/>
    </row>
    <row r="434">
      <c r="C434" s="291"/>
    </row>
    <row r="435">
      <c r="C435" s="291"/>
    </row>
    <row r="436">
      <c r="C436" s="291"/>
    </row>
    <row r="437">
      <c r="C437" s="291"/>
    </row>
    <row r="438">
      <c r="C438" s="291"/>
    </row>
    <row r="439">
      <c r="C439" s="291"/>
    </row>
    <row r="440">
      <c r="C440" s="291"/>
    </row>
    <row r="441">
      <c r="C441" s="291"/>
    </row>
    <row r="442">
      <c r="C442" s="291"/>
    </row>
    <row r="443">
      <c r="C443" s="291"/>
    </row>
    <row r="444">
      <c r="C444" s="291"/>
    </row>
    <row r="445">
      <c r="C445" s="291"/>
    </row>
    <row r="446">
      <c r="C446" s="291"/>
    </row>
    <row r="447">
      <c r="C447" s="291"/>
    </row>
    <row r="448">
      <c r="C448" s="291"/>
    </row>
    <row r="449">
      <c r="C449" s="291"/>
    </row>
    <row r="450">
      <c r="C450" s="291"/>
    </row>
    <row r="451">
      <c r="C451" s="291"/>
    </row>
    <row r="452">
      <c r="C452" s="291"/>
    </row>
    <row r="453">
      <c r="C453" s="291"/>
    </row>
    <row r="454">
      <c r="C454" s="291"/>
    </row>
    <row r="455">
      <c r="C455" s="291"/>
    </row>
    <row r="456">
      <c r="C456" s="291"/>
    </row>
    <row r="457">
      <c r="C457" s="291"/>
    </row>
    <row r="458">
      <c r="C458" s="291"/>
    </row>
    <row r="459">
      <c r="C459" s="291"/>
    </row>
    <row r="460">
      <c r="C460" s="291"/>
    </row>
    <row r="461">
      <c r="C461" s="291"/>
    </row>
    <row r="462">
      <c r="C462" s="291"/>
    </row>
    <row r="463">
      <c r="C463" s="291"/>
    </row>
    <row r="464">
      <c r="C464" s="291"/>
    </row>
    <row r="465">
      <c r="C465" s="291"/>
    </row>
    <row r="466">
      <c r="C466" s="291"/>
    </row>
    <row r="467">
      <c r="C467" s="291"/>
    </row>
    <row r="468">
      <c r="C468" s="291"/>
    </row>
    <row r="469">
      <c r="C469" s="291"/>
    </row>
    <row r="470">
      <c r="C470" s="291"/>
    </row>
    <row r="471">
      <c r="C471" s="291"/>
    </row>
    <row r="472">
      <c r="C472" s="291"/>
    </row>
    <row r="473">
      <c r="C473" s="291"/>
    </row>
    <row r="474">
      <c r="C474" s="291"/>
    </row>
    <row r="475">
      <c r="C475" s="291"/>
    </row>
    <row r="476">
      <c r="C476" s="291"/>
    </row>
    <row r="477">
      <c r="C477" s="291"/>
    </row>
    <row r="478">
      <c r="C478" s="291"/>
    </row>
    <row r="479">
      <c r="C479" s="291"/>
    </row>
    <row r="480">
      <c r="C480" s="291"/>
    </row>
    <row r="481">
      <c r="C481" s="291"/>
    </row>
    <row r="482">
      <c r="C482" s="291"/>
    </row>
    <row r="483">
      <c r="C483" s="291"/>
    </row>
    <row r="484">
      <c r="C484" s="291"/>
    </row>
    <row r="485">
      <c r="C485" s="291"/>
    </row>
    <row r="486">
      <c r="C486" s="291"/>
    </row>
    <row r="487">
      <c r="C487" s="291"/>
    </row>
    <row r="488">
      <c r="C488" s="291"/>
    </row>
    <row r="489">
      <c r="C489" s="291"/>
    </row>
    <row r="490">
      <c r="C490" s="291"/>
    </row>
    <row r="491">
      <c r="C491" s="291"/>
    </row>
    <row r="492">
      <c r="C492" s="291"/>
    </row>
    <row r="493">
      <c r="C493" s="291"/>
    </row>
    <row r="494">
      <c r="C494" s="291"/>
    </row>
    <row r="495">
      <c r="C495" s="291"/>
    </row>
    <row r="496">
      <c r="C496" s="291"/>
    </row>
    <row r="497">
      <c r="C497" s="291"/>
    </row>
    <row r="498">
      <c r="C498" s="291"/>
    </row>
    <row r="499">
      <c r="C499" s="291"/>
    </row>
    <row r="500">
      <c r="C500" s="291"/>
    </row>
    <row r="501">
      <c r="C501" s="291"/>
    </row>
    <row r="502">
      <c r="C502" s="291"/>
    </row>
    <row r="503">
      <c r="C503" s="291"/>
    </row>
    <row r="504">
      <c r="C504" s="291"/>
    </row>
    <row r="505">
      <c r="C505" s="291"/>
    </row>
    <row r="506">
      <c r="C506" s="291"/>
    </row>
    <row r="507">
      <c r="C507" s="291"/>
    </row>
    <row r="508">
      <c r="C508" s="291"/>
    </row>
    <row r="509">
      <c r="C509" s="291"/>
    </row>
    <row r="510">
      <c r="C510" s="291"/>
    </row>
    <row r="511">
      <c r="C511" s="291"/>
    </row>
    <row r="512">
      <c r="C512" s="291"/>
    </row>
    <row r="513">
      <c r="C513" s="291"/>
    </row>
    <row r="514">
      <c r="C514" s="291"/>
    </row>
    <row r="515">
      <c r="C515" s="291"/>
    </row>
    <row r="516">
      <c r="C516" s="291"/>
    </row>
    <row r="517">
      <c r="C517" s="291"/>
    </row>
    <row r="518">
      <c r="C518" s="291"/>
    </row>
    <row r="519">
      <c r="C519" s="291"/>
    </row>
    <row r="520">
      <c r="C520" s="291"/>
    </row>
    <row r="521">
      <c r="C521" s="291"/>
    </row>
    <row r="522">
      <c r="C522" s="291"/>
    </row>
    <row r="523">
      <c r="C523" s="291"/>
    </row>
    <row r="524">
      <c r="C524" s="291"/>
    </row>
    <row r="525">
      <c r="C525" s="291"/>
    </row>
    <row r="526">
      <c r="C526" s="291"/>
    </row>
    <row r="527">
      <c r="C527" s="291"/>
    </row>
    <row r="528">
      <c r="C528" s="291"/>
    </row>
    <row r="529">
      <c r="C529" s="291"/>
    </row>
    <row r="530">
      <c r="C530" s="291"/>
    </row>
    <row r="531">
      <c r="C531" s="291"/>
    </row>
    <row r="532">
      <c r="C532" s="291"/>
    </row>
    <row r="533">
      <c r="C533" s="291"/>
    </row>
    <row r="534">
      <c r="C534" s="291"/>
    </row>
    <row r="535">
      <c r="C535" s="291"/>
    </row>
    <row r="536">
      <c r="C536" s="291"/>
    </row>
    <row r="537">
      <c r="C537" s="291"/>
    </row>
    <row r="538">
      <c r="C538" s="291"/>
    </row>
    <row r="539">
      <c r="C539" s="291"/>
    </row>
    <row r="540">
      <c r="C540" s="291"/>
    </row>
    <row r="541">
      <c r="C541" s="291"/>
    </row>
    <row r="542">
      <c r="C542" s="291"/>
    </row>
    <row r="543">
      <c r="C543" s="291"/>
    </row>
    <row r="544">
      <c r="C544" s="291"/>
    </row>
    <row r="545">
      <c r="C545" s="291"/>
    </row>
    <row r="546">
      <c r="C546" s="291"/>
    </row>
    <row r="547">
      <c r="C547" s="291"/>
    </row>
    <row r="548">
      <c r="C548" s="291"/>
    </row>
    <row r="549">
      <c r="C549" s="291"/>
    </row>
    <row r="550">
      <c r="C550" s="291"/>
    </row>
    <row r="551">
      <c r="C551" s="291"/>
    </row>
    <row r="552">
      <c r="C552" s="291"/>
    </row>
    <row r="553">
      <c r="C553" s="291"/>
    </row>
    <row r="554">
      <c r="C554" s="291"/>
    </row>
    <row r="555">
      <c r="C555" s="291"/>
    </row>
    <row r="556">
      <c r="C556" s="291"/>
    </row>
    <row r="557">
      <c r="C557" s="291"/>
    </row>
    <row r="558">
      <c r="C558" s="291"/>
    </row>
    <row r="559">
      <c r="C559" s="291"/>
    </row>
    <row r="560">
      <c r="C560" s="291"/>
    </row>
    <row r="561">
      <c r="C561" s="291"/>
    </row>
    <row r="562">
      <c r="C562" s="291"/>
    </row>
    <row r="563">
      <c r="C563" s="291"/>
    </row>
    <row r="564">
      <c r="C564" s="291"/>
    </row>
    <row r="565">
      <c r="C565" s="291"/>
    </row>
    <row r="566">
      <c r="C566" s="291"/>
    </row>
    <row r="567">
      <c r="C567" s="291"/>
    </row>
    <row r="568">
      <c r="C568" s="291"/>
    </row>
    <row r="569">
      <c r="C569" s="291"/>
    </row>
    <row r="570">
      <c r="C570" s="291"/>
    </row>
    <row r="571">
      <c r="C571" s="291"/>
    </row>
    <row r="572">
      <c r="C572" s="291"/>
    </row>
    <row r="573">
      <c r="C573" s="291"/>
    </row>
    <row r="574">
      <c r="C574" s="291"/>
    </row>
    <row r="575">
      <c r="C575" s="291"/>
    </row>
    <row r="576">
      <c r="C576" s="291"/>
    </row>
    <row r="577">
      <c r="C577" s="291"/>
    </row>
    <row r="578">
      <c r="C578" s="291"/>
    </row>
    <row r="579">
      <c r="C579" s="291"/>
    </row>
    <row r="580">
      <c r="C580" s="291"/>
    </row>
    <row r="581">
      <c r="C581" s="291"/>
    </row>
    <row r="582">
      <c r="C582" s="291"/>
    </row>
    <row r="583">
      <c r="C583" s="291"/>
    </row>
    <row r="584">
      <c r="C584" s="291"/>
    </row>
    <row r="585">
      <c r="C585" s="291"/>
    </row>
    <row r="586">
      <c r="C586" s="291"/>
    </row>
    <row r="587">
      <c r="C587" s="291"/>
    </row>
    <row r="588">
      <c r="C588" s="291"/>
    </row>
    <row r="589">
      <c r="C589" s="291"/>
    </row>
    <row r="590">
      <c r="C590" s="291"/>
    </row>
    <row r="591">
      <c r="C591" s="291"/>
    </row>
    <row r="592">
      <c r="C592" s="291"/>
    </row>
    <row r="593">
      <c r="C593" s="291"/>
    </row>
    <row r="594">
      <c r="C594" s="291"/>
    </row>
    <row r="595">
      <c r="C595" s="291"/>
    </row>
    <row r="596">
      <c r="C596" s="291"/>
    </row>
    <row r="597">
      <c r="C597" s="291"/>
    </row>
    <row r="598">
      <c r="C598" s="291"/>
    </row>
    <row r="599">
      <c r="C599" s="291"/>
    </row>
    <row r="600">
      <c r="C600" s="291"/>
    </row>
    <row r="601">
      <c r="C601" s="291"/>
    </row>
    <row r="602">
      <c r="C602" s="291"/>
    </row>
    <row r="603">
      <c r="C603" s="291"/>
    </row>
    <row r="604">
      <c r="C604" s="291"/>
    </row>
    <row r="605">
      <c r="C605" s="291"/>
    </row>
    <row r="606">
      <c r="C606" s="291"/>
    </row>
    <row r="607">
      <c r="C607" s="291"/>
    </row>
    <row r="608">
      <c r="C608" s="291"/>
    </row>
    <row r="609">
      <c r="C609" s="291"/>
    </row>
    <row r="610">
      <c r="C610" s="291"/>
    </row>
    <row r="611">
      <c r="C611" s="291"/>
    </row>
    <row r="612">
      <c r="C612" s="291"/>
    </row>
    <row r="613">
      <c r="C613" s="291"/>
    </row>
    <row r="614">
      <c r="C614" s="291"/>
    </row>
    <row r="615">
      <c r="C615" s="291"/>
    </row>
    <row r="616">
      <c r="C616" s="291"/>
    </row>
    <row r="617">
      <c r="C617" s="291"/>
    </row>
    <row r="618">
      <c r="C618" s="291"/>
    </row>
    <row r="619">
      <c r="C619" s="291"/>
    </row>
    <row r="620">
      <c r="C620" s="291"/>
    </row>
    <row r="621">
      <c r="C621" s="291"/>
    </row>
    <row r="622">
      <c r="C622" s="291"/>
    </row>
    <row r="623">
      <c r="C623" s="291"/>
    </row>
    <row r="624">
      <c r="C624" s="291"/>
    </row>
    <row r="625">
      <c r="C625" s="291"/>
    </row>
    <row r="626">
      <c r="C626" s="291"/>
    </row>
    <row r="627">
      <c r="C627" s="291"/>
    </row>
    <row r="628">
      <c r="C628" s="291"/>
    </row>
    <row r="629">
      <c r="C629" s="291"/>
    </row>
    <row r="630">
      <c r="C630" s="291"/>
    </row>
    <row r="631">
      <c r="C631" s="291"/>
    </row>
    <row r="632">
      <c r="C632" s="291"/>
    </row>
    <row r="633">
      <c r="C633" s="291"/>
    </row>
    <row r="634">
      <c r="C634" s="291"/>
    </row>
    <row r="635">
      <c r="C635" s="291"/>
    </row>
    <row r="636">
      <c r="C636" s="291"/>
    </row>
    <row r="637">
      <c r="C637" s="291"/>
    </row>
    <row r="638">
      <c r="C638" s="291"/>
    </row>
    <row r="639">
      <c r="C639" s="291"/>
    </row>
    <row r="640">
      <c r="C640" s="291"/>
    </row>
    <row r="641">
      <c r="C641" s="291"/>
    </row>
    <row r="642">
      <c r="C642" s="291"/>
    </row>
    <row r="643">
      <c r="C643" s="291"/>
    </row>
    <row r="644">
      <c r="C644" s="291"/>
    </row>
    <row r="645">
      <c r="C645" s="291"/>
    </row>
    <row r="646">
      <c r="C646" s="291"/>
    </row>
    <row r="647">
      <c r="C647" s="291"/>
    </row>
    <row r="648">
      <c r="C648" s="291"/>
    </row>
    <row r="649">
      <c r="C649" s="291"/>
    </row>
    <row r="650">
      <c r="C650" s="291"/>
    </row>
    <row r="651">
      <c r="C651" s="291"/>
    </row>
    <row r="652">
      <c r="C652" s="291"/>
    </row>
    <row r="653">
      <c r="C653" s="291"/>
    </row>
    <row r="654">
      <c r="C654" s="291"/>
    </row>
    <row r="655">
      <c r="C655" s="291"/>
    </row>
    <row r="656">
      <c r="C656" s="291"/>
    </row>
    <row r="657">
      <c r="C657" s="291"/>
    </row>
    <row r="658">
      <c r="C658" s="291"/>
    </row>
    <row r="659">
      <c r="C659" s="291"/>
    </row>
    <row r="660">
      <c r="C660" s="291"/>
    </row>
    <row r="661">
      <c r="C661" s="291"/>
    </row>
    <row r="662">
      <c r="C662" s="291"/>
    </row>
    <row r="663">
      <c r="C663" s="291"/>
    </row>
    <row r="664">
      <c r="C664" s="291"/>
    </row>
    <row r="665">
      <c r="C665" s="291"/>
    </row>
    <row r="666">
      <c r="C666" s="291"/>
    </row>
    <row r="667">
      <c r="C667" s="291"/>
    </row>
    <row r="668">
      <c r="C668" s="291"/>
    </row>
    <row r="669">
      <c r="C669" s="291"/>
    </row>
    <row r="670">
      <c r="C670" s="291"/>
    </row>
    <row r="671">
      <c r="C671" s="291"/>
    </row>
    <row r="672">
      <c r="C672" s="291"/>
    </row>
    <row r="673">
      <c r="C673" s="291"/>
    </row>
    <row r="674">
      <c r="C674" s="291"/>
    </row>
    <row r="675">
      <c r="C675" s="291"/>
    </row>
    <row r="676">
      <c r="C676" s="291"/>
    </row>
    <row r="677">
      <c r="C677" s="291"/>
    </row>
    <row r="678">
      <c r="C678" s="291"/>
    </row>
    <row r="679">
      <c r="C679" s="291"/>
    </row>
    <row r="680">
      <c r="C680" s="291"/>
    </row>
    <row r="681">
      <c r="C681" s="291"/>
    </row>
    <row r="682">
      <c r="C682" s="291"/>
    </row>
    <row r="683">
      <c r="C683" s="291"/>
    </row>
    <row r="684">
      <c r="C684" s="291"/>
    </row>
    <row r="685">
      <c r="C685" s="291"/>
    </row>
    <row r="686">
      <c r="C686" s="291"/>
    </row>
    <row r="687">
      <c r="C687" s="291"/>
    </row>
    <row r="688">
      <c r="C688" s="291"/>
    </row>
    <row r="689">
      <c r="C689" s="291"/>
    </row>
    <row r="690">
      <c r="C690" s="291"/>
    </row>
    <row r="691">
      <c r="C691" s="291"/>
    </row>
    <row r="692">
      <c r="C692" s="291"/>
    </row>
    <row r="693">
      <c r="C693" s="291"/>
    </row>
    <row r="694">
      <c r="C694" s="291"/>
    </row>
    <row r="695">
      <c r="C695" s="291"/>
    </row>
    <row r="696">
      <c r="C696" s="291"/>
    </row>
    <row r="697">
      <c r="C697" s="291"/>
    </row>
    <row r="698">
      <c r="C698" s="291"/>
    </row>
    <row r="699">
      <c r="C699" s="291"/>
    </row>
    <row r="700">
      <c r="C700" s="291"/>
    </row>
    <row r="701">
      <c r="C701" s="291"/>
    </row>
    <row r="702">
      <c r="C702" s="291"/>
    </row>
    <row r="703">
      <c r="C703" s="291"/>
    </row>
    <row r="704">
      <c r="C704" s="291"/>
    </row>
    <row r="705">
      <c r="C705" s="291"/>
    </row>
    <row r="706">
      <c r="C706" s="291"/>
    </row>
    <row r="707">
      <c r="C707" s="291"/>
    </row>
    <row r="708">
      <c r="C708" s="291"/>
    </row>
    <row r="709">
      <c r="C709" s="291"/>
    </row>
    <row r="710">
      <c r="C710" s="291"/>
    </row>
    <row r="711">
      <c r="C711" s="291"/>
    </row>
    <row r="712">
      <c r="C712" s="291"/>
    </row>
    <row r="713">
      <c r="C713" s="291"/>
    </row>
    <row r="714">
      <c r="C714" s="291"/>
    </row>
    <row r="715">
      <c r="C715" s="291"/>
    </row>
    <row r="716">
      <c r="C716" s="291"/>
    </row>
    <row r="717">
      <c r="C717" s="291"/>
    </row>
    <row r="718">
      <c r="C718" s="291"/>
    </row>
    <row r="719">
      <c r="C719" s="291"/>
    </row>
    <row r="720">
      <c r="C720" s="291"/>
    </row>
    <row r="721">
      <c r="C721" s="291"/>
    </row>
    <row r="722">
      <c r="C722" s="291"/>
    </row>
    <row r="723">
      <c r="C723" s="291"/>
    </row>
    <row r="724">
      <c r="C724" s="291"/>
    </row>
    <row r="725">
      <c r="C725" s="291"/>
    </row>
    <row r="726">
      <c r="C726" s="291"/>
    </row>
    <row r="727">
      <c r="C727" s="291"/>
    </row>
    <row r="728">
      <c r="C728" s="291"/>
    </row>
    <row r="729">
      <c r="C729" s="291"/>
    </row>
    <row r="730">
      <c r="C730" s="291"/>
    </row>
    <row r="731">
      <c r="C731" s="291"/>
    </row>
    <row r="732">
      <c r="C732" s="291"/>
    </row>
    <row r="733">
      <c r="C733" s="291"/>
    </row>
    <row r="734">
      <c r="C734" s="291"/>
    </row>
    <row r="735">
      <c r="C735" s="291"/>
    </row>
    <row r="736">
      <c r="C736" s="291"/>
    </row>
    <row r="737">
      <c r="C737" s="291"/>
    </row>
    <row r="738">
      <c r="C738" s="291"/>
    </row>
    <row r="739">
      <c r="C739" s="291"/>
    </row>
    <row r="740">
      <c r="C740" s="291"/>
    </row>
    <row r="741">
      <c r="C741" s="291"/>
    </row>
    <row r="742">
      <c r="C742" s="291"/>
    </row>
    <row r="743">
      <c r="C743" s="291"/>
    </row>
    <row r="744">
      <c r="C744" s="291"/>
    </row>
    <row r="745">
      <c r="C745" s="291"/>
    </row>
    <row r="746">
      <c r="C746" s="291"/>
    </row>
    <row r="747">
      <c r="C747" s="291"/>
    </row>
    <row r="748">
      <c r="C748" s="291"/>
    </row>
    <row r="749">
      <c r="C749" s="291"/>
    </row>
    <row r="750">
      <c r="C750" s="291"/>
    </row>
    <row r="751">
      <c r="C751" s="291"/>
    </row>
    <row r="752">
      <c r="C752" s="291"/>
    </row>
    <row r="753">
      <c r="C753" s="291"/>
    </row>
    <row r="754">
      <c r="C754" s="291"/>
    </row>
    <row r="755">
      <c r="C755" s="291"/>
    </row>
    <row r="756">
      <c r="C756" s="291"/>
    </row>
    <row r="757">
      <c r="C757" s="291"/>
    </row>
    <row r="758">
      <c r="C758" s="291"/>
    </row>
    <row r="759">
      <c r="C759" s="291"/>
    </row>
    <row r="760">
      <c r="C760" s="291"/>
    </row>
    <row r="761">
      <c r="C761" s="291"/>
    </row>
    <row r="762">
      <c r="C762" s="291"/>
    </row>
    <row r="763">
      <c r="C763" s="291"/>
    </row>
    <row r="764">
      <c r="C764" s="291"/>
    </row>
    <row r="765">
      <c r="C765" s="291"/>
    </row>
    <row r="766">
      <c r="C766" s="291"/>
    </row>
    <row r="767">
      <c r="C767" s="291"/>
    </row>
    <row r="768">
      <c r="C768" s="291"/>
    </row>
    <row r="769">
      <c r="C769" s="291"/>
    </row>
    <row r="770">
      <c r="C770" s="291"/>
    </row>
    <row r="771">
      <c r="C771" s="291"/>
    </row>
    <row r="772">
      <c r="C772" s="291"/>
    </row>
    <row r="773">
      <c r="C773" s="291"/>
    </row>
    <row r="774">
      <c r="C774" s="291"/>
    </row>
    <row r="775">
      <c r="C775" s="291"/>
    </row>
    <row r="776">
      <c r="C776" s="291"/>
    </row>
    <row r="777">
      <c r="C777" s="291"/>
    </row>
    <row r="778">
      <c r="C778" s="291"/>
    </row>
    <row r="779">
      <c r="C779" s="291"/>
    </row>
    <row r="780">
      <c r="C780" s="291"/>
    </row>
    <row r="781">
      <c r="C781" s="291"/>
    </row>
    <row r="782">
      <c r="C782" s="291"/>
    </row>
    <row r="783">
      <c r="C783" s="291"/>
    </row>
    <row r="784">
      <c r="C784" s="291"/>
    </row>
    <row r="785">
      <c r="C785" s="291"/>
    </row>
    <row r="786">
      <c r="C786" s="291"/>
    </row>
    <row r="787">
      <c r="C787" s="291"/>
    </row>
    <row r="788">
      <c r="C788" s="291"/>
    </row>
    <row r="789">
      <c r="C789" s="291"/>
    </row>
    <row r="790">
      <c r="C790" s="291"/>
    </row>
    <row r="791">
      <c r="C791" s="291"/>
    </row>
    <row r="792">
      <c r="C792" s="291"/>
    </row>
    <row r="793">
      <c r="C793" s="291"/>
    </row>
    <row r="794">
      <c r="C794" s="291"/>
    </row>
    <row r="795">
      <c r="C795" s="291"/>
    </row>
    <row r="796">
      <c r="C796" s="291"/>
    </row>
    <row r="797">
      <c r="C797" s="291"/>
    </row>
    <row r="798">
      <c r="C798" s="291"/>
    </row>
    <row r="799">
      <c r="C799" s="291"/>
    </row>
    <row r="800">
      <c r="C800" s="291"/>
    </row>
    <row r="801">
      <c r="C801" s="291"/>
    </row>
    <row r="802">
      <c r="C802" s="291"/>
    </row>
    <row r="803">
      <c r="C803" s="291"/>
    </row>
    <row r="804">
      <c r="C804" s="291"/>
    </row>
    <row r="805">
      <c r="C805" s="291"/>
    </row>
    <row r="806">
      <c r="C806" s="291"/>
    </row>
    <row r="807">
      <c r="C807" s="291"/>
    </row>
    <row r="808">
      <c r="C808" s="291"/>
    </row>
    <row r="809">
      <c r="C809" s="291"/>
    </row>
    <row r="810">
      <c r="C810" s="291"/>
    </row>
    <row r="811">
      <c r="C811" s="291"/>
    </row>
    <row r="812">
      <c r="C812" s="291"/>
    </row>
    <row r="813">
      <c r="C813" s="291"/>
    </row>
    <row r="814">
      <c r="C814" s="291"/>
    </row>
    <row r="815">
      <c r="C815" s="291"/>
    </row>
    <row r="816">
      <c r="C816" s="291"/>
    </row>
    <row r="817">
      <c r="C817" s="291"/>
    </row>
    <row r="818">
      <c r="C818" s="291"/>
    </row>
    <row r="819">
      <c r="C819" s="291"/>
    </row>
    <row r="820">
      <c r="C820" s="291"/>
    </row>
    <row r="821">
      <c r="C821" s="291"/>
    </row>
    <row r="822">
      <c r="C822" s="291"/>
    </row>
    <row r="823">
      <c r="C823" s="291"/>
    </row>
    <row r="824">
      <c r="C824" s="291"/>
    </row>
    <row r="825">
      <c r="C825" s="291"/>
    </row>
    <row r="826">
      <c r="C826" s="291"/>
    </row>
    <row r="827">
      <c r="C827" s="291"/>
    </row>
    <row r="828">
      <c r="C828" s="291"/>
    </row>
    <row r="829">
      <c r="C829" s="291"/>
    </row>
    <row r="830">
      <c r="C830" s="291"/>
    </row>
    <row r="831">
      <c r="C831" s="291"/>
    </row>
    <row r="832">
      <c r="C832" s="291"/>
    </row>
    <row r="833">
      <c r="C833" s="291"/>
    </row>
    <row r="834">
      <c r="C834" s="291"/>
    </row>
    <row r="835">
      <c r="C835" s="291"/>
    </row>
    <row r="836">
      <c r="C836" s="291"/>
    </row>
    <row r="837">
      <c r="C837" s="291"/>
    </row>
    <row r="838">
      <c r="C838" s="291"/>
    </row>
    <row r="839">
      <c r="C839" s="291"/>
    </row>
    <row r="840">
      <c r="C840" s="291"/>
    </row>
    <row r="841">
      <c r="C841" s="291"/>
    </row>
    <row r="842">
      <c r="C842" s="291"/>
    </row>
    <row r="843">
      <c r="C843" s="291"/>
    </row>
    <row r="844">
      <c r="C844" s="291"/>
    </row>
    <row r="845">
      <c r="C845" s="291"/>
    </row>
    <row r="846">
      <c r="C846" s="291"/>
    </row>
    <row r="847">
      <c r="C847" s="291"/>
    </row>
    <row r="848">
      <c r="C848" s="291"/>
    </row>
    <row r="849">
      <c r="C849" s="291"/>
    </row>
    <row r="850">
      <c r="C850" s="291"/>
    </row>
    <row r="851">
      <c r="C851" s="291"/>
    </row>
    <row r="852">
      <c r="C852" s="291"/>
    </row>
    <row r="853">
      <c r="C853" s="291"/>
    </row>
    <row r="854">
      <c r="C854" s="291"/>
    </row>
    <row r="855">
      <c r="C855" s="291"/>
    </row>
    <row r="856">
      <c r="C856" s="291"/>
    </row>
    <row r="857">
      <c r="C857" s="291"/>
    </row>
    <row r="858">
      <c r="C858" s="291"/>
    </row>
    <row r="859">
      <c r="C859" s="291"/>
    </row>
    <row r="860">
      <c r="C860" s="291"/>
    </row>
    <row r="861">
      <c r="C861" s="291"/>
    </row>
    <row r="862">
      <c r="C862" s="291"/>
    </row>
    <row r="863">
      <c r="C863" s="291"/>
    </row>
    <row r="864">
      <c r="C864" s="291"/>
    </row>
    <row r="865">
      <c r="C865" s="291"/>
    </row>
    <row r="866">
      <c r="C866" s="291"/>
    </row>
    <row r="867">
      <c r="C867" s="291"/>
    </row>
    <row r="868">
      <c r="C868" s="291"/>
    </row>
    <row r="869">
      <c r="C869" s="291"/>
    </row>
    <row r="870">
      <c r="C870" s="291"/>
    </row>
    <row r="871">
      <c r="C871" s="291"/>
    </row>
    <row r="872">
      <c r="C872" s="291"/>
    </row>
    <row r="873">
      <c r="C873" s="291"/>
    </row>
    <row r="874">
      <c r="C874" s="291"/>
    </row>
    <row r="875">
      <c r="C875" s="291"/>
    </row>
    <row r="876">
      <c r="C876" s="291"/>
    </row>
    <row r="877">
      <c r="C877" s="291"/>
    </row>
    <row r="878">
      <c r="C878" s="291"/>
    </row>
    <row r="879">
      <c r="C879" s="291"/>
    </row>
    <row r="880">
      <c r="C880" s="291"/>
    </row>
    <row r="881">
      <c r="C881" s="291"/>
    </row>
    <row r="882">
      <c r="C882" s="291"/>
    </row>
    <row r="883">
      <c r="C883" s="291"/>
    </row>
    <row r="884">
      <c r="C884" s="291"/>
    </row>
    <row r="885">
      <c r="C885" s="291"/>
    </row>
    <row r="886">
      <c r="C886" s="291"/>
    </row>
    <row r="887">
      <c r="C887" s="291"/>
    </row>
    <row r="888">
      <c r="C888" s="291"/>
    </row>
    <row r="889">
      <c r="C889" s="291"/>
    </row>
    <row r="890">
      <c r="C890" s="291"/>
    </row>
    <row r="891">
      <c r="C891" s="291"/>
    </row>
    <row r="892">
      <c r="C892" s="291"/>
    </row>
    <row r="893">
      <c r="C893" s="291"/>
    </row>
    <row r="894">
      <c r="C894" s="291"/>
    </row>
    <row r="895">
      <c r="C895" s="291"/>
    </row>
    <row r="896">
      <c r="C896" s="291"/>
    </row>
    <row r="897">
      <c r="C897" s="291"/>
    </row>
    <row r="898">
      <c r="C898" s="291"/>
    </row>
    <row r="899">
      <c r="C899" s="291"/>
    </row>
    <row r="900">
      <c r="C900" s="291"/>
    </row>
    <row r="901">
      <c r="C901" s="291"/>
    </row>
    <row r="902">
      <c r="C902" s="291"/>
    </row>
    <row r="903">
      <c r="C903" s="291"/>
    </row>
    <row r="904">
      <c r="C904" s="291"/>
    </row>
    <row r="905">
      <c r="C905" s="291"/>
    </row>
    <row r="906">
      <c r="C906" s="291"/>
    </row>
    <row r="907">
      <c r="C907" s="291"/>
    </row>
    <row r="908">
      <c r="C908" s="291"/>
    </row>
    <row r="909">
      <c r="C909" s="291"/>
    </row>
    <row r="910">
      <c r="C910" s="291"/>
    </row>
    <row r="911">
      <c r="C911" s="291"/>
    </row>
    <row r="912">
      <c r="C912" s="291"/>
    </row>
    <row r="913">
      <c r="C913" s="291"/>
    </row>
    <row r="914">
      <c r="C914" s="291"/>
    </row>
    <row r="915">
      <c r="C915" s="291"/>
    </row>
    <row r="916">
      <c r="C916" s="291"/>
    </row>
    <row r="917">
      <c r="C917" s="291"/>
    </row>
    <row r="918">
      <c r="C918" s="291"/>
    </row>
    <row r="919">
      <c r="C919" s="291"/>
    </row>
    <row r="920">
      <c r="C920" s="291"/>
    </row>
    <row r="921">
      <c r="C921" s="291"/>
    </row>
    <row r="922">
      <c r="C922" s="291"/>
    </row>
    <row r="923">
      <c r="C923" s="291"/>
    </row>
    <row r="924">
      <c r="C924" s="291"/>
    </row>
    <row r="925">
      <c r="C925" s="291"/>
    </row>
    <row r="926">
      <c r="C926" s="291"/>
    </row>
    <row r="927">
      <c r="C927" s="291"/>
    </row>
    <row r="928">
      <c r="C928" s="291"/>
    </row>
    <row r="929">
      <c r="C929" s="291"/>
    </row>
    <row r="930">
      <c r="C930" s="291"/>
    </row>
    <row r="931">
      <c r="C931" s="291"/>
    </row>
    <row r="932">
      <c r="C932" s="291"/>
    </row>
    <row r="933">
      <c r="C933" s="291"/>
    </row>
    <row r="934">
      <c r="C934" s="291"/>
    </row>
    <row r="935">
      <c r="C935" s="291"/>
    </row>
    <row r="936">
      <c r="C936" s="291"/>
    </row>
    <row r="937">
      <c r="C937" s="291"/>
    </row>
    <row r="938">
      <c r="C938" s="291"/>
    </row>
    <row r="939">
      <c r="C939" s="291"/>
    </row>
    <row r="940">
      <c r="C940" s="291"/>
    </row>
    <row r="941">
      <c r="C941" s="291"/>
    </row>
    <row r="942">
      <c r="C942" s="291"/>
    </row>
    <row r="943">
      <c r="C943" s="291"/>
    </row>
    <row r="944">
      <c r="C944" s="291"/>
    </row>
    <row r="945">
      <c r="C945" s="291"/>
    </row>
    <row r="946">
      <c r="C946" s="291"/>
    </row>
    <row r="947">
      <c r="C947" s="291"/>
    </row>
    <row r="948">
      <c r="C948" s="291"/>
    </row>
    <row r="949">
      <c r="C949" s="291"/>
    </row>
    <row r="950">
      <c r="C950" s="291"/>
    </row>
    <row r="951">
      <c r="C951" s="291"/>
    </row>
    <row r="952">
      <c r="C952" s="291"/>
    </row>
    <row r="953">
      <c r="C953" s="291"/>
    </row>
    <row r="954">
      <c r="C954" s="291"/>
    </row>
    <row r="955">
      <c r="C955" s="291"/>
    </row>
    <row r="956">
      <c r="C956" s="291"/>
    </row>
    <row r="957">
      <c r="C957" s="291"/>
    </row>
    <row r="958">
      <c r="C958" s="291"/>
    </row>
    <row r="959">
      <c r="C959" s="291"/>
    </row>
    <row r="960">
      <c r="C960" s="291"/>
    </row>
    <row r="961">
      <c r="C961" s="291"/>
    </row>
    <row r="962">
      <c r="C962" s="291"/>
    </row>
    <row r="963">
      <c r="C963" s="291"/>
    </row>
    <row r="964">
      <c r="C964" s="291"/>
    </row>
    <row r="965">
      <c r="C965" s="291"/>
    </row>
    <row r="966">
      <c r="C966" s="291"/>
    </row>
    <row r="967">
      <c r="C967" s="291"/>
    </row>
    <row r="968">
      <c r="C968" s="291"/>
    </row>
    <row r="969">
      <c r="C969" s="291"/>
    </row>
    <row r="970">
      <c r="C970" s="291"/>
    </row>
    <row r="971">
      <c r="C971" s="291"/>
    </row>
    <row r="972">
      <c r="C972" s="291"/>
    </row>
    <row r="973">
      <c r="C973" s="291"/>
    </row>
    <row r="974">
      <c r="C974" s="291"/>
    </row>
    <row r="975">
      <c r="C975" s="291"/>
    </row>
    <row r="976">
      <c r="C976" s="291"/>
    </row>
    <row r="977">
      <c r="C977" s="291"/>
    </row>
    <row r="978">
      <c r="C978" s="291"/>
    </row>
    <row r="979">
      <c r="C979" s="291"/>
    </row>
    <row r="980">
      <c r="C980" s="291"/>
    </row>
    <row r="981">
      <c r="C981" s="291"/>
    </row>
    <row r="982">
      <c r="C982" s="291"/>
    </row>
    <row r="983">
      <c r="C983" s="291"/>
    </row>
    <row r="984">
      <c r="C984" s="291"/>
    </row>
    <row r="985">
      <c r="C985" s="291"/>
    </row>
    <row r="986">
      <c r="C986" s="291"/>
    </row>
    <row r="987">
      <c r="C987" s="291"/>
    </row>
    <row r="988">
      <c r="C988" s="291"/>
    </row>
    <row r="989">
      <c r="C989" s="291"/>
    </row>
    <row r="990">
      <c r="C990" s="291"/>
    </row>
    <row r="991">
      <c r="C991" s="291"/>
    </row>
    <row r="992">
      <c r="C992" s="291"/>
    </row>
    <row r="993">
      <c r="C993" s="291"/>
    </row>
    <row r="994">
      <c r="C994" s="291"/>
    </row>
    <row r="995">
      <c r="C995" s="291"/>
    </row>
    <row r="996">
      <c r="C996" s="291"/>
    </row>
    <row r="997">
      <c r="C997" s="291"/>
    </row>
    <row r="998">
      <c r="C998" s="291"/>
    </row>
    <row r="999">
      <c r="C999" s="291"/>
    </row>
    <row r="1000">
      <c r="C1000" s="291"/>
    </row>
    <row r="1001">
      <c r="C1001" s="291"/>
    </row>
    <row r="1002">
      <c r="C1002" s="291"/>
    </row>
    <row r="1003">
      <c r="C1003" s="291"/>
    </row>
    <row r="1004">
      <c r="C1004" s="291"/>
    </row>
    <row r="1005">
      <c r="C1005" s="291"/>
    </row>
    <row r="1006">
      <c r="C1006" s="291"/>
    </row>
    <row r="1007">
      <c r="C1007" s="291"/>
    </row>
  </sheetData>
  <mergeCells count="7">
    <mergeCell ref="A1:P1"/>
    <mergeCell ref="A3:A4"/>
    <mergeCell ref="B3:B4"/>
    <mergeCell ref="C3:C4"/>
    <mergeCell ref="D3:D4"/>
    <mergeCell ref="E3:J3"/>
    <mergeCell ref="K3:P3"/>
  </mergeCells>
  <conditionalFormatting sqref="E6:H23 I6:I22 K6:N23 O6:O22">
    <cfRule type="containsText" dxfId="1" priority="1" operator="containsText" text="T">
      <formula>NOT(ISERROR(SEARCH(("T"),(E6))))</formula>
    </cfRule>
  </conditionalFormatting>
  <conditionalFormatting sqref="E6:I23">
    <cfRule type="containsText" dxfId="2" priority="2" operator="containsText" text="T">
      <formula>NOT(ISERROR(SEARCH(("T"),(E6))))</formula>
    </cfRule>
  </conditionalFormatting>
  <conditionalFormatting sqref="G6:G8">
    <cfRule type="containsText" dxfId="2" priority="3" operator="containsText" text="T">
      <formula>NOT(ISERROR(SEARCH(("T"),(G6))))</formula>
    </cfRule>
  </conditionalFormatting>
  <conditionalFormatting sqref="E6:H23 I6:I22 K6:N23 O6:O22">
    <cfRule type="containsText" dxfId="3" priority="4" operator="containsText" text="Y">
      <formula>NOT(ISERROR(SEARCH(("Y"),(E6))))</formula>
    </cfRule>
  </conditionalFormatting>
  <conditionalFormatting sqref="K6:O23">
    <cfRule type="containsText" dxfId="2" priority="5" operator="containsText" text="T">
      <formula>NOT(ISERROR(SEARCH(("T"),(K6))))</formula>
    </cfRule>
  </conditionalFormatting>
  <dataValidations>
    <dataValidation type="list" allowBlank="1" showErrorMessage="1" sqref="E6:I23 K6:O23">
      <formula1>"Y,T"</formula1>
    </dataValidation>
  </dataValidations>
  <printOptions horizontalCentered="1"/>
  <pageMargins bottom="0.3937007874015748" footer="0.0" header="0.0" left="0.3937007874015748" right="0.3937007874015748" top="0.3937007874015748"/>
  <pageSetup paperSize="9" scale="56" orientation="landscape"/>
  <headerFooter>
    <oddHeader>&amp;RLampiran 2</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1.22" defaultRowHeight="15.0"/>
  <cols>
    <col customWidth="1" min="1" max="1" width="6.44"/>
    <col customWidth="1" min="2" max="2" width="24.0"/>
    <col customWidth="1" min="3" max="3" width="19.22"/>
    <col customWidth="1" min="4" max="4" width="22.33"/>
    <col customWidth="1" min="5" max="5" width="19.11"/>
    <col customWidth="1" min="6" max="6" width="22.0"/>
    <col customWidth="1" min="7" max="7" width="27.44"/>
    <col customWidth="1" min="8" max="8" width="17.11"/>
    <col customWidth="1" min="9" max="9" width="24.56"/>
    <col customWidth="1" min="10" max="10" width="21.11"/>
    <col customWidth="1" min="11" max="11" width="16.44"/>
    <col customWidth="1" min="12" max="12" width="13.11"/>
    <col customWidth="1" min="13" max="13" width="20.22"/>
    <col customWidth="1" min="14" max="14" width="26.22"/>
    <col customWidth="1" min="15" max="15" width="24.56"/>
    <col customWidth="1" min="16" max="16" width="21.11"/>
    <col customWidth="1" min="17" max="17" width="16.44"/>
    <col customWidth="1" min="18" max="18" width="13.11"/>
    <col customWidth="1" min="19" max="19" width="29.11"/>
    <col customWidth="1" min="20" max="20" width="17.44"/>
    <col customWidth="1" min="21" max="26" width="11.0"/>
  </cols>
  <sheetData>
    <row r="1" ht="29.25" customHeight="1">
      <c r="A1" s="292" t="s">
        <v>360</v>
      </c>
      <c r="B1" s="62"/>
      <c r="C1" s="62"/>
      <c r="D1" s="62"/>
      <c r="E1" s="62"/>
      <c r="F1" s="62"/>
      <c r="G1" s="62"/>
      <c r="H1" s="62"/>
      <c r="I1" s="62"/>
      <c r="J1" s="62"/>
      <c r="K1" s="62"/>
      <c r="L1" s="62"/>
      <c r="M1" s="63"/>
      <c r="N1" s="185"/>
      <c r="O1" s="185"/>
      <c r="P1" s="185"/>
      <c r="Q1" s="185"/>
      <c r="R1" s="185"/>
      <c r="S1" s="293"/>
    </row>
    <row r="2" ht="32.25" customHeight="1">
      <c r="A2" s="294" t="s">
        <v>361</v>
      </c>
      <c r="B2" s="62"/>
      <c r="C2" s="62"/>
      <c r="D2" s="62"/>
      <c r="E2" s="62"/>
      <c r="F2" s="62"/>
      <c r="G2" s="62"/>
      <c r="H2" s="62"/>
      <c r="I2" s="62"/>
      <c r="J2" s="62"/>
      <c r="K2" s="62"/>
      <c r="L2" s="62"/>
      <c r="M2" s="63"/>
      <c r="N2" s="185"/>
      <c r="O2" s="185"/>
      <c r="P2" s="185"/>
      <c r="Q2" s="185"/>
      <c r="R2" s="185"/>
      <c r="S2" s="293"/>
    </row>
    <row r="3">
      <c r="A3" s="295" t="s">
        <v>362</v>
      </c>
      <c r="B3" s="296" t="s">
        <v>363</v>
      </c>
      <c r="C3" s="63"/>
      <c r="D3" s="297" t="s">
        <v>364</v>
      </c>
      <c r="E3" s="62"/>
      <c r="F3" s="62"/>
      <c r="G3" s="62"/>
      <c r="H3" s="62"/>
      <c r="I3" s="62"/>
      <c r="J3" s="62"/>
      <c r="K3" s="62"/>
      <c r="L3" s="63"/>
      <c r="M3" s="298" t="s">
        <v>365</v>
      </c>
      <c r="N3" s="299" t="s">
        <v>291</v>
      </c>
      <c r="O3" s="62"/>
      <c r="P3" s="62"/>
      <c r="Q3" s="62"/>
      <c r="R3" s="62"/>
      <c r="S3" s="63"/>
    </row>
    <row r="4" ht="68.25" customHeight="1">
      <c r="A4" s="210"/>
      <c r="B4" s="300" t="s">
        <v>366</v>
      </c>
      <c r="C4" s="300" t="s">
        <v>367</v>
      </c>
      <c r="D4" s="301" t="s">
        <v>368</v>
      </c>
      <c r="E4" s="301" t="s">
        <v>369</v>
      </c>
      <c r="F4" s="301" t="s">
        <v>370</v>
      </c>
      <c r="G4" s="301" t="s">
        <v>371</v>
      </c>
      <c r="H4" s="301" t="s">
        <v>372</v>
      </c>
      <c r="I4" s="301" t="s">
        <v>373</v>
      </c>
      <c r="J4" s="301" t="s">
        <v>374</v>
      </c>
      <c r="K4" s="301" t="s">
        <v>375</v>
      </c>
      <c r="L4" s="301" t="s">
        <v>376</v>
      </c>
      <c r="M4" s="210"/>
      <c r="N4" s="302" t="s">
        <v>377</v>
      </c>
      <c r="O4" s="302" t="s">
        <v>378</v>
      </c>
      <c r="P4" s="302" t="s">
        <v>294</v>
      </c>
      <c r="Q4" s="302" t="s">
        <v>295</v>
      </c>
      <c r="R4" s="302" t="s">
        <v>296</v>
      </c>
      <c r="S4" s="302" t="s">
        <v>297</v>
      </c>
    </row>
    <row r="5" ht="95.25" customHeight="1">
      <c r="A5" s="303">
        <v>1.0</v>
      </c>
      <c r="B5" s="304" t="s">
        <v>379</v>
      </c>
      <c r="C5" s="305" t="s">
        <v>380</v>
      </c>
      <c r="D5" s="304" t="s">
        <v>381</v>
      </c>
      <c r="E5" s="304" t="s">
        <v>382</v>
      </c>
      <c r="F5" s="304" t="s">
        <v>383</v>
      </c>
      <c r="G5" s="305" t="s">
        <v>384</v>
      </c>
      <c r="H5" s="305" t="s">
        <v>385</v>
      </c>
      <c r="I5" s="305" t="s">
        <v>386</v>
      </c>
      <c r="J5" s="305" t="s">
        <v>387</v>
      </c>
      <c r="K5" s="305" t="s">
        <v>388</v>
      </c>
      <c r="L5" s="305" t="s">
        <v>389</v>
      </c>
      <c r="M5" s="305" t="s">
        <v>390</v>
      </c>
      <c r="N5" s="306" t="s">
        <v>301</v>
      </c>
      <c r="O5" s="306" t="s">
        <v>301</v>
      </c>
      <c r="P5" s="306" t="s">
        <v>301</v>
      </c>
      <c r="Q5" s="306" t="s">
        <v>301</v>
      </c>
      <c r="R5" s="306" t="s">
        <v>301</v>
      </c>
      <c r="S5" s="307"/>
      <c r="T5" s="182"/>
      <c r="U5" s="182"/>
      <c r="V5" s="182"/>
      <c r="W5" s="182"/>
      <c r="X5" s="182"/>
      <c r="Y5" s="182"/>
      <c r="Z5" s="182"/>
      <c r="AA5" s="182"/>
      <c r="AB5" s="182"/>
      <c r="AC5" s="182"/>
      <c r="AD5" s="182"/>
      <c r="AE5" s="182"/>
      <c r="AF5" s="182"/>
      <c r="AG5" s="182"/>
    </row>
    <row r="6" ht="102.0" customHeight="1">
      <c r="A6" s="303">
        <v>2.0</v>
      </c>
      <c r="B6" s="304" t="s">
        <v>391</v>
      </c>
      <c r="C6" s="305" t="s">
        <v>392</v>
      </c>
      <c r="D6" s="304" t="s">
        <v>393</v>
      </c>
      <c r="E6" s="304" t="s">
        <v>394</v>
      </c>
      <c r="F6" s="304" t="s">
        <v>395</v>
      </c>
      <c r="G6" s="305" t="s">
        <v>396</v>
      </c>
      <c r="H6" s="305" t="s">
        <v>397</v>
      </c>
      <c r="I6" s="305" t="s">
        <v>398</v>
      </c>
      <c r="J6" s="305" t="s">
        <v>399</v>
      </c>
      <c r="K6" s="305" t="s">
        <v>400</v>
      </c>
      <c r="L6" s="305" t="s">
        <v>401</v>
      </c>
      <c r="M6" s="305" t="s">
        <v>402</v>
      </c>
      <c r="N6" s="306" t="s">
        <v>301</v>
      </c>
      <c r="O6" s="306" t="s">
        <v>301</v>
      </c>
      <c r="P6" s="306" t="s">
        <v>301</v>
      </c>
      <c r="Q6" s="306" t="s">
        <v>301</v>
      </c>
      <c r="R6" s="306" t="s">
        <v>301</v>
      </c>
      <c r="S6" s="307"/>
      <c r="T6" s="182"/>
      <c r="U6" s="182"/>
      <c r="V6" s="182"/>
      <c r="W6" s="182"/>
      <c r="X6" s="182"/>
      <c r="Y6" s="182"/>
      <c r="Z6" s="182"/>
      <c r="AA6" s="182"/>
      <c r="AB6" s="182"/>
      <c r="AC6" s="182"/>
      <c r="AD6" s="182"/>
      <c r="AE6" s="182"/>
      <c r="AF6" s="182"/>
      <c r="AG6" s="182"/>
    </row>
    <row r="7" ht="85.5" customHeight="1">
      <c r="A7" s="303">
        <v>3.0</v>
      </c>
      <c r="B7" s="304" t="s">
        <v>403</v>
      </c>
      <c r="C7" s="305" t="s">
        <v>404</v>
      </c>
      <c r="D7" s="304" t="s">
        <v>405</v>
      </c>
      <c r="E7" s="304" t="s">
        <v>406</v>
      </c>
      <c r="F7" s="304" t="s">
        <v>407</v>
      </c>
      <c r="G7" s="305" t="s">
        <v>408</v>
      </c>
      <c r="H7" s="305" t="s">
        <v>409</v>
      </c>
      <c r="I7" s="305" t="s">
        <v>410</v>
      </c>
      <c r="J7" s="305" t="s">
        <v>411</v>
      </c>
      <c r="K7" s="305" t="s">
        <v>412</v>
      </c>
      <c r="L7" s="305" t="s">
        <v>413</v>
      </c>
      <c r="M7" s="305" t="s">
        <v>414</v>
      </c>
      <c r="N7" s="306" t="s">
        <v>301</v>
      </c>
      <c r="O7" s="306" t="s">
        <v>301</v>
      </c>
      <c r="P7" s="306" t="s">
        <v>301</v>
      </c>
      <c r="Q7" s="306" t="s">
        <v>271</v>
      </c>
      <c r="R7" s="306" t="s">
        <v>301</v>
      </c>
      <c r="S7" s="307" t="s">
        <v>415</v>
      </c>
      <c r="T7" s="182"/>
      <c r="U7" s="182"/>
      <c r="V7" s="182"/>
      <c r="W7" s="182"/>
      <c r="X7" s="182"/>
      <c r="Y7" s="182"/>
      <c r="Z7" s="182"/>
      <c r="AA7" s="182"/>
      <c r="AB7" s="182"/>
      <c r="AC7" s="182"/>
      <c r="AD7" s="182"/>
      <c r="AE7" s="182"/>
      <c r="AF7" s="182"/>
      <c r="AG7" s="182"/>
    </row>
    <row r="8" ht="95.25" customHeight="1">
      <c r="A8" s="303">
        <v>4.0</v>
      </c>
      <c r="B8" s="304" t="s">
        <v>416</v>
      </c>
      <c r="C8" s="305" t="s">
        <v>417</v>
      </c>
      <c r="D8" s="304" t="s">
        <v>418</v>
      </c>
      <c r="E8" s="304" t="s">
        <v>419</v>
      </c>
      <c r="F8" s="304" t="s">
        <v>420</v>
      </c>
      <c r="G8" s="305" t="s">
        <v>421</v>
      </c>
      <c r="H8" s="305" t="s">
        <v>422</v>
      </c>
      <c r="I8" s="305" t="s">
        <v>423</v>
      </c>
      <c r="J8" s="305" t="s">
        <v>424</v>
      </c>
      <c r="K8" s="305" t="s">
        <v>425</v>
      </c>
      <c r="L8" s="305" t="s">
        <v>426</v>
      </c>
      <c r="M8" s="305" t="s">
        <v>427</v>
      </c>
      <c r="N8" s="306" t="s">
        <v>301</v>
      </c>
      <c r="O8" s="306" t="s">
        <v>301</v>
      </c>
      <c r="P8" s="306" t="s">
        <v>301</v>
      </c>
      <c r="Q8" s="306" t="s">
        <v>301</v>
      </c>
      <c r="R8" s="306" t="s">
        <v>301</v>
      </c>
      <c r="S8" s="307"/>
      <c r="T8" s="182"/>
      <c r="U8" s="182"/>
      <c r="V8" s="182"/>
      <c r="W8" s="182"/>
      <c r="X8" s="182"/>
      <c r="Y8" s="182"/>
      <c r="Z8" s="182"/>
      <c r="AA8" s="182"/>
      <c r="AB8" s="182"/>
      <c r="AC8" s="182"/>
      <c r="AD8" s="182"/>
      <c r="AE8" s="182"/>
      <c r="AF8" s="182"/>
      <c r="AG8" s="182"/>
    </row>
    <row r="9" ht="74.25" customHeight="1">
      <c r="A9" s="303">
        <v>5.0</v>
      </c>
      <c r="B9" s="304" t="s">
        <v>428</v>
      </c>
      <c r="C9" s="305" t="s">
        <v>429</v>
      </c>
      <c r="D9" s="304" t="s">
        <v>430</v>
      </c>
      <c r="E9" s="304" t="s">
        <v>431</v>
      </c>
      <c r="F9" s="304" t="s">
        <v>432</v>
      </c>
      <c r="G9" s="305" t="s">
        <v>433</v>
      </c>
      <c r="H9" s="305" t="s">
        <v>434</v>
      </c>
      <c r="I9" s="305" t="s">
        <v>435</v>
      </c>
      <c r="J9" s="305" t="s">
        <v>436</v>
      </c>
      <c r="K9" s="305" t="s">
        <v>437</v>
      </c>
      <c r="L9" s="305" t="s">
        <v>438</v>
      </c>
      <c r="M9" s="305" t="s">
        <v>439</v>
      </c>
      <c r="N9" s="306" t="s">
        <v>301</v>
      </c>
      <c r="O9" s="306" t="s">
        <v>301</v>
      </c>
      <c r="P9" s="306" t="s">
        <v>271</v>
      </c>
      <c r="Q9" s="306" t="s">
        <v>271</v>
      </c>
      <c r="R9" s="306" t="s">
        <v>301</v>
      </c>
      <c r="S9" s="307" t="s">
        <v>440</v>
      </c>
      <c r="T9" s="182"/>
      <c r="U9" s="182"/>
      <c r="V9" s="182"/>
      <c r="W9" s="182"/>
      <c r="X9" s="182"/>
      <c r="Y9" s="182"/>
      <c r="Z9" s="182"/>
      <c r="AA9" s="182"/>
      <c r="AB9" s="182"/>
      <c r="AC9" s="182"/>
      <c r="AD9" s="182"/>
      <c r="AE9" s="182"/>
      <c r="AF9" s="182"/>
      <c r="AG9" s="182"/>
    </row>
    <row r="10" ht="98.25" customHeight="1">
      <c r="A10" s="303">
        <v>6.0</v>
      </c>
      <c r="B10" s="304" t="s">
        <v>441</v>
      </c>
      <c r="C10" s="305" t="s">
        <v>442</v>
      </c>
      <c r="D10" s="304" t="s">
        <v>443</v>
      </c>
      <c r="E10" s="304" t="s">
        <v>444</v>
      </c>
      <c r="F10" s="304" t="s">
        <v>445</v>
      </c>
      <c r="G10" s="305" t="s">
        <v>446</v>
      </c>
      <c r="H10" s="305" t="s">
        <v>447</v>
      </c>
      <c r="I10" s="305" t="s">
        <v>448</v>
      </c>
      <c r="J10" s="305" t="s">
        <v>449</v>
      </c>
      <c r="K10" s="305" t="s">
        <v>450</v>
      </c>
      <c r="L10" s="305" t="s">
        <v>451</v>
      </c>
      <c r="M10" s="305" t="s">
        <v>452</v>
      </c>
      <c r="N10" s="306" t="s">
        <v>301</v>
      </c>
      <c r="O10" s="306" t="s">
        <v>301</v>
      </c>
      <c r="P10" s="306" t="s">
        <v>271</v>
      </c>
      <c r="Q10" s="306" t="s">
        <v>271</v>
      </c>
      <c r="R10" s="306" t="s">
        <v>301</v>
      </c>
      <c r="S10" s="307" t="s">
        <v>453</v>
      </c>
      <c r="T10" s="182"/>
      <c r="U10" s="182"/>
      <c r="V10" s="182"/>
      <c r="W10" s="182"/>
      <c r="X10" s="182"/>
      <c r="Y10" s="182"/>
      <c r="Z10" s="182"/>
      <c r="AA10" s="182"/>
      <c r="AB10" s="182"/>
      <c r="AC10" s="182"/>
      <c r="AD10" s="182"/>
      <c r="AE10" s="182"/>
      <c r="AF10" s="182"/>
      <c r="AG10" s="182"/>
    </row>
    <row r="11" ht="99.0" customHeight="1">
      <c r="A11" s="303">
        <v>7.0</v>
      </c>
      <c r="B11" s="304" t="s">
        <v>454</v>
      </c>
      <c r="C11" s="305" t="s">
        <v>455</v>
      </c>
      <c r="D11" s="304" t="s">
        <v>456</v>
      </c>
      <c r="E11" s="304" t="s">
        <v>457</v>
      </c>
      <c r="F11" s="304" t="s">
        <v>458</v>
      </c>
      <c r="G11" s="308" t="s">
        <v>459</v>
      </c>
      <c r="H11" s="305" t="s">
        <v>460</v>
      </c>
      <c r="I11" s="305" t="s">
        <v>461</v>
      </c>
      <c r="J11" s="305" t="s">
        <v>462</v>
      </c>
      <c r="K11" s="305" t="s">
        <v>463</v>
      </c>
      <c r="L11" s="305" t="s">
        <v>464</v>
      </c>
      <c r="M11" s="309" t="s">
        <v>465</v>
      </c>
      <c r="N11" s="306" t="s">
        <v>301</v>
      </c>
      <c r="O11" s="306" t="s">
        <v>301</v>
      </c>
      <c r="P11" s="306" t="s">
        <v>271</v>
      </c>
      <c r="Q11" s="306" t="s">
        <v>271</v>
      </c>
      <c r="R11" s="306" t="s">
        <v>301</v>
      </c>
      <c r="S11" s="307" t="s">
        <v>466</v>
      </c>
      <c r="T11" s="182"/>
      <c r="U11" s="182"/>
      <c r="V11" s="182"/>
      <c r="W11" s="182"/>
      <c r="X11" s="182"/>
      <c r="Y11" s="182"/>
      <c r="Z11" s="182"/>
      <c r="AA11" s="182"/>
      <c r="AB11" s="182"/>
      <c r="AC11" s="182"/>
      <c r="AD11" s="182"/>
      <c r="AE11" s="182"/>
      <c r="AF11" s="182"/>
      <c r="AG11" s="182"/>
    </row>
    <row r="12" ht="104.25" customHeight="1">
      <c r="A12" s="303">
        <v>8.0</v>
      </c>
      <c r="B12" s="304" t="s">
        <v>467</v>
      </c>
      <c r="C12" s="305" t="s">
        <v>468</v>
      </c>
      <c r="D12" s="304" t="s">
        <v>469</v>
      </c>
      <c r="E12" s="304" t="s">
        <v>470</v>
      </c>
      <c r="F12" s="304" t="s">
        <v>471</v>
      </c>
      <c r="G12" s="308" t="s">
        <v>472</v>
      </c>
      <c r="H12" s="305" t="s">
        <v>473</v>
      </c>
      <c r="I12" s="305" t="s">
        <v>474</v>
      </c>
      <c r="J12" s="305" t="s">
        <v>475</v>
      </c>
      <c r="K12" s="305" t="s">
        <v>476</v>
      </c>
      <c r="L12" s="305" t="s">
        <v>477</v>
      </c>
      <c r="M12" s="309" t="s">
        <v>478</v>
      </c>
      <c r="N12" s="306" t="s">
        <v>301</v>
      </c>
      <c r="O12" s="306" t="s">
        <v>301</v>
      </c>
      <c r="P12" s="306" t="s">
        <v>301</v>
      </c>
      <c r="Q12" s="306" t="s">
        <v>301</v>
      </c>
      <c r="R12" s="306" t="s">
        <v>301</v>
      </c>
      <c r="S12" s="307"/>
      <c r="T12" s="182"/>
      <c r="U12" s="182"/>
      <c r="V12" s="182"/>
      <c r="W12" s="182"/>
      <c r="X12" s="182"/>
      <c r="Y12" s="182"/>
      <c r="Z12" s="182"/>
      <c r="AA12" s="182"/>
      <c r="AB12" s="182"/>
      <c r="AC12" s="182"/>
      <c r="AD12" s="182"/>
      <c r="AE12" s="182"/>
      <c r="AF12" s="182"/>
      <c r="AG12" s="182"/>
    </row>
    <row r="13" ht="91.5" customHeight="1">
      <c r="A13" s="303">
        <v>9.0</v>
      </c>
      <c r="B13" s="304" t="s">
        <v>479</v>
      </c>
      <c r="C13" s="305" t="s">
        <v>480</v>
      </c>
      <c r="D13" s="304" t="s">
        <v>481</v>
      </c>
      <c r="E13" s="304" t="s">
        <v>482</v>
      </c>
      <c r="F13" s="304" t="s">
        <v>483</v>
      </c>
      <c r="G13" s="308" t="s">
        <v>484</v>
      </c>
      <c r="H13" s="305" t="s">
        <v>485</v>
      </c>
      <c r="I13" s="305" t="s">
        <v>486</v>
      </c>
      <c r="J13" s="305" t="s">
        <v>487</v>
      </c>
      <c r="K13" s="305" t="s">
        <v>488</v>
      </c>
      <c r="L13" s="305" t="s">
        <v>489</v>
      </c>
      <c r="M13" s="309" t="s">
        <v>490</v>
      </c>
      <c r="N13" s="306" t="s">
        <v>301</v>
      </c>
      <c r="O13" s="306" t="s">
        <v>301</v>
      </c>
      <c r="P13" s="306" t="s">
        <v>301</v>
      </c>
      <c r="Q13" s="306" t="s">
        <v>301</v>
      </c>
      <c r="R13" s="306" t="s">
        <v>301</v>
      </c>
      <c r="S13" s="307"/>
      <c r="T13" s="182"/>
      <c r="U13" s="182"/>
      <c r="V13" s="182"/>
      <c r="W13" s="182"/>
      <c r="X13" s="182"/>
      <c r="Y13" s="182"/>
      <c r="Z13" s="182"/>
      <c r="AA13" s="182"/>
      <c r="AB13" s="182"/>
      <c r="AC13" s="182"/>
      <c r="AD13" s="182"/>
      <c r="AE13" s="182"/>
      <c r="AF13" s="182"/>
      <c r="AG13" s="182"/>
    </row>
    <row r="14" ht="108.0" customHeight="1">
      <c r="A14" s="303">
        <v>10.0</v>
      </c>
      <c r="B14" s="304" t="s">
        <v>491</v>
      </c>
      <c r="C14" s="305" t="s">
        <v>492</v>
      </c>
      <c r="D14" s="304" t="s">
        <v>493</v>
      </c>
      <c r="E14" s="304" t="s">
        <v>494</v>
      </c>
      <c r="F14" s="304" t="s">
        <v>495</v>
      </c>
      <c r="G14" s="305" t="s">
        <v>496</v>
      </c>
      <c r="H14" s="305" t="s">
        <v>497</v>
      </c>
      <c r="I14" s="305" t="s">
        <v>498</v>
      </c>
      <c r="J14" s="305" t="s">
        <v>499</v>
      </c>
      <c r="K14" s="305" t="s">
        <v>500</v>
      </c>
      <c r="L14" s="305" t="s">
        <v>501</v>
      </c>
      <c r="M14" s="305" t="s">
        <v>502</v>
      </c>
      <c r="N14" s="306" t="s">
        <v>301</v>
      </c>
      <c r="O14" s="306" t="s">
        <v>301</v>
      </c>
      <c r="P14" s="306" t="s">
        <v>301</v>
      </c>
      <c r="Q14" s="306" t="s">
        <v>271</v>
      </c>
      <c r="R14" s="306" t="s">
        <v>301</v>
      </c>
      <c r="S14" s="310"/>
      <c r="T14" s="182"/>
      <c r="U14" s="182"/>
      <c r="V14" s="182"/>
      <c r="W14" s="182"/>
      <c r="X14" s="182"/>
      <c r="Y14" s="182"/>
      <c r="Z14" s="182"/>
      <c r="AA14" s="182"/>
      <c r="AB14" s="182"/>
      <c r="AC14" s="182"/>
      <c r="AD14" s="182"/>
      <c r="AE14" s="182"/>
      <c r="AF14" s="182"/>
      <c r="AG14" s="182"/>
    </row>
    <row r="15" ht="99.0" customHeight="1">
      <c r="A15" s="303">
        <v>11.0</v>
      </c>
      <c r="B15" s="304" t="s">
        <v>503</v>
      </c>
      <c r="C15" s="305" t="s">
        <v>504</v>
      </c>
      <c r="D15" s="304" t="s">
        <v>505</v>
      </c>
      <c r="E15" s="304" t="s">
        <v>506</v>
      </c>
      <c r="F15" s="304" t="s">
        <v>507</v>
      </c>
      <c r="G15" s="304" t="s">
        <v>508</v>
      </c>
      <c r="H15" s="305" t="s">
        <v>509</v>
      </c>
      <c r="I15" s="305" t="s">
        <v>510</v>
      </c>
      <c r="J15" s="305" t="s">
        <v>511</v>
      </c>
      <c r="K15" s="305" t="s">
        <v>512</v>
      </c>
      <c r="L15" s="305" t="s">
        <v>513</v>
      </c>
      <c r="M15" s="309" t="s">
        <v>514</v>
      </c>
      <c r="N15" s="306" t="s">
        <v>301</v>
      </c>
      <c r="O15" s="306" t="s">
        <v>271</v>
      </c>
      <c r="P15" s="306" t="s">
        <v>301</v>
      </c>
      <c r="Q15" s="306" t="s">
        <v>271</v>
      </c>
      <c r="R15" s="306" t="s">
        <v>301</v>
      </c>
      <c r="S15" s="307" t="s">
        <v>515</v>
      </c>
      <c r="T15" s="182"/>
      <c r="U15" s="182"/>
      <c r="V15" s="182"/>
      <c r="W15" s="182"/>
      <c r="X15" s="182"/>
      <c r="Y15" s="182"/>
      <c r="Z15" s="182"/>
      <c r="AA15" s="182"/>
      <c r="AB15" s="182"/>
      <c r="AC15" s="182"/>
      <c r="AD15" s="182"/>
      <c r="AE15" s="182"/>
      <c r="AF15" s="182"/>
      <c r="AG15" s="182"/>
    </row>
    <row r="16" ht="105.0" customHeight="1">
      <c r="A16" s="303">
        <v>12.0</v>
      </c>
      <c r="B16" s="304" t="s">
        <v>516</v>
      </c>
      <c r="C16" s="305" t="s">
        <v>517</v>
      </c>
      <c r="D16" s="304" t="s">
        <v>518</v>
      </c>
      <c r="E16" s="304" t="s">
        <v>519</v>
      </c>
      <c r="F16" s="304" t="s">
        <v>520</v>
      </c>
      <c r="G16" s="305" t="s">
        <v>521</v>
      </c>
      <c r="H16" s="305" t="s">
        <v>522</v>
      </c>
      <c r="I16" s="305" t="s">
        <v>523</v>
      </c>
      <c r="J16" s="305" t="s">
        <v>524</v>
      </c>
      <c r="K16" s="305" t="s">
        <v>525</v>
      </c>
      <c r="L16" s="305" t="s">
        <v>526</v>
      </c>
      <c r="M16" s="309" t="s">
        <v>527</v>
      </c>
      <c r="N16" s="306" t="s">
        <v>301</v>
      </c>
      <c r="O16" s="306" t="s">
        <v>271</v>
      </c>
      <c r="P16" s="306" t="s">
        <v>301</v>
      </c>
      <c r="Q16" s="306" t="s">
        <v>301</v>
      </c>
      <c r="R16" s="306" t="s">
        <v>301</v>
      </c>
      <c r="S16" s="307"/>
      <c r="T16" s="182"/>
      <c r="U16" s="182"/>
      <c r="V16" s="182"/>
      <c r="W16" s="182"/>
      <c r="X16" s="182"/>
      <c r="Y16" s="182"/>
      <c r="Z16" s="182"/>
      <c r="AA16" s="182"/>
      <c r="AB16" s="182"/>
      <c r="AC16" s="182"/>
      <c r="AD16" s="182"/>
      <c r="AE16" s="182"/>
      <c r="AF16" s="182"/>
      <c r="AG16" s="182"/>
    </row>
    <row r="17" ht="99.0" customHeight="1">
      <c r="A17" s="311">
        <v>13.0</v>
      </c>
      <c r="B17" s="304" t="s">
        <v>528</v>
      </c>
      <c r="C17" s="305" t="s">
        <v>529</v>
      </c>
      <c r="D17" s="304" t="s">
        <v>530</v>
      </c>
      <c r="E17" s="304" t="s">
        <v>531</v>
      </c>
      <c r="F17" s="304" t="s">
        <v>532</v>
      </c>
      <c r="G17" s="312" t="s">
        <v>533</v>
      </c>
      <c r="H17" s="305" t="s">
        <v>534</v>
      </c>
      <c r="I17" s="305" t="s">
        <v>535</v>
      </c>
      <c r="J17" s="305" t="s">
        <v>536</v>
      </c>
      <c r="K17" s="305" t="s">
        <v>537</v>
      </c>
      <c r="L17" s="305" t="s">
        <v>538</v>
      </c>
      <c r="M17" s="309" t="s">
        <v>539</v>
      </c>
      <c r="N17" s="306" t="s">
        <v>301</v>
      </c>
      <c r="O17" s="306" t="s">
        <v>301</v>
      </c>
      <c r="P17" s="306" t="s">
        <v>301</v>
      </c>
      <c r="Q17" s="306" t="s">
        <v>301</v>
      </c>
      <c r="R17" s="306" t="s">
        <v>301</v>
      </c>
      <c r="S17" s="307"/>
      <c r="T17" s="182"/>
      <c r="U17" s="182"/>
      <c r="V17" s="182"/>
      <c r="W17" s="182"/>
      <c r="X17" s="182"/>
      <c r="Y17" s="182"/>
      <c r="Z17" s="182"/>
      <c r="AA17" s="182"/>
      <c r="AB17" s="182"/>
      <c r="AC17" s="182"/>
      <c r="AD17" s="182"/>
      <c r="AE17" s="182"/>
      <c r="AF17" s="182"/>
      <c r="AG17" s="182"/>
    </row>
    <row r="18">
      <c r="A18" s="311">
        <v>14.0</v>
      </c>
      <c r="B18" s="304" t="s">
        <v>540</v>
      </c>
      <c r="C18" s="305" t="s">
        <v>541</v>
      </c>
      <c r="D18" s="304" t="s">
        <v>542</v>
      </c>
      <c r="E18" s="304" t="s">
        <v>543</v>
      </c>
      <c r="F18" s="304" t="s">
        <v>544</v>
      </c>
      <c r="G18" s="312" t="s">
        <v>545</v>
      </c>
      <c r="H18" s="305" t="s">
        <v>546</v>
      </c>
      <c r="I18" s="305" t="s">
        <v>547</v>
      </c>
      <c r="J18" s="305" t="s">
        <v>548</v>
      </c>
      <c r="K18" s="305" t="s">
        <v>549</v>
      </c>
      <c r="L18" s="305" t="s">
        <v>550</v>
      </c>
      <c r="M18" s="309" t="s">
        <v>551</v>
      </c>
      <c r="N18" s="306" t="s">
        <v>301</v>
      </c>
      <c r="O18" s="306" t="s">
        <v>301</v>
      </c>
      <c r="P18" s="306" t="s">
        <v>301</v>
      </c>
      <c r="Q18" s="306" t="s">
        <v>301</v>
      </c>
      <c r="R18" s="306" t="s">
        <v>301</v>
      </c>
      <c r="S18" s="307"/>
      <c r="T18" s="182"/>
      <c r="U18" s="182"/>
      <c r="V18" s="182"/>
      <c r="W18" s="182"/>
      <c r="X18" s="182"/>
      <c r="Y18" s="182"/>
      <c r="Z18" s="182"/>
      <c r="AA18" s="182"/>
      <c r="AB18" s="182"/>
      <c r="AC18" s="182"/>
      <c r="AD18" s="182"/>
      <c r="AE18" s="182"/>
      <c r="AF18" s="182"/>
      <c r="AG18" s="182"/>
    </row>
    <row r="19">
      <c r="A19" s="311">
        <v>15.0</v>
      </c>
      <c r="B19" s="304" t="s">
        <v>552</v>
      </c>
      <c r="C19" s="305" t="s">
        <v>553</v>
      </c>
      <c r="D19" s="304" t="s">
        <v>554</v>
      </c>
      <c r="E19" s="304" t="s">
        <v>555</v>
      </c>
      <c r="F19" s="304" t="s">
        <v>556</v>
      </c>
      <c r="G19" s="305" t="s">
        <v>557</v>
      </c>
      <c r="H19" s="305" t="s">
        <v>558</v>
      </c>
      <c r="I19" s="305" t="s">
        <v>559</v>
      </c>
      <c r="J19" s="305" t="s">
        <v>560</v>
      </c>
      <c r="K19" s="305" t="s">
        <v>561</v>
      </c>
      <c r="L19" s="305" t="s">
        <v>562</v>
      </c>
      <c r="M19" s="309" t="s">
        <v>563</v>
      </c>
      <c r="N19" s="306" t="s">
        <v>301</v>
      </c>
      <c r="O19" s="306" t="s">
        <v>301</v>
      </c>
      <c r="P19" s="306" t="s">
        <v>301</v>
      </c>
      <c r="Q19" s="306" t="s">
        <v>301</v>
      </c>
      <c r="R19" s="306" t="s">
        <v>301</v>
      </c>
      <c r="S19" s="307"/>
      <c r="T19" s="182"/>
      <c r="U19" s="182"/>
      <c r="V19" s="182"/>
      <c r="W19" s="182"/>
      <c r="X19" s="182"/>
      <c r="Y19" s="182"/>
      <c r="Z19" s="182"/>
      <c r="AA19" s="182"/>
      <c r="AB19" s="182"/>
      <c r="AC19" s="182"/>
      <c r="AD19" s="182"/>
      <c r="AE19" s="182"/>
      <c r="AF19" s="182"/>
      <c r="AG19" s="182"/>
    </row>
    <row r="20">
      <c r="A20" s="311">
        <v>16.0</v>
      </c>
      <c r="B20" s="304" t="s">
        <v>564</v>
      </c>
      <c r="C20" s="305" t="s">
        <v>565</v>
      </c>
      <c r="D20" s="304" t="s">
        <v>566</v>
      </c>
      <c r="E20" s="304" t="s">
        <v>567</v>
      </c>
      <c r="F20" s="304" t="s">
        <v>568</v>
      </c>
      <c r="G20" s="305" t="s">
        <v>569</v>
      </c>
      <c r="H20" s="305" t="s">
        <v>570</v>
      </c>
      <c r="I20" s="305" t="s">
        <v>571</v>
      </c>
      <c r="J20" s="305" t="s">
        <v>572</v>
      </c>
      <c r="K20" s="305" t="s">
        <v>573</v>
      </c>
      <c r="L20" s="305" t="s">
        <v>574</v>
      </c>
      <c r="M20" s="309" t="s">
        <v>575</v>
      </c>
      <c r="N20" s="306" t="s">
        <v>301</v>
      </c>
      <c r="O20" s="306" t="s">
        <v>301</v>
      </c>
      <c r="P20" s="306" t="s">
        <v>301</v>
      </c>
      <c r="Q20" s="306" t="s">
        <v>301</v>
      </c>
      <c r="R20" s="306" t="s">
        <v>301</v>
      </c>
      <c r="S20" s="307"/>
      <c r="T20" s="182"/>
      <c r="U20" s="182"/>
      <c r="V20" s="182"/>
      <c r="W20" s="182"/>
      <c r="X20" s="182"/>
      <c r="Y20" s="182"/>
      <c r="Z20" s="182"/>
      <c r="AA20" s="182"/>
      <c r="AB20" s="182"/>
      <c r="AC20" s="182"/>
      <c r="AD20" s="182"/>
      <c r="AE20" s="182"/>
      <c r="AF20" s="182"/>
      <c r="AG20" s="182"/>
    </row>
    <row r="21">
      <c r="A21" s="311">
        <v>17.0</v>
      </c>
      <c r="B21" s="304" t="s">
        <v>576</v>
      </c>
      <c r="C21" s="305" t="s">
        <v>577</v>
      </c>
      <c r="D21" s="304" t="s">
        <v>578</v>
      </c>
      <c r="E21" s="304" t="s">
        <v>579</v>
      </c>
      <c r="F21" s="304" t="s">
        <v>580</v>
      </c>
      <c r="G21" s="308" t="s">
        <v>581</v>
      </c>
      <c r="H21" s="305" t="s">
        <v>582</v>
      </c>
      <c r="I21" s="305" t="s">
        <v>583</v>
      </c>
      <c r="J21" s="305" t="s">
        <v>584</v>
      </c>
      <c r="K21" s="305" t="s">
        <v>585</v>
      </c>
      <c r="L21" s="305" t="s">
        <v>586</v>
      </c>
      <c r="M21" s="309" t="s">
        <v>587</v>
      </c>
      <c r="N21" s="306" t="s">
        <v>301</v>
      </c>
      <c r="O21" s="306" t="s">
        <v>301</v>
      </c>
      <c r="P21" s="306" t="s">
        <v>301</v>
      </c>
      <c r="Q21" s="306" t="s">
        <v>301</v>
      </c>
      <c r="R21" s="306" t="s">
        <v>301</v>
      </c>
      <c r="S21" s="307"/>
      <c r="T21" s="182"/>
      <c r="U21" s="182"/>
      <c r="V21" s="182"/>
      <c r="W21" s="182"/>
      <c r="X21" s="182"/>
      <c r="Y21" s="182"/>
      <c r="Z21" s="182"/>
      <c r="AA21" s="182"/>
      <c r="AB21" s="182"/>
      <c r="AC21" s="182"/>
      <c r="AD21" s="182"/>
      <c r="AE21" s="182"/>
      <c r="AF21" s="182"/>
      <c r="AG21" s="182"/>
    </row>
    <row r="22">
      <c r="A22" s="311">
        <v>18.0</v>
      </c>
      <c r="B22" s="304" t="s">
        <v>588</v>
      </c>
      <c r="C22" s="305" t="s">
        <v>589</v>
      </c>
      <c r="D22" s="304" t="s">
        <v>590</v>
      </c>
      <c r="E22" s="304" t="s">
        <v>591</v>
      </c>
      <c r="F22" s="304" t="s">
        <v>592</v>
      </c>
      <c r="G22" s="308" t="s">
        <v>593</v>
      </c>
      <c r="H22" s="305" t="s">
        <v>594</v>
      </c>
      <c r="I22" s="305" t="s">
        <v>595</v>
      </c>
      <c r="J22" s="305" t="s">
        <v>596</v>
      </c>
      <c r="K22" s="305" t="s">
        <v>597</v>
      </c>
      <c r="L22" s="305" t="s">
        <v>598</v>
      </c>
      <c r="M22" s="309" t="s">
        <v>599</v>
      </c>
      <c r="N22" s="306" t="s">
        <v>301</v>
      </c>
      <c r="O22" s="306" t="s">
        <v>301</v>
      </c>
      <c r="P22" s="306" t="s">
        <v>301</v>
      </c>
      <c r="Q22" s="306" t="s">
        <v>301</v>
      </c>
      <c r="R22" s="306" t="s">
        <v>301</v>
      </c>
      <c r="S22" s="307"/>
      <c r="T22" s="182"/>
      <c r="U22" s="182"/>
      <c r="V22" s="182"/>
      <c r="W22" s="182"/>
      <c r="X22" s="182"/>
      <c r="Y22" s="182"/>
      <c r="Z22" s="182"/>
      <c r="AA22" s="182"/>
      <c r="AB22" s="182"/>
      <c r="AC22" s="182"/>
      <c r="AD22" s="182"/>
      <c r="AE22" s="182"/>
      <c r="AF22" s="182"/>
      <c r="AG22" s="182"/>
    </row>
    <row r="23">
      <c r="A23" s="311">
        <v>19.0</v>
      </c>
      <c r="B23" s="304" t="s">
        <v>600</v>
      </c>
      <c r="C23" s="305" t="s">
        <v>601</v>
      </c>
      <c r="D23" s="304" t="s">
        <v>602</v>
      </c>
      <c r="E23" s="304" t="s">
        <v>603</v>
      </c>
      <c r="F23" s="313" t="s">
        <v>604</v>
      </c>
      <c r="G23" s="305" t="s">
        <v>605</v>
      </c>
      <c r="H23" s="305" t="s">
        <v>606</v>
      </c>
      <c r="I23" s="305" t="s">
        <v>607</v>
      </c>
      <c r="J23" s="305" t="s">
        <v>608</v>
      </c>
      <c r="K23" s="305" t="s">
        <v>609</v>
      </c>
      <c r="L23" s="305" t="s">
        <v>610</v>
      </c>
      <c r="M23" s="305" t="s">
        <v>611</v>
      </c>
      <c r="N23" s="306" t="s">
        <v>301</v>
      </c>
      <c r="O23" s="306" t="s">
        <v>301</v>
      </c>
      <c r="P23" s="306" t="s">
        <v>301</v>
      </c>
      <c r="Q23" s="306" t="s">
        <v>301</v>
      </c>
      <c r="R23" s="306" t="s">
        <v>271</v>
      </c>
      <c r="S23" s="307"/>
      <c r="T23" s="182"/>
      <c r="U23" s="182"/>
      <c r="V23" s="182"/>
      <c r="W23" s="182"/>
      <c r="X23" s="182"/>
      <c r="Y23" s="182"/>
      <c r="Z23" s="182"/>
      <c r="AA23" s="182"/>
      <c r="AB23" s="182"/>
      <c r="AC23" s="182"/>
      <c r="AD23" s="182"/>
      <c r="AE23" s="182"/>
      <c r="AF23" s="182"/>
      <c r="AG23" s="182"/>
    </row>
    <row r="24">
      <c r="A24" s="311">
        <v>20.0</v>
      </c>
      <c r="B24" s="304" t="s">
        <v>612</v>
      </c>
      <c r="C24" s="305" t="s">
        <v>613</v>
      </c>
      <c r="D24" s="304" t="s">
        <v>614</v>
      </c>
      <c r="E24" s="304" t="s">
        <v>615</v>
      </c>
      <c r="F24" s="304" t="s">
        <v>616</v>
      </c>
      <c r="G24" s="305" t="s">
        <v>617</v>
      </c>
      <c r="H24" s="305" t="s">
        <v>618</v>
      </c>
      <c r="I24" s="305" t="s">
        <v>619</v>
      </c>
      <c r="J24" s="305" t="s">
        <v>620</v>
      </c>
      <c r="K24" s="305" t="s">
        <v>621</v>
      </c>
      <c r="L24" s="305" t="s">
        <v>622</v>
      </c>
      <c r="M24" s="305" t="s">
        <v>623</v>
      </c>
      <c r="N24" s="306" t="s">
        <v>301</v>
      </c>
      <c r="O24" s="306" t="s">
        <v>301</v>
      </c>
      <c r="P24" s="306" t="s">
        <v>301</v>
      </c>
      <c r="Q24" s="306" t="s">
        <v>301</v>
      </c>
      <c r="R24" s="306" t="s">
        <v>301</v>
      </c>
      <c r="S24" s="307"/>
      <c r="T24" s="182"/>
      <c r="U24" s="182"/>
      <c r="V24" s="182"/>
      <c r="W24" s="182"/>
      <c r="X24" s="182"/>
      <c r="Y24" s="182"/>
      <c r="Z24" s="182"/>
      <c r="AA24" s="182"/>
      <c r="AB24" s="182"/>
      <c r="AC24" s="182"/>
      <c r="AD24" s="182"/>
      <c r="AE24" s="182"/>
      <c r="AF24" s="182"/>
      <c r="AG24" s="182"/>
    </row>
    <row r="25">
      <c r="A25" s="311">
        <v>21.0</v>
      </c>
      <c r="B25" s="304" t="s">
        <v>624</v>
      </c>
      <c r="C25" s="305" t="s">
        <v>625</v>
      </c>
      <c r="D25" s="304" t="s">
        <v>626</v>
      </c>
      <c r="E25" s="304" t="s">
        <v>627</v>
      </c>
      <c r="F25" s="304" t="s">
        <v>628</v>
      </c>
      <c r="G25" s="305" t="s">
        <v>629</v>
      </c>
      <c r="H25" s="305" t="s">
        <v>630</v>
      </c>
      <c r="I25" s="305" t="s">
        <v>631</v>
      </c>
      <c r="J25" s="305" t="s">
        <v>632</v>
      </c>
      <c r="K25" s="305" t="s">
        <v>633</v>
      </c>
      <c r="L25" s="305" t="s">
        <v>634</v>
      </c>
      <c r="M25" s="309" t="s">
        <v>635</v>
      </c>
      <c r="N25" s="306" t="s">
        <v>301</v>
      </c>
      <c r="O25" s="306" t="s">
        <v>301</v>
      </c>
      <c r="P25" s="306" t="s">
        <v>301</v>
      </c>
      <c r="Q25" s="306" t="s">
        <v>271</v>
      </c>
      <c r="R25" s="306" t="s">
        <v>271</v>
      </c>
      <c r="S25" s="307" t="s">
        <v>636</v>
      </c>
      <c r="T25" s="182"/>
      <c r="U25" s="182"/>
      <c r="V25" s="182"/>
      <c r="W25" s="182"/>
      <c r="X25" s="182"/>
      <c r="Y25" s="182"/>
      <c r="Z25" s="182"/>
      <c r="AA25" s="182"/>
      <c r="AB25" s="182"/>
      <c r="AC25" s="182"/>
      <c r="AD25" s="182"/>
      <c r="AE25" s="182"/>
      <c r="AF25" s="182"/>
      <c r="AG25" s="182"/>
    </row>
    <row r="26">
      <c r="A26" s="311">
        <v>22.0</v>
      </c>
      <c r="B26" s="304" t="s">
        <v>637</v>
      </c>
      <c r="C26" s="305" t="s">
        <v>638</v>
      </c>
      <c r="D26" s="304" t="s">
        <v>639</v>
      </c>
      <c r="E26" s="304" t="s">
        <v>640</v>
      </c>
      <c r="F26" s="304" t="s">
        <v>641</v>
      </c>
      <c r="G26" s="305" t="s">
        <v>642</v>
      </c>
      <c r="H26" s="305" t="s">
        <v>643</v>
      </c>
      <c r="I26" s="305" t="s">
        <v>644</v>
      </c>
      <c r="J26" s="305" t="s">
        <v>645</v>
      </c>
      <c r="K26" s="305" t="s">
        <v>646</v>
      </c>
      <c r="L26" s="305" t="s">
        <v>647</v>
      </c>
      <c r="M26" s="309" t="s">
        <v>648</v>
      </c>
      <c r="N26" s="306" t="s">
        <v>301</v>
      </c>
      <c r="O26" s="306" t="s">
        <v>301</v>
      </c>
      <c r="P26" s="306" t="s">
        <v>301</v>
      </c>
      <c r="Q26" s="306" t="s">
        <v>271</v>
      </c>
      <c r="R26" s="306" t="s">
        <v>271</v>
      </c>
      <c r="S26" s="307" t="s">
        <v>636</v>
      </c>
      <c r="T26" s="182"/>
      <c r="U26" s="182"/>
      <c r="V26" s="182"/>
      <c r="W26" s="182"/>
      <c r="X26" s="182"/>
      <c r="Y26" s="182"/>
      <c r="Z26" s="182"/>
      <c r="AA26" s="182"/>
      <c r="AB26" s="182"/>
      <c r="AC26" s="182"/>
      <c r="AD26" s="182"/>
      <c r="AE26" s="182"/>
      <c r="AF26" s="182"/>
      <c r="AG26" s="182"/>
    </row>
    <row r="27">
      <c r="A27" s="311">
        <v>23.0</v>
      </c>
      <c r="B27" s="304" t="s">
        <v>649</v>
      </c>
      <c r="C27" s="305" t="s">
        <v>650</v>
      </c>
      <c r="D27" s="304" t="s">
        <v>651</v>
      </c>
      <c r="E27" s="304" t="s">
        <v>652</v>
      </c>
      <c r="F27" s="313" t="s">
        <v>653</v>
      </c>
      <c r="G27" s="313" t="s">
        <v>654</v>
      </c>
      <c r="H27" s="305" t="s">
        <v>655</v>
      </c>
      <c r="I27" s="305" t="s">
        <v>656</v>
      </c>
      <c r="J27" s="305" t="s">
        <v>657</v>
      </c>
      <c r="K27" s="305" t="s">
        <v>658</v>
      </c>
      <c r="L27" s="305" t="s">
        <v>659</v>
      </c>
      <c r="M27" s="309" t="s">
        <v>660</v>
      </c>
      <c r="N27" s="306" t="s">
        <v>301</v>
      </c>
      <c r="O27" s="306" t="s">
        <v>301</v>
      </c>
      <c r="P27" s="306" t="s">
        <v>301</v>
      </c>
      <c r="Q27" s="306" t="s">
        <v>301</v>
      </c>
      <c r="R27" s="306" t="s">
        <v>301</v>
      </c>
      <c r="S27" s="307"/>
      <c r="T27" s="182"/>
      <c r="U27" s="182"/>
      <c r="V27" s="182"/>
      <c r="W27" s="182"/>
      <c r="X27" s="182"/>
      <c r="Y27" s="182"/>
      <c r="Z27" s="182"/>
      <c r="AA27" s="182"/>
      <c r="AB27" s="182"/>
      <c r="AC27" s="182"/>
      <c r="AD27" s="182"/>
      <c r="AE27" s="182"/>
      <c r="AF27" s="182"/>
      <c r="AG27" s="182"/>
    </row>
    <row r="28">
      <c r="A28" s="311">
        <v>24.0</v>
      </c>
      <c r="B28" s="304" t="s">
        <v>661</v>
      </c>
      <c r="C28" s="305" t="s">
        <v>662</v>
      </c>
      <c r="D28" s="304" t="s">
        <v>663</v>
      </c>
      <c r="E28" s="304" t="s">
        <v>664</v>
      </c>
      <c r="F28" s="304" t="s">
        <v>665</v>
      </c>
      <c r="G28" s="305" t="s">
        <v>666</v>
      </c>
      <c r="H28" s="305" t="s">
        <v>667</v>
      </c>
      <c r="I28" s="305" t="s">
        <v>668</v>
      </c>
      <c r="J28" s="305" t="s">
        <v>669</v>
      </c>
      <c r="K28" s="305" t="s">
        <v>670</v>
      </c>
      <c r="L28" s="305" t="s">
        <v>671</v>
      </c>
      <c r="M28" s="309" t="s">
        <v>672</v>
      </c>
      <c r="N28" s="306" t="s">
        <v>301</v>
      </c>
      <c r="O28" s="306" t="s">
        <v>301</v>
      </c>
      <c r="P28" s="306" t="s">
        <v>301</v>
      </c>
      <c r="Q28" s="306" t="s">
        <v>301</v>
      </c>
      <c r="R28" s="306" t="s">
        <v>301</v>
      </c>
      <c r="S28" s="307"/>
      <c r="T28" s="182"/>
      <c r="U28" s="182"/>
      <c r="V28" s="182"/>
      <c r="W28" s="182"/>
      <c r="X28" s="182"/>
      <c r="Y28" s="182"/>
      <c r="Z28" s="182"/>
      <c r="AA28" s="182"/>
      <c r="AB28" s="182"/>
      <c r="AC28" s="182"/>
      <c r="AD28" s="182"/>
      <c r="AE28" s="182"/>
      <c r="AF28" s="182"/>
      <c r="AG28" s="182"/>
    </row>
    <row r="29">
      <c r="A29" s="311">
        <v>25.0</v>
      </c>
      <c r="B29" s="304" t="s">
        <v>673</v>
      </c>
      <c r="C29" s="305" t="s">
        <v>674</v>
      </c>
      <c r="D29" s="304" t="s">
        <v>675</v>
      </c>
      <c r="E29" s="304" t="s">
        <v>676</v>
      </c>
      <c r="F29" s="304" t="s">
        <v>677</v>
      </c>
      <c r="G29" s="305" t="s">
        <v>678</v>
      </c>
      <c r="H29" s="305" t="s">
        <v>679</v>
      </c>
      <c r="I29" s="305" t="s">
        <v>680</v>
      </c>
      <c r="J29" s="305" t="s">
        <v>681</v>
      </c>
      <c r="K29" s="305" t="s">
        <v>682</v>
      </c>
      <c r="L29" s="305" t="s">
        <v>683</v>
      </c>
      <c r="M29" s="305" t="s">
        <v>684</v>
      </c>
      <c r="N29" s="306" t="s">
        <v>301</v>
      </c>
      <c r="O29" s="306" t="s">
        <v>301</v>
      </c>
      <c r="P29" s="306" t="s">
        <v>301</v>
      </c>
      <c r="Q29" s="306" t="s">
        <v>301</v>
      </c>
      <c r="R29" s="306" t="s">
        <v>271</v>
      </c>
      <c r="S29" s="307"/>
      <c r="T29" s="182"/>
      <c r="U29" s="182"/>
      <c r="V29" s="182"/>
      <c r="W29" s="182"/>
      <c r="X29" s="182"/>
      <c r="Y29" s="182"/>
      <c r="Z29" s="182"/>
      <c r="AA29" s="182"/>
      <c r="AB29" s="182"/>
      <c r="AC29" s="182"/>
      <c r="AD29" s="182"/>
      <c r="AE29" s="182"/>
      <c r="AF29" s="182"/>
      <c r="AG29" s="182"/>
    </row>
    <row r="30">
      <c r="A30" s="311">
        <v>26.0</v>
      </c>
      <c r="B30" s="304" t="s">
        <v>685</v>
      </c>
      <c r="C30" s="305" t="s">
        <v>686</v>
      </c>
      <c r="D30" s="304" t="s">
        <v>687</v>
      </c>
      <c r="E30" s="304" t="s">
        <v>688</v>
      </c>
      <c r="F30" s="313" t="s">
        <v>689</v>
      </c>
      <c r="G30" s="305" t="s">
        <v>690</v>
      </c>
      <c r="H30" s="305" t="s">
        <v>691</v>
      </c>
      <c r="I30" s="305" t="s">
        <v>692</v>
      </c>
      <c r="J30" s="305" t="s">
        <v>693</v>
      </c>
      <c r="K30" s="305" t="s">
        <v>694</v>
      </c>
      <c r="L30" s="305" t="s">
        <v>695</v>
      </c>
      <c r="M30" s="305" t="s">
        <v>696</v>
      </c>
      <c r="N30" s="306" t="s">
        <v>301</v>
      </c>
      <c r="O30" s="306" t="s">
        <v>301</v>
      </c>
      <c r="P30" s="306" t="s">
        <v>301</v>
      </c>
      <c r="Q30" s="306" t="s">
        <v>301</v>
      </c>
      <c r="R30" s="306" t="s">
        <v>301</v>
      </c>
      <c r="S30" s="307"/>
      <c r="T30" s="182"/>
      <c r="U30" s="182"/>
      <c r="V30" s="182"/>
      <c r="W30" s="182"/>
      <c r="X30" s="182"/>
      <c r="Y30" s="182"/>
      <c r="Z30" s="182"/>
      <c r="AA30" s="182"/>
      <c r="AB30" s="182"/>
      <c r="AC30" s="182"/>
      <c r="AD30" s="182"/>
      <c r="AE30" s="182"/>
      <c r="AF30" s="182"/>
      <c r="AG30" s="182"/>
    </row>
    <row r="31">
      <c r="A31" s="311">
        <v>27.0</v>
      </c>
      <c r="B31" s="304" t="s">
        <v>697</v>
      </c>
      <c r="C31" s="305" t="s">
        <v>698</v>
      </c>
      <c r="D31" s="304" t="s">
        <v>699</v>
      </c>
      <c r="E31" s="304" t="s">
        <v>700</v>
      </c>
      <c r="F31" s="304" t="s">
        <v>701</v>
      </c>
      <c r="G31" s="305" t="s">
        <v>702</v>
      </c>
      <c r="H31" s="305" t="s">
        <v>703</v>
      </c>
      <c r="I31" s="305" t="s">
        <v>704</v>
      </c>
      <c r="J31" s="305" t="s">
        <v>705</v>
      </c>
      <c r="K31" s="305" t="s">
        <v>706</v>
      </c>
      <c r="L31" s="305" t="s">
        <v>707</v>
      </c>
      <c r="M31" s="305" t="s">
        <v>708</v>
      </c>
      <c r="N31" s="306" t="s">
        <v>301</v>
      </c>
      <c r="O31" s="306" t="s">
        <v>301</v>
      </c>
      <c r="P31" s="306" t="s">
        <v>301</v>
      </c>
      <c r="Q31" s="306" t="s">
        <v>301</v>
      </c>
      <c r="R31" s="306" t="s">
        <v>301</v>
      </c>
      <c r="S31" s="307"/>
      <c r="T31" s="182"/>
      <c r="U31" s="182"/>
      <c r="V31" s="182"/>
      <c r="W31" s="182"/>
      <c r="X31" s="182"/>
      <c r="Y31" s="182"/>
      <c r="Z31" s="182"/>
      <c r="AA31" s="182"/>
      <c r="AB31" s="182"/>
      <c r="AC31" s="182"/>
      <c r="AD31" s="182"/>
      <c r="AE31" s="182"/>
      <c r="AF31" s="182"/>
      <c r="AG31" s="182"/>
    </row>
    <row r="32">
      <c r="A32" s="311">
        <v>28.0</v>
      </c>
      <c r="B32" s="304" t="s">
        <v>709</v>
      </c>
      <c r="C32" s="305" t="s">
        <v>710</v>
      </c>
      <c r="D32" s="304" t="s">
        <v>711</v>
      </c>
      <c r="E32" s="304" t="s">
        <v>712</v>
      </c>
      <c r="F32" s="304" t="s">
        <v>713</v>
      </c>
      <c r="G32" s="305" t="s">
        <v>714</v>
      </c>
      <c r="H32" s="305" t="s">
        <v>715</v>
      </c>
      <c r="I32" s="305" t="s">
        <v>716</v>
      </c>
      <c r="J32" s="305" t="s">
        <v>717</v>
      </c>
      <c r="K32" s="305" t="s">
        <v>718</v>
      </c>
      <c r="L32" s="305" t="s">
        <v>719</v>
      </c>
      <c r="M32" s="305" t="s">
        <v>720</v>
      </c>
      <c r="N32" s="306" t="s">
        <v>301</v>
      </c>
      <c r="O32" s="306" t="s">
        <v>301</v>
      </c>
      <c r="P32" s="306" t="s">
        <v>301</v>
      </c>
      <c r="Q32" s="306" t="s">
        <v>301</v>
      </c>
      <c r="R32" s="306" t="s">
        <v>301</v>
      </c>
      <c r="S32" s="307"/>
      <c r="T32" s="182"/>
      <c r="U32" s="182"/>
      <c r="V32" s="182"/>
      <c r="W32" s="182"/>
      <c r="X32" s="182"/>
      <c r="Y32" s="182"/>
      <c r="Z32" s="182"/>
      <c r="AA32" s="182"/>
      <c r="AB32" s="182"/>
      <c r="AC32" s="182"/>
      <c r="AD32" s="182"/>
      <c r="AE32" s="182"/>
      <c r="AF32" s="182"/>
      <c r="AG32" s="182"/>
    </row>
    <row r="33">
      <c r="A33" s="311">
        <v>29.0</v>
      </c>
      <c r="B33" s="304" t="s">
        <v>721</v>
      </c>
      <c r="C33" s="305" t="s">
        <v>722</v>
      </c>
      <c r="D33" s="304" t="s">
        <v>723</v>
      </c>
      <c r="E33" s="304" t="s">
        <v>724</v>
      </c>
      <c r="F33" s="304" t="s">
        <v>725</v>
      </c>
      <c r="G33" s="305" t="s">
        <v>726</v>
      </c>
      <c r="H33" s="305" t="s">
        <v>727</v>
      </c>
      <c r="I33" s="305" t="s">
        <v>728</v>
      </c>
      <c r="J33" s="305" t="s">
        <v>729</v>
      </c>
      <c r="K33" s="305" t="s">
        <v>730</v>
      </c>
      <c r="L33" s="305" t="s">
        <v>731</v>
      </c>
      <c r="M33" s="305" t="s">
        <v>732</v>
      </c>
      <c r="N33" s="306" t="s">
        <v>301</v>
      </c>
      <c r="O33" s="306" t="s">
        <v>301</v>
      </c>
      <c r="P33" s="306" t="s">
        <v>301</v>
      </c>
      <c r="Q33" s="306" t="s">
        <v>301</v>
      </c>
      <c r="R33" s="306" t="s">
        <v>301</v>
      </c>
      <c r="S33" s="307"/>
      <c r="T33" s="182"/>
      <c r="U33" s="182"/>
      <c r="V33" s="182"/>
      <c r="W33" s="182"/>
      <c r="X33" s="182"/>
      <c r="Y33" s="182"/>
      <c r="Z33" s="182"/>
      <c r="AA33" s="182"/>
      <c r="AB33" s="182"/>
      <c r="AC33" s="182"/>
      <c r="AD33" s="182"/>
      <c r="AE33" s="182"/>
      <c r="AF33" s="182"/>
      <c r="AG33" s="182"/>
    </row>
    <row r="34">
      <c r="A34" s="311">
        <v>30.0</v>
      </c>
      <c r="B34" s="304" t="s">
        <v>733</v>
      </c>
      <c r="C34" s="305" t="s">
        <v>734</v>
      </c>
      <c r="D34" s="304" t="s">
        <v>735</v>
      </c>
      <c r="E34" s="304" t="s">
        <v>736</v>
      </c>
      <c r="F34" s="304" t="s">
        <v>737</v>
      </c>
      <c r="G34" s="305" t="s">
        <v>738</v>
      </c>
      <c r="H34" s="305" t="s">
        <v>739</v>
      </c>
      <c r="I34" s="305" t="s">
        <v>740</v>
      </c>
      <c r="J34" s="305" t="s">
        <v>741</v>
      </c>
      <c r="K34" s="305" t="s">
        <v>742</v>
      </c>
      <c r="L34" s="305" t="s">
        <v>743</v>
      </c>
      <c r="M34" s="305" t="s">
        <v>744</v>
      </c>
      <c r="N34" s="306" t="s">
        <v>301</v>
      </c>
      <c r="O34" s="306" t="s">
        <v>301</v>
      </c>
      <c r="P34" s="306" t="s">
        <v>301</v>
      </c>
      <c r="Q34" s="306" t="s">
        <v>301</v>
      </c>
      <c r="R34" s="306" t="s">
        <v>301</v>
      </c>
      <c r="S34" s="307"/>
      <c r="T34" s="182"/>
      <c r="U34" s="182"/>
      <c r="V34" s="182"/>
      <c r="W34" s="182"/>
      <c r="X34" s="182"/>
      <c r="Y34" s="182"/>
      <c r="Z34" s="182"/>
      <c r="AA34" s="182"/>
      <c r="AB34" s="182"/>
      <c r="AC34" s="182"/>
      <c r="AD34" s="182"/>
      <c r="AE34" s="182"/>
      <c r="AF34" s="182"/>
      <c r="AG34" s="182"/>
    </row>
    <row r="35">
      <c r="A35" s="311">
        <v>31.0</v>
      </c>
      <c r="B35" s="304" t="s">
        <v>745</v>
      </c>
      <c r="C35" s="305" t="s">
        <v>746</v>
      </c>
      <c r="D35" s="304" t="s">
        <v>747</v>
      </c>
      <c r="E35" s="304" t="s">
        <v>748</v>
      </c>
      <c r="F35" s="304" t="s">
        <v>749</v>
      </c>
      <c r="G35" s="305" t="s">
        <v>750</v>
      </c>
      <c r="H35" s="305" t="s">
        <v>751</v>
      </c>
      <c r="I35" s="305" t="s">
        <v>752</v>
      </c>
      <c r="J35" s="305" t="s">
        <v>753</v>
      </c>
      <c r="K35" s="305" t="s">
        <v>754</v>
      </c>
      <c r="L35" s="305" t="s">
        <v>755</v>
      </c>
      <c r="M35" s="305" t="s">
        <v>756</v>
      </c>
      <c r="N35" s="306" t="s">
        <v>301</v>
      </c>
      <c r="O35" s="306" t="s">
        <v>301</v>
      </c>
      <c r="P35" s="306" t="s">
        <v>301</v>
      </c>
      <c r="Q35" s="306" t="s">
        <v>301</v>
      </c>
      <c r="R35" s="306" t="s">
        <v>301</v>
      </c>
      <c r="S35" s="307"/>
      <c r="T35" s="182"/>
      <c r="U35" s="182"/>
      <c r="V35" s="182"/>
      <c r="W35" s="182"/>
      <c r="X35" s="182"/>
      <c r="Y35" s="182"/>
      <c r="Z35" s="182"/>
      <c r="AA35" s="182"/>
      <c r="AB35" s="182"/>
      <c r="AC35" s="182"/>
      <c r="AD35" s="182"/>
      <c r="AE35" s="182"/>
      <c r="AF35" s="182"/>
      <c r="AG35" s="182"/>
    </row>
    <row r="36">
      <c r="A36" s="311">
        <v>32.0</v>
      </c>
      <c r="B36" s="304" t="s">
        <v>757</v>
      </c>
      <c r="C36" s="305" t="s">
        <v>758</v>
      </c>
      <c r="D36" s="304" t="s">
        <v>759</v>
      </c>
      <c r="E36" s="304" t="s">
        <v>760</v>
      </c>
      <c r="F36" s="304" t="s">
        <v>761</v>
      </c>
      <c r="G36" s="305" t="s">
        <v>762</v>
      </c>
      <c r="H36" s="305" t="s">
        <v>763</v>
      </c>
      <c r="I36" s="305" t="s">
        <v>764</v>
      </c>
      <c r="J36" s="305" t="s">
        <v>765</v>
      </c>
      <c r="K36" s="305" t="s">
        <v>766</v>
      </c>
      <c r="L36" s="305" t="s">
        <v>767</v>
      </c>
      <c r="M36" s="305" t="s">
        <v>768</v>
      </c>
      <c r="N36" s="306" t="s">
        <v>301</v>
      </c>
      <c r="O36" s="306" t="s">
        <v>301</v>
      </c>
      <c r="P36" s="306" t="s">
        <v>301</v>
      </c>
      <c r="Q36" s="306" t="s">
        <v>301</v>
      </c>
      <c r="R36" s="306" t="s">
        <v>301</v>
      </c>
      <c r="S36" s="307"/>
      <c r="T36" s="182"/>
      <c r="U36" s="182"/>
      <c r="V36" s="182"/>
      <c r="W36" s="182"/>
      <c r="X36" s="182"/>
      <c r="Y36" s="182"/>
      <c r="Z36" s="182"/>
      <c r="AA36" s="182"/>
      <c r="AB36" s="182"/>
      <c r="AC36" s="182"/>
      <c r="AD36" s="182"/>
      <c r="AE36" s="182"/>
      <c r="AF36" s="182"/>
      <c r="AG36" s="182"/>
    </row>
    <row r="37">
      <c r="A37" s="311">
        <v>33.0</v>
      </c>
      <c r="B37" s="304" t="s">
        <v>769</v>
      </c>
      <c r="C37" s="305" t="s">
        <v>770</v>
      </c>
      <c r="D37" s="304" t="s">
        <v>771</v>
      </c>
      <c r="E37" s="304" t="s">
        <v>772</v>
      </c>
      <c r="F37" s="304" t="s">
        <v>773</v>
      </c>
      <c r="G37" s="305" t="s">
        <v>774</v>
      </c>
      <c r="H37" s="305" t="s">
        <v>775</v>
      </c>
      <c r="I37" s="305" t="s">
        <v>776</v>
      </c>
      <c r="J37" s="305" t="s">
        <v>777</v>
      </c>
      <c r="K37" s="305" t="s">
        <v>778</v>
      </c>
      <c r="L37" s="305" t="s">
        <v>779</v>
      </c>
      <c r="M37" s="305" t="s">
        <v>780</v>
      </c>
      <c r="N37" s="306" t="s">
        <v>301</v>
      </c>
      <c r="O37" s="306" t="s">
        <v>301</v>
      </c>
      <c r="P37" s="306" t="s">
        <v>301</v>
      </c>
      <c r="Q37" s="306" t="s">
        <v>301</v>
      </c>
      <c r="R37" s="306" t="s">
        <v>301</v>
      </c>
      <c r="S37" s="307"/>
      <c r="T37" s="182"/>
      <c r="U37" s="182"/>
      <c r="V37" s="182"/>
      <c r="W37" s="182"/>
      <c r="X37" s="182"/>
      <c r="Y37" s="182"/>
      <c r="Z37" s="182"/>
      <c r="AA37" s="182"/>
      <c r="AB37" s="182"/>
      <c r="AC37" s="182"/>
      <c r="AD37" s="182"/>
      <c r="AE37" s="182"/>
      <c r="AF37" s="182"/>
      <c r="AG37" s="182"/>
    </row>
    <row r="38" ht="116.25" customHeight="1">
      <c r="A38" s="311">
        <v>34.0</v>
      </c>
      <c r="B38" s="304" t="s">
        <v>781</v>
      </c>
      <c r="C38" s="305" t="s">
        <v>782</v>
      </c>
      <c r="D38" s="304" t="s">
        <v>783</v>
      </c>
      <c r="E38" s="304" t="s">
        <v>784</v>
      </c>
      <c r="F38" s="304" t="s">
        <v>785</v>
      </c>
      <c r="G38" s="305" t="s">
        <v>786</v>
      </c>
      <c r="H38" s="305" t="s">
        <v>787</v>
      </c>
      <c r="I38" s="305" t="s">
        <v>788</v>
      </c>
      <c r="J38" s="305" t="s">
        <v>789</v>
      </c>
      <c r="K38" s="305" t="s">
        <v>790</v>
      </c>
      <c r="L38" s="305" t="s">
        <v>791</v>
      </c>
      <c r="M38" s="305" t="s">
        <v>792</v>
      </c>
      <c r="N38" s="306" t="s">
        <v>301</v>
      </c>
      <c r="O38" s="306" t="s">
        <v>301</v>
      </c>
      <c r="P38" s="306" t="s">
        <v>301</v>
      </c>
      <c r="Q38" s="306" t="s">
        <v>301</v>
      </c>
      <c r="R38" s="306" t="s">
        <v>301</v>
      </c>
      <c r="S38" s="307"/>
      <c r="T38" s="182"/>
      <c r="U38" s="182"/>
      <c r="V38" s="182"/>
      <c r="W38" s="182"/>
      <c r="X38" s="182"/>
      <c r="Y38" s="182"/>
      <c r="Z38" s="182"/>
      <c r="AA38" s="182"/>
      <c r="AB38" s="182"/>
      <c r="AC38" s="182"/>
      <c r="AD38" s="182"/>
      <c r="AE38" s="182"/>
      <c r="AF38" s="182"/>
      <c r="AG38" s="182"/>
    </row>
    <row r="39" ht="108.0" customHeight="1">
      <c r="A39" s="311">
        <v>35.0</v>
      </c>
      <c r="B39" s="304" t="s">
        <v>793</v>
      </c>
      <c r="C39" s="305" t="s">
        <v>794</v>
      </c>
      <c r="D39" s="304" t="s">
        <v>795</v>
      </c>
      <c r="E39" s="304" t="s">
        <v>796</v>
      </c>
      <c r="F39" s="304" t="s">
        <v>797</v>
      </c>
      <c r="G39" s="313" t="s">
        <v>798</v>
      </c>
      <c r="H39" s="305" t="s">
        <v>799</v>
      </c>
      <c r="I39" s="305" t="s">
        <v>800</v>
      </c>
      <c r="J39" s="305" t="s">
        <v>801</v>
      </c>
      <c r="K39" s="305" t="s">
        <v>802</v>
      </c>
      <c r="L39" s="305" t="s">
        <v>803</v>
      </c>
      <c r="M39" s="305" t="s">
        <v>804</v>
      </c>
      <c r="N39" s="306" t="s">
        <v>301</v>
      </c>
      <c r="O39" s="306" t="s">
        <v>301</v>
      </c>
      <c r="P39" s="306" t="s">
        <v>301</v>
      </c>
      <c r="Q39" s="306" t="s">
        <v>301</v>
      </c>
      <c r="R39" s="306" t="s">
        <v>301</v>
      </c>
      <c r="S39" s="307"/>
      <c r="T39" s="182"/>
      <c r="U39" s="182"/>
      <c r="V39" s="182"/>
      <c r="W39" s="182"/>
      <c r="X39" s="182"/>
      <c r="Y39" s="182"/>
      <c r="Z39" s="182"/>
      <c r="AA39" s="182"/>
      <c r="AB39" s="182"/>
      <c r="AC39" s="182"/>
      <c r="AD39" s="182"/>
      <c r="AE39" s="182"/>
      <c r="AF39" s="182"/>
      <c r="AG39" s="182"/>
    </row>
    <row r="40">
      <c r="A40" s="311">
        <v>36.0</v>
      </c>
      <c r="B40" s="304" t="s">
        <v>805</v>
      </c>
      <c r="C40" s="305" t="s">
        <v>806</v>
      </c>
      <c r="D40" s="304" t="s">
        <v>807</v>
      </c>
      <c r="E40" s="304" t="s">
        <v>808</v>
      </c>
      <c r="F40" s="304" t="s">
        <v>809</v>
      </c>
      <c r="G40" s="305" t="s">
        <v>810</v>
      </c>
      <c r="H40" s="305" t="s">
        <v>811</v>
      </c>
      <c r="I40" s="305" t="s">
        <v>812</v>
      </c>
      <c r="J40" s="305" t="s">
        <v>813</v>
      </c>
      <c r="K40" s="305" t="s">
        <v>814</v>
      </c>
      <c r="L40" s="305" t="s">
        <v>815</v>
      </c>
      <c r="M40" s="305" t="s">
        <v>816</v>
      </c>
      <c r="N40" s="306" t="s">
        <v>301</v>
      </c>
      <c r="O40" s="306" t="s">
        <v>301</v>
      </c>
      <c r="P40" s="306" t="s">
        <v>301</v>
      </c>
      <c r="Q40" s="306" t="s">
        <v>301</v>
      </c>
      <c r="R40" s="306" t="s">
        <v>301</v>
      </c>
      <c r="S40" s="307"/>
      <c r="T40" s="182"/>
      <c r="U40" s="182"/>
      <c r="V40" s="182"/>
      <c r="W40" s="182"/>
      <c r="X40" s="182"/>
      <c r="Y40" s="182"/>
      <c r="Z40" s="182"/>
      <c r="AA40" s="182"/>
      <c r="AB40" s="182"/>
      <c r="AC40" s="182"/>
      <c r="AD40" s="182"/>
      <c r="AE40" s="182"/>
      <c r="AF40" s="182"/>
      <c r="AG40" s="182"/>
    </row>
    <row r="41">
      <c r="A41" s="311">
        <v>37.0</v>
      </c>
      <c r="B41" s="304" t="s">
        <v>817</v>
      </c>
      <c r="C41" s="305" t="s">
        <v>818</v>
      </c>
      <c r="D41" s="304" t="s">
        <v>819</v>
      </c>
      <c r="E41" s="304" t="s">
        <v>820</v>
      </c>
      <c r="F41" s="304" t="s">
        <v>821</v>
      </c>
      <c r="G41" s="313" t="s">
        <v>822</v>
      </c>
      <c r="H41" s="305" t="s">
        <v>823</v>
      </c>
      <c r="I41" s="305" t="s">
        <v>824</v>
      </c>
      <c r="J41" s="305" t="s">
        <v>825</v>
      </c>
      <c r="K41" s="305" t="s">
        <v>826</v>
      </c>
      <c r="L41" s="305" t="s">
        <v>827</v>
      </c>
      <c r="M41" s="305" t="s">
        <v>828</v>
      </c>
      <c r="N41" s="306" t="s">
        <v>301</v>
      </c>
      <c r="O41" s="306" t="s">
        <v>301</v>
      </c>
      <c r="P41" s="306" t="s">
        <v>301</v>
      </c>
      <c r="Q41" s="306" t="s">
        <v>301</v>
      </c>
      <c r="R41" s="306" t="s">
        <v>301</v>
      </c>
      <c r="S41" s="307"/>
      <c r="T41" s="182"/>
      <c r="U41" s="182"/>
      <c r="V41" s="182"/>
      <c r="W41" s="182"/>
      <c r="X41" s="182"/>
      <c r="Y41" s="182"/>
      <c r="Z41" s="182"/>
      <c r="AA41" s="182"/>
      <c r="AB41" s="182"/>
      <c r="AC41" s="182"/>
      <c r="AD41" s="182"/>
      <c r="AE41" s="182"/>
      <c r="AF41" s="182"/>
      <c r="AG41" s="182"/>
    </row>
    <row r="42">
      <c r="A42" s="311">
        <v>38.0</v>
      </c>
      <c r="B42" s="304" t="s">
        <v>829</v>
      </c>
      <c r="C42" s="305" t="s">
        <v>830</v>
      </c>
      <c r="D42" s="313" t="s">
        <v>831</v>
      </c>
      <c r="E42" s="304" t="s">
        <v>832</v>
      </c>
      <c r="F42" s="313" t="s">
        <v>833</v>
      </c>
      <c r="G42" s="305" t="s">
        <v>834</v>
      </c>
      <c r="H42" s="305" t="s">
        <v>835</v>
      </c>
      <c r="I42" s="305" t="s">
        <v>836</v>
      </c>
      <c r="J42" s="305" t="s">
        <v>837</v>
      </c>
      <c r="K42" s="305" t="s">
        <v>838</v>
      </c>
      <c r="L42" s="305" t="s">
        <v>839</v>
      </c>
      <c r="M42" s="305" t="s">
        <v>840</v>
      </c>
      <c r="N42" s="306" t="s">
        <v>301</v>
      </c>
      <c r="O42" s="306" t="s">
        <v>301</v>
      </c>
      <c r="P42" s="306" t="s">
        <v>301</v>
      </c>
      <c r="Q42" s="306" t="s">
        <v>301</v>
      </c>
      <c r="R42" s="306" t="s">
        <v>301</v>
      </c>
      <c r="S42" s="307"/>
      <c r="T42" s="182"/>
      <c r="U42" s="182"/>
      <c r="V42" s="182"/>
      <c r="W42" s="182"/>
      <c r="X42" s="182"/>
      <c r="Y42" s="182"/>
      <c r="Z42" s="182"/>
      <c r="AA42" s="182"/>
      <c r="AB42" s="182"/>
      <c r="AC42" s="182"/>
      <c r="AD42" s="182"/>
      <c r="AE42" s="182"/>
      <c r="AF42" s="182"/>
      <c r="AG42" s="182"/>
    </row>
    <row r="43">
      <c r="A43" s="311">
        <v>40.0</v>
      </c>
      <c r="B43" s="304" t="s">
        <v>841</v>
      </c>
      <c r="C43" s="305" t="s">
        <v>842</v>
      </c>
      <c r="D43" s="313" t="s">
        <v>843</v>
      </c>
      <c r="E43" s="304" t="s">
        <v>844</v>
      </c>
      <c r="F43" s="304" t="s">
        <v>845</v>
      </c>
      <c r="G43" s="305" t="s">
        <v>846</v>
      </c>
      <c r="H43" s="305" t="s">
        <v>847</v>
      </c>
      <c r="I43" s="305" t="s">
        <v>848</v>
      </c>
      <c r="J43" s="305" t="s">
        <v>849</v>
      </c>
      <c r="K43" s="305" t="s">
        <v>850</v>
      </c>
      <c r="L43" s="305" t="s">
        <v>851</v>
      </c>
      <c r="M43" s="305" t="s">
        <v>852</v>
      </c>
      <c r="N43" s="306" t="s">
        <v>301</v>
      </c>
      <c r="O43" s="306" t="s">
        <v>301</v>
      </c>
      <c r="P43" s="306" t="s">
        <v>301</v>
      </c>
      <c r="Q43" s="306" t="s">
        <v>301</v>
      </c>
      <c r="R43" s="306" t="s">
        <v>301</v>
      </c>
      <c r="S43" s="307"/>
      <c r="T43" s="182"/>
      <c r="U43" s="182"/>
      <c r="V43" s="182"/>
      <c r="W43" s="182"/>
      <c r="X43" s="182"/>
      <c r="Y43" s="182"/>
      <c r="Z43" s="182"/>
      <c r="AA43" s="182"/>
      <c r="AB43" s="182"/>
      <c r="AC43" s="182"/>
      <c r="AD43" s="182"/>
      <c r="AE43" s="182"/>
      <c r="AF43" s="182"/>
      <c r="AG43" s="182"/>
    </row>
    <row r="44">
      <c r="A44" s="311">
        <v>41.0</v>
      </c>
      <c r="B44" s="304" t="s">
        <v>853</v>
      </c>
      <c r="C44" s="305" t="s">
        <v>854</v>
      </c>
      <c r="D44" s="313" t="s">
        <v>855</v>
      </c>
      <c r="E44" s="304" t="s">
        <v>856</v>
      </c>
      <c r="F44" s="313" t="s">
        <v>857</v>
      </c>
      <c r="G44" s="305" t="s">
        <v>858</v>
      </c>
      <c r="H44" s="305" t="s">
        <v>859</v>
      </c>
      <c r="I44" s="305" t="s">
        <v>860</v>
      </c>
      <c r="J44" s="305" t="s">
        <v>861</v>
      </c>
      <c r="K44" s="305" t="s">
        <v>862</v>
      </c>
      <c r="L44" s="305" t="s">
        <v>863</v>
      </c>
      <c r="M44" s="305" t="s">
        <v>864</v>
      </c>
      <c r="N44" s="306" t="s">
        <v>301</v>
      </c>
      <c r="O44" s="306" t="s">
        <v>301</v>
      </c>
      <c r="P44" s="306" t="s">
        <v>301</v>
      </c>
      <c r="Q44" s="306" t="s">
        <v>301</v>
      </c>
      <c r="R44" s="306" t="s">
        <v>301</v>
      </c>
      <c r="S44" s="307"/>
      <c r="T44" s="182"/>
      <c r="U44" s="182"/>
      <c r="V44" s="182"/>
      <c r="W44" s="182"/>
      <c r="X44" s="182"/>
      <c r="Y44" s="182"/>
      <c r="Z44" s="182"/>
      <c r="AA44" s="182"/>
      <c r="AB44" s="182"/>
      <c r="AC44" s="182"/>
      <c r="AD44" s="182"/>
      <c r="AE44" s="182"/>
      <c r="AF44" s="182"/>
      <c r="AG44" s="182"/>
    </row>
    <row r="45">
      <c r="A45" s="311">
        <v>42.0</v>
      </c>
      <c r="B45" s="304" t="s">
        <v>865</v>
      </c>
      <c r="C45" s="305" t="s">
        <v>866</v>
      </c>
      <c r="D45" s="313" t="s">
        <v>867</v>
      </c>
      <c r="E45" s="304" t="s">
        <v>868</v>
      </c>
      <c r="F45" s="304" t="s">
        <v>869</v>
      </c>
      <c r="G45" s="305" t="s">
        <v>870</v>
      </c>
      <c r="H45" s="305" t="s">
        <v>871</v>
      </c>
      <c r="I45" s="305" t="s">
        <v>872</v>
      </c>
      <c r="J45" s="305" t="s">
        <v>873</v>
      </c>
      <c r="K45" s="305" t="s">
        <v>874</v>
      </c>
      <c r="L45" s="305" t="s">
        <v>875</v>
      </c>
      <c r="M45" s="305" t="s">
        <v>876</v>
      </c>
      <c r="N45" s="306" t="s">
        <v>301</v>
      </c>
      <c r="O45" s="306" t="s">
        <v>301</v>
      </c>
      <c r="P45" s="306" t="s">
        <v>301</v>
      </c>
      <c r="Q45" s="306" t="s">
        <v>301</v>
      </c>
      <c r="R45" s="306" t="s">
        <v>301</v>
      </c>
      <c r="S45" s="307"/>
      <c r="T45" s="182"/>
      <c r="U45" s="182"/>
      <c r="V45" s="182"/>
      <c r="W45" s="182"/>
      <c r="X45" s="182"/>
      <c r="Y45" s="182"/>
      <c r="Z45" s="182"/>
      <c r="AA45" s="182"/>
      <c r="AB45" s="182"/>
      <c r="AC45" s="182"/>
      <c r="AD45" s="182"/>
      <c r="AE45" s="182"/>
      <c r="AF45" s="182"/>
      <c r="AG45" s="182"/>
    </row>
    <row r="46">
      <c r="A46" s="311">
        <v>43.0</v>
      </c>
      <c r="B46" s="304" t="s">
        <v>877</v>
      </c>
      <c r="C46" s="305" t="s">
        <v>878</v>
      </c>
      <c r="D46" s="313" t="s">
        <v>879</v>
      </c>
      <c r="E46" s="304" t="s">
        <v>880</v>
      </c>
      <c r="F46" s="312" t="s">
        <v>881</v>
      </c>
      <c r="G46" s="305" t="s">
        <v>882</v>
      </c>
      <c r="H46" s="305" t="s">
        <v>883</v>
      </c>
      <c r="I46" s="305" t="s">
        <v>884</v>
      </c>
      <c r="J46" s="305" t="s">
        <v>885</v>
      </c>
      <c r="K46" s="305" t="s">
        <v>886</v>
      </c>
      <c r="L46" s="305" t="s">
        <v>887</v>
      </c>
      <c r="M46" s="305" t="s">
        <v>888</v>
      </c>
      <c r="N46" s="306" t="s">
        <v>301</v>
      </c>
      <c r="O46" s="306" t="s">
        <v>271</v>
      </c>
      <c r="P46" s="306" t="s">
        <v>301</v>
      </c>
      <c r="Q46" s="306" t="s">
        <v>301</v>
      </c>
      <c r="R46" s="306" t="s">
        <v>301</v>
      </c>
      <c r="S46" s="307"/>
      <c r="T46" s="182"/>
      <c r="U46" s="182"/>
      <c r="V46" s="182"/>
      <c r="W46" s="182"/>
      <c r="X46" s="182"/>
      <c r="Y46" s="182"/>
      <c r="Z46" s="182"/>
      <c r="AA46" s="182"/>
      <c r="AB46" s="182"/>
      <c r="AC46" s="182"/>
      <c r="AD46" s="182"/>
      <c r="AE46" s="182"/>
      <c r="AF46" s="182"/>
      <c r="AG46" s="182"/>
    </row>
    <row r="47">
      <c r="A47" s="311">
        <v>44.0</v>
      </c>
      <c r="B47" s="304" t="s">
        <v>889</v>
      </c>
      <c r="C47" s="305" t="s">
        <v>890</v>
      </c>
      <c r="D47" s="313" t="s">
        <v>891</v>
      </c>
      <c r="E47" s="304" t="s">
        <v>892</v>
      </c>
      <c r="F47" s="304" t="s">
        <v>893</v>
      </c>
      <c r="G47" s="305" t="s">
        <v>894</v>
      </c>
      <c r="H47" s="305" t="s">
        <v>895</v>
      </c>
      <c r="I47" s="305" t="s">
        <v>896</v>
      </c>
      <c r="J47" s="305" t="s">
        <v>897</v>
      </c>
      <c r="K47" s="305" t="s">
        <v>898</v>
      </c>
      <c r="L47" s="305" t="s">
        <v>899</v>
      </c>
      <c r="M47" s="309" t="s">
        <v>900</v>
      </c>
      <c r="N47" s="306" t="s">
        <v>301</v>
      </c>
      <c r="O47" s="306" t="s">
        <v>271</v>
      </c>
      <c r="P47" s="306" t="s">
        <v>301</v>
      </c>
      <c r="Q47" s="306" t="s">
        <v>301</v>
      </c>
      <c r="R47" s="306" t="s">
        <v>301</v>
      </c>
      <c r="S47" s="307"/>
      <c r="T47" s="182"/>
      <c r="U47" s="182"/>
      <c r="V47" s="182"/>
      <c r="W47" s="182"/>
      <c r="X47" s="182"/>
      <c r="Y47" s="182"/>
      <c r="Z47" s="182"/>
      <c r="AA47" s="182"/>
      <c r="AB47" s="182"/>
      <c r="AC47" s="182"/>
      <c r="AD47" s="182"/>
      <c r="AE47" s="182"/>
      <c r="AF47" s="182"/>
      <c r="AG47" s="182"/>
    </row>
    <row r="48">
      <c r="A48" s="311">
        <v>45.0</v>
      </c>
      <c r="B48" s="304" t="s">
        <v>901</v>
      </c>
      <c r="C48" s="305" t="s">
        <v>902</v>
      </c>
      <c r="D48" s="313" t="s">
        <v>903</v>
      </c>
      <c r="E48" s="304" t="s">
        <v>904</v>
      </c>
      <c r="F48" s="304" t="s">
        <v>905</v>
      </c>
      <c r="G48" s="305" t="s">
        <v>906</v>
      </c>
      <c r="H48" s="305" t="s">
        <v>907</v>
      </c>
      <c r="I48" s="305" t="s">
        <v>908</v>
      </c>
      <c r="J48" s="305" t="s">
        <v>909</v>
      </c>
      <c r="K48" s="305" t="s">
        <v>910</v>
      </c>
      <c r="L48" s="305" t="s">
        <v>911</v>
      </c>
      <c r="M48" s="305" t="s">
        <v>912</v>
      </c>
      <c r="N48" s="306" t="s">
        <v>301</v>
      </c>
      <c r="O48" s="306" t="s">
        <v>271</v>
      </c>
      <c r="P48" s="306" t="s">
        <v>301</v>
      </c>
      <c r="Q48" s="306" t="s">
        <v>301</v>
      </c>
      <c r="R48" s="306" t="s">
        <v>301</v>
      </c>
      <c r="S48" s="307"/>
      <c r="T48" s="182"/>
      <c r="U48" s="182"/>
      <c r="V48" s="182"/>
      <c r="W48" s="182"/>
      <c r="X48" s="182"/>
      <c r="Y48" s="182"/>
      <c r="Z48" s="182"/>
      <c r="AA48" s="182"/>
      <c r="AB48" s="182"/>
      <c r="AC48" s="182"/>
      <c r="AD48" s="182"/>
      <c r="AE48" s="182"/>
      <c r="AF48" s="182"/>
      <c r="AG48" s="182"/>
    </row>
    <row r="49">
      <c r="A49" s="311">
        <v>46.0</v>
      </c>
      <c r="B49" s="304" t="s">
        <v>913</v>
      </c>
      <c r="C49" s="305" t="s">
        <v>914</v>
      </c>
      <c r="D49" s="313" t="s">
        <v>915</v>
      </c>
      <c r="E49" s="304" t="s">
        <v>916</v>
      </c>
      <c r="F49" s="304" t="s">
        <v>917</v>
      </c>
      <c r="G49" s="305" t="s">
        <v>918</v>
      </c>
      <c r="H49" s="305" t="s">
        <v>919</v>
      </c>
      <c r="I49" s="305" t="s">
        <v>920</v>
      </c>
      <c r="J49" s="305" t="s">
        <v>921</v>
      </c>
      <c r="K49" s="305" t="s">
        <v>922</v>
      </c>
      <c r="L49" s="305" t="s">
        <v>923</v>
      </c>
      <c r="M49" s="305" t="s">
        <v>924</v>
      </c>
      <c r="N49" s="306" t="s">
        <v>301</v>
      </c>
      <c r="O49" s="306" t="s">
        <v>271</v>
      </c>
      <c r="P49" s="306" t="s">
        <v>301</v>
      </c>
      <c r="Q49" s="306" t="s">
        <v>301</v>
      </c>
      <c r="R49" s="306" t="s">
        <v>301</v>
      </c>
      <c r="S49" s="307"/>
      <c r="T49" s="182"/>
      <c r="U49" s="182"/>
      <c r="V49" s="182"/>
      <c r="W49" s="182"/>
      <c r="X49" s="182"/>
      <c r="Y49" s="182"/>
      <c r="Z49" s="182"/>
      <c r="AA49" s="182"/>
      <c r="AB49" s="182"/>
      <c r="AC49" s="182"/>
      <c r="AD49" s="182"/>
      <c r="AE49" s="182"/>
      <c r="AF49" s="182"/>
      <c r="AG49" s="182"/>
    </row>
    <row r="50">
      <c r="A50" s="311">
        <v>47.0</v>
      </c>
      <c r="B50" s="304" t="s">
        <v>925</v>
      </c>
      <c r="C50" s="305" t="s">
        <v>926</v>
      </c>
      <c r="D50" s="313" t="s">
        <v>927</v>
      </c>
      <c r="E50" s="304" t="s">
        <v>928</v>
      </c>
      <c r="F50" s="304" t="s">
        <v>929</v>
      </c>
      <c r="G50" s="305" t="s">
        <v>930</v>
      </c>
      <c r="H50" s="305" t="s">
        <v>931</v>
      </c>
      <c r="I50" s="305" t="s">
        <v>932</v>
      </c>
      <c r="J50" s="305" t="s">
        <v>933</v>
      </c>
      <c r="K50" s="305" t="s">
        <v>934</v>
      </c>
      <c r="L50" s="305" t="s">
        <v>935</v>
      </c>
      <c r="M50" s="305" t="s">
        <v>936</v>
      </c>
      <c r="N50" s="306" t="s">
        <v>301</v>
      </c>
      <c r="O50" s="306" t="s">
        <v>271</v>
      </c>
      <c r="P50" s="306" t="s">
        <v>301</v>
      </c>
      <c r="Q50" s="306" t="s">
        <v>301</v>
      </c>
      <c r="R50" s="306" t="s">
        <v>301</v>
      </c>
      <c r="S50" s="307"/>
      <c r="T50" s="182"/>
      <c r="U50" s="182"/>
      <c r="V50" s="182"/>
      <c r="W50" s="182"/>
      <c r="X50" s="182"/>
      <c r="Y50" s="182"/>
      <c r="Z50" s="182"/>
      <c r="AA50" s="182"/>
      <c r="AB50" s="182"/>
      <c r="AC50" s="182"/>
      <c r="AD50" s="182"/>
      <c r="AE50" s="182"/>
      <c r="AF50" s="182"/>
      <c r="AG50" s="182"/>
    </row>
    <row r="51">
      <c r="A51" s="311">
        <v>48.0</v>
      </c>
      <c r="B51" s="304" t="s">
        <v>937</v>
      </c>
      <c r="C51" s="305" t="s">
        <v>938</v>
      </c>
      <c r="D51" s="313" t="s">
        <v>939</v>
      </c>
      <c r="E51" s="304" t="s">
        <v>940</v>
      </c>
      <c r="F51" s="304" t="s">
        <v>941</v>
      </c>
      <c r="G51" s="305" t="s">
        <v>942</v>
      </c>
      <c r="H51" s="305" t="s">
        <v>943</v>
      </c>
      <c r="I51" s="305" t="s">
        <v>944</v>
      </c>
      <c r="J51" s="305" t="s">
        <v>945</v>
      </c>
      <c r="K51" s="305" t="s">
        <v>946</v>
      </c>
      <c r="L51" s="305" t="s">
        <v>947</v>
      </c>
      <c r="M51" s="305" t="s">
        <v>948</v>
      </c>
      <c r="N51" s="306" t="s">
        <v>301</v>
      </c>
      <c r="O51" s="306" t="s">
        <v>271</v>
      </c>
      <c r="P51" s="306" t="s">
        <v>301</v>
      </c>
      <c r="Q51" s="306" t="s">
        <v>301</v>
      </c>
      <c r="R51" s="306" t="s">
        <v>301</v>
      </c>
      <c r="S51" s="307"/>
      <c r="T51" s="182"/>
      <c r="U51" s="182"/>
      <c r="V51" s="182"/>
      <c r="W51" s="182"/>
      <c r="X51" s="182"/>
      <c r="Y51" s="182"/>
      <c r="Z51" s="182"/>
      <c r="AA51" s="182"/>
      <c r="AB51" s="182"/>
      <c r="AC51" s="182"/>
      <c r="AD51" s="182"/>
      <c r="AE51" s="182"/>
      <c r="AF51" s="182"/>
      <c r="AG51" s="182"/>
    </row>
    <row r="52">
      <c r="A52" s="311">
        <v>49.0</v>
      </c>
      <c r="B52" s="304" t="s">
        <v>949</v>
      </c>
      <c r="C52" s="305" t="s">
        <v>950</v>
      </c>
      <c r="D52" s="313" t="s">
        <v>951</v>
      </c>
      <c r="E52" s="304" t="s">
        <v>952</v>
      </c>
      <c r="F52" s="314" t="s">
        <v>953</v>
      </c>
      <c r="G52" s="305" t="s">
        <v>954</v>
      </c>
      <c r="H52" s="305" t="s">
        <v>955</v>
      </c>
      <c r="I52" s="305" t="s">
        <v>956</v>
      </c>
      <c r="J52" s="305" t="s">
        <v>957</v>
      </c>
      <c r="K52" s="305" t="s">
        <v>958</v>
      </c>
      <c r="L52" s="305" t="s">
        <v>959</v>
      </c>
      <c r="M52" s="305" t="s">
        <v>960</v>
      </c>
      <c r="N52" s="306" t="s">
        <v>301</v>
      </c>
      <c r="O52" s="306" t="s">
        <v>271</v>
      </c>
      <c r="P52" s="306" t="s">
        <v>301</v>
      </c>
      <c r="Q52" s="306" t="s">
        <v>301</v>
      </c>
      <c r="R52" s="306" t="s">
        <v>301</v>
      </c>
      <c r="S52" s="307"/>
      <c r="T52" s="182"/>
      <c r="U52" s="182"/>
      <c r="V52" s="182"/>
      <c r="W52" s="182"/>
      <c r="X52" s="182"/>
      <c r="Y52" s="182"/>
      <c r="Z52" s="182"/>
      <c r="AA52" s="182"/>
      <c r="AB52" s="182"/>
      <c r="AC52" s="182"/>
      <c r="AD52" s="182"/>
      <c r="AE52" s="182"/>
      <c r="AF52" s="182"/>
      <c r="AG52" s="182"/>
    </row>
    <row r="53">
      <c r="A53" s="311">
        <v>51.0</v>
      </c>
      <c r="B53" s="304" t="s">
        <v>961</v>
      </c>
      <c r="C53" s="305" t="s">
        <v>962</v>
      </c>
      <c r="D53" s="313" t="s">
        <v>963</v>
      </c>
      <c r="E53" s="304" t="s">
        <v>964</v>
      </c>
      <c r="F53" s="304" t="s">
        <v>965</v>
      </c>
      <c r="G53" s="305" t="s">
        <v>966</v>
      </c>
      <c r="H53" s="305" t="s">
        <v>967</v>
      </c>
      <c r="I53" s="305" t="s">
        <v>968</v>
      </c>
      <c r="J53" s="305" t="s">
        <v>969</v>
      </c>
      <c r="K53" s="305" t="s">
        <v>970</v>
      </c>
      <c r="L53" s="305" t="s">
        <v>971</v>
      </c>
      <c r="M53" s="305" t="s">
        <v>972</v>
      </c>
      <c r="N53" s="306" t="s">
        <v>301</v>
      </c>
      <c r="O53" s="306" t="s">
        <v>271</v>
      </c>
      <c r="P53" s="306" t="s">
        <v>301</v>
      </c>
      <c r="Q53" s="306" t="s">
        <v>301</v>
      </c>
      <c r="R53" s="306" t="s">
        <v>301</v>
      </c>
      <c r="S53" s="307"/>
      <c r="T53" s="182"/>
      <c r="U53" s="182"/>
      <c r="V53" s="182"/>
      <c r="W53" s="182"/>
      <c r="X53" s="182"/>
      <c r="Y53" s="182"/>
      <c r="Z53" s="182"/>
      <c r="AA53" s="182"/>
      <c r="AB53" s="182"/>
      <c r="AC53" s="182"/>
      <c r="AD53" s="182"/>
      <c r="AE53" s="182"/>
      <c r="AF53" s="182"/>
      <c r="AG53" s="182"/>
    </row>
    <row r="54">
      <c r="A54" s="311">
        <v>52.0</v>
      </c>
      <c r="B54" s="304" t="s">
        <v>973</v>
      </c>
      <c r="C54" s="305" t="s">
        <v>974</v>
      </c>
      <c r="D54" s="313" t="s">
        <v>975</v>
      </c>
      <c r="E54" s="304" t="s">
        <v>976</v>
      </c>
      <c r="F54" s="304" t="s">
        <v>977</v>
      </c>
      <c r="G54" s="305" t="s">
        <v>978</v>
      </c>
      <c r="H54" s="305" t="s">
        <v>979</v>
      </c>
      <c r="I54" s="305" t="s">
        <v>980</v>
      </c>
      <c r="J54" s="305" t="s">
        <v>981</v>
      </c>
      <c r="K54" s="305" t="s">
        <v>982</v>
      </c>
      <c r="L54" s="305" t="s">
        <v>983</v>
      </c>
      <c r="M54" s="305" t="s">
        <v>984</v>
      </c>
      <c r="N54" s="306" t="s">
        <v>301</v>
      </c>
      <c r="O54" s="306" t="s">
        <v>271</v>
      </c>
      <c r="P54" s="306" t="s">
        <v>301</v>
      </c>
      <c r="Q54" s="306" t="s">
        <v>301</v>
      </c>
      <c r="R54" s="306" t="s">
        <v>301</v>
      </c>
      <c r="S54" s="307"/>
      <c r="T54" s="182"/>
      <c r="U54" s="182"/>
      <c r="V54" s="182"/>
      <c r="W54" s="182"/>
      <c r="X54" s="182"/>
      <c r="Y54" s="182"/>
      <c r="Z54" s="182"/>
      <c r="AA54" s="182"/>
      <c r="AB54" s="182"/>
      <c r="AC54" s="182"/>
      <c r="AD54" s="182"/>
      <c r="AE54" s="182"/>
      <c r="AF54" s="182"/>
      <c r="AG54" s="182"/>
    </row>
    <row r="55">
      <c r="A55" s="315"/>
      <c r="B55" s="315"/>
      <c r="C55" s="315"/>
      <c r="D55" s="315"/>
      <c r="E55" s="315"/>
      <c r="F55" s="315"/>
      <c r="G55" s="315"/>
      <c r="H55" s="316">
        <v>52.0</v>
      </c>
      <c r="I55" s="54">
        <f t="shared" ref="I55:L55" si="1">COUNTIF(I5:I54,"Y")</f>
        <v>50</v>
      </c>
      <c r="J55" s="54">
        <f t="shared" si="1"/>
        <v>50</v>
      </c>
      <c r="K55" s="54">
        <f t="shared" si="1"/>
        <v>50</v>
      </c>
      <c r="L55" s="54">
        <f t="shared" si="1"/>
        <v>50</v>
      </c>
      <c r="M55" s="317"/>
      <c r="N55" s="54">
        <f t="shared" ref="N55:R55" si="2">COUNTIF(N5:N54,"Y")</f>
        <v>50</v>
      </c>
      <c r="O55" s="318">
        <f t="shared" si="2"/>
        <v>39</v>
      </c>
      <c r="P55" s="318">
        <f t="shared" si="2"/>
        <v>47</v>
      </c>
      <c r="Q55" s="318">
        <f t="shared" si="2"/>
        <v>42</v>
      </c>
      <c r="R55" s="318">
        <f t="shared" si="2"/>
        <v>46</v>
      </c>
      <c r="S55" s="319"/>
    </row>
    <row r="56">
      <c r="A56" s="320"/>
      <c r="B56" s="320"/>
      <c r="C56" s="320"/>
      <c r="D56" s="320"/>
      <c r="E56" s="320"/>
      <c r="F56" s="320"/>
      <c r="G56" s="320"/>
      <c r="H56" s="321">
        <v>52.0</v>
      </c>
      <c r="I56" s="54">
        <f t="shared" ref="I56:L56" si="3">COUNTA(I5:I54)</f>
        <v>50</v>
      </c>
      <c r="J56" s="54">
        <f t="shared" si="3"/>
        <v>50</v>
      </c>
      <c r="K56" s="54">
        <f t="shared" si="3"/>
        <v>50</v>
      </c>
      <c r="L56" s="54">
        <f t="shared" si="3"/>
        <v>50</v>
      </c>
      <c r="M56" s="319"/>
      <c r="N56" s="54">
        <f t="shared" ref="N56:R56" si="4">COUNTA(N5:N54)</f>
        <v>50</v>
      </c>
      <c r="O56" s="318">
        <f t="shared" si="4"/>
        <v>50</v>
      </c>
      <c r="P56" s="318">
        <f t="shared" si="4"/>
        <v>50</v>
      </c>
      <c r="Q56" s="318">
        <f t="shared" si="4"/>
        <v>50</v>
      </c>
      <c r="R56" s="318">
        <f t="shared" si="4"/>
        <v>50</v>
      </c>
      <c r="S56" s="319"/>
    </row>
    <row r="57">
      <c r="A57" s="315"/>
      <c r="B57" s="315"/>
      <c r="C57" s="315"/>
      <c r="D57" s="315"/>
      <c r="E57" s="315"/>
      <c r="F57" s="315"/>
      <c r="G57" s="315"/>
      <c r="H57" s="322">
        <v>1.0</v>
      </c>
      <c r="I57" s="322">
        <v>1.0</v>
      </c>
      <c r="J57" s="322">
        <v>1.0</v>
      </c>
      <c r="K57" s="322">
        <v>1.0</v>
      </c>
      <c r="L57" s="322">
        <v>1.0</v>
      </c>
      <c r="M57" s="317"/>
      <c r="N57" s="323">
        <f t="shared" ref="N57:R57" si="5">N55/N56</f>
        <v>1</v>
      </c>
      <c r="O57" s="324">
        <f t="shared" si="5"/>
        <v>0.78</v>
      </c>
      <c r="P57" s="324">
        <f t="shared" si="5"/>
        <v>0.94</v>
      </c>
      <c r="Q57" s="324">
        <f t="shared" si="5"/>
        <v>0.84</v>
      </c>
      <c r="R57" s="324">
        <f t="shared" si="5"/>
        <v>0.92</v>
      </c>
      <c r="S57" s="319"/>
    </row>
    <row r="58">
      <c r="B58" s="264"/>
      <c r="F58" s="264"/>
      <c r="G58" s="264"/>
      <c r="H58" s="264"/>
      <c r="M58" s="325"/>
      <c r="N58" s="326"/>
      <c r="O58" s="264"/>
      <c r="S58" s="293"/>
    </row>
    <row r="59">
      <c r="B59" s="264"/>
      <c r="F59" s="264"/>
      <c r="G59" s="264"/>
      <c r="H59" s="264"/>
      <c r="M59" s="325"/>
      <c r="N59" s="326"/>
      <c r="O59" s="264"/>
      <c r="S59" s="293"/>
    </row>
    <row r="60">
      <c r="B60" s="264"/>
      <c r="F60" s="264"/>
      <c r="G60" s="264"/>
      <c r="H60" s="264"/>
      <c r="M60" s="325"/>
      <c r="N60" s="326"/>
      <c r="O60" s="264"/>
      <c r="S60" s="293"/>
    </row>
    <row r="61">
      <c r="B61" s="264"/>
      <c r="F61" s="264"/>
      <c r="G61" s="264"/>
      <c r="H61" s="264"/>
      <c r="M61" s="325"/>
      <c r="N61" s="326"/>
      <c r="O61" s="264"/>
      <c r="S61" s="293"/>
    </row>
    <row r="62">
      <c r="B62" s="264"/>
      <c r="F62" s="264"/>
      <c r="G62" s="264"/>
      <c r="H62" s="264"/>
      <c r="M62" s="325"/>
      <c r="N62" s="326"/>
      <c r="O62" s="264"/>
      <c r="S62" s="293"/>
    </row>
    <row r="63">
      <c r="B63" s="264"/>
      <c r="F63" s="264"/>
      <c r="G63" s="264"/>
      <c r="H63" s="264"/>
      <c r="M63" s="325"/>
      <c r="N63" s="326"/>
      <c r="O63" s="264"/>
      <c r="S63" s="293"/>
    </row>
    <row r="64">
      <c r="B64" s="264"/>
      <c r="F64" s="264"/>
      <c r="G64" s="264"/>
      <c r="H64" s="264"/>
      <c r="M64" s="325"/>
      <c r="N64" s="326"/>
      <c r="O64" s="264"/>
      <c r="S64" s="293"/>
    </row>
    <row r="65">
      <c r="B65" s="264"/>
      <c r="F65" s="264"/>
      <c r="G65" s="264"/>
      <c r="H65" s="264"/>
      <c r="M65" s="325"/>
      <c r="N65" s="326"/>
      <c r="O65" s="264"/>
      <c r="S65" s="293"/>
    </row>
    <row r="66">
      <c r="B66" s="264"/>
      <c r="F66" s="264"/>
      <c r="G66" s="264"/>
      <c r="H66" s="264"/>
      <c r="M66" s="325"/>
      <c r="N66" s="326"/>
      <c r="O66" s="264"/>
      <c r="S66" s="293"/>
    </row>
    <row r="67">
      <c r="B67" s="264"/>
      <c r="F67" s="264"/>
      <c r="G67" s="264"/>
      <c r="H67" s="264"/>
      <c r="M67" s="325"/>
      <c r="N67" s="326"/>
      <c r="O67" s="264"/>
      <c r="S67" s="293"/>
    </row>
    <row r="68">
      <c r="B68" s="264"/>
      <c r="F68" s="264"/>
      <c r="G68" s="264"/>
      <c r="H68" s="264"/>
      <c r="M68" s="325"/>
      <c r="N68" s="326"/>
      <c r="O68" s="264"/>
      <c r="S68" s="293"/>
    </row>
    <row r="69">
      <c r="B69" s="264"/>
      <c r="F69" s="264"/>
      <c r="G69" s="264"/>
      <c r="H69" s="264"/>
      <c r="M69" s="325"/>
      <c r="N69" s="326"/>
      <c r="O69" s="264"/>
      <c r="S69" s="293"/>
    </row>
    <row r="70">
      <c r="B70" s="264"/>
      <c r="F70" s="264"/>
      <c r="G70" s="264"/>
      <c r="H70" s="264"/>
      <c r="M70" s="325"/>
      <c r="N70" s="326"/>
      <c r="O70" s="264"/>
      <c r="S70" s="293"/>
    </row>
    <row r="71">
      <c r="B71" s="264"/>
      <c r="F71" s="264"/>
      <c r="G71" s="264"/>
      <c r="H71" s="264"/>
      <c r="M71" s="325"/>
      <c r="N71" s="326"/>
      <c r="O71" s="264"/>
      <c r="S71" s="293"/>
    </row>
    <row r="72">
      <c r="B72" s="264"/>
      <c r="F72" s="264"/>
      <c r="G72" s="264"/>
      <c r="H72" s="264"/>
      <c r="M72" s="325"/>
      <c r="N72" s="326"/>
      <c r="O72" s="264"/>
      <c r="S72" s="293"/>
    </row>
    <row r="73">
      <c r="B73" s="264"/>
      <c r="F73" s="264"/>
      <c r="G73" s="264"/>
      <c r="H73" s="264"/>
      <c r="M73" s="325"/>
      <c r="N73" s="326"/>
      <c r="O73" s="264"/>
      <c r="S73" s="293"/>
    </row>
    <row r="74">
      <c r="B74" s="264"/>
      <c r="F74" s="264"/>
      <c r="G74" s="264"/>
      <c r="H74" s="264"/>
      <c r="M74" s="325"/>
      <c r="N74" s="326"/>
      <c r="O74" s="264"/>
      <c r="S74" s="293"/>
    </row>
    <row r="75">
      <c r="B75" s="264"/>
      <c r="F75" s="264"/>
      <c r="G75" s="264"/>
      <c r="H75" s="264"/>
      <c r="M75" s="325"/>
      <c r="N75" s="326"/>
      <c r="O75" s="264"/>
      <c r="S75" s="293"/>
    </row>
    <row r="76">
      <c r="B76" s="264"/>
      <c r="F76" s="264"/>
      <c r="G76" s="264"/>
      <c r="H76" s="264"/>
      <c r="M76" s="325"/>
      <c r="N76" s="326"/>
      <c r="O76" s="264"/>
      <c r="S76" s="293"/>
    </row>
    <row r="77">
      <c r="B77" s="264"/>
      <c r="F77" s="264"/>
      <c r="G77" s="264"/>
      <c r="H77" s="264"/>
      <c r="M77" s="325"/>
      <c r="N77" s="326"/>
      <c r="O77" s="264"/>
      <c r="S77" s="293"/>
    </row>
    <row r="78">
      <c r="B78" s="264"/>
      <c r="F78" s="264"/>
      <c r="G78" s="264"/>
      <c r="H78" s="264"/>
      <c r="M78" s="325"/>
      <c r="N78" s="326"/>
      <c r="O78" s="264"/>
      <c r="S78" s="293"/>
    </row>
    <row r="79">
      <c r="B79" s="264"/>
      <c r="F79" s="264"/>
      <c r="G79" s="264"/>
      <c r="H79" s="264"/>
      <c r="M79" s="325"/>
      <c r="N79" s="326"/>
      <c r="O79" s="264"/>
      <c r="S79" s="293"/>
    </row>
    <row r="80">
      <c r="B80" s="264"/>
      <c r="F80" s="264"/>
      <c r="G80" s="264"/>
      <c r="H80" s="264"/>
      <c r="M80" s="325"/>
      <c r="N80" s="326"/>
      <c r="O80" s="264"/>
      <c r="S80" s="293"/>
    </row>
    <row r="81">
      <c r="B81" s="264"/>
      <c r="F81" s="264"/>
      <c r="G81" s="264"/>
      <c r="H81" s="264"/>
      <c r="M81" s="325"/>
      <c r="N81" s="326"/>
      <c r="O81" s="264"/>
      <c r="S81" s="293"/>
    </row>
    <row r="82">
      <c r="B82" s="264"/>
      <c r="F82" s="264"/>
      <c r="G82" s="264"/>
      <c r="H82" s="264"/>
      <c r="M82" s="325"/>
      <c r="N82" s="326"/>
      <c r="O82" s="264"/>
      <c r="S82" s="293"/>
    </row>
    <row r="83">
      <c r="B83" s="264"/>
      <c r="F83" s="264"/>
      <c r="G83" s="264"/>
      <c r="H83" s="264"/>
      <c r="M83" s="325"/>
      <c r="N83" s="326"/>
      <c r="O83" s="264"/>
      <c r="S83" s="293"/>
    </row>
    <row r="84">
      <c r="B84" s="264"/>
      <c r="F84" s="264"/>
      <c r="G84" s="264"/>
      <c r="H84" s="264"/>
      <c r="M84" s="325"/>
      <c r="N84" s="326"/>
      <c r="O84" s="264"/>
      <c r="S84" s="293"/>
    </row>
    <row r="85">
      <c r="B85" s="264"/>
      <c r="F85" s="264"/>
      <c r="G85" s="264"/>
      <c r="H85" s="264"/>
      <c r="M85" s="325"/>
      <c r="N85" s="326"/>
      <c r="O85" s="264"/>
      <c r="S85" s="293"/>
    </row>
    <row r="86">
      <c r="B86" s="264"/>
      <c r="F86" s="264"/>
      <c r="G86" s="264"/>
      <c r="H86" s="264"/>
      <c r="M86" s="325"/>
      <c r="N86" s="326"/>
      <c r="O86" s="264"/>
      <c r="S86" s="293"/>
    </row>
    <row r="87">
      <c r="B87" s="264"/>
      <c r="F87" s="264"/>
      <c r="G87" s="264"/>
      <c r="H87" s="264"/>
      <c r="M87" s="325"/>
      <c r="N87" s="326"/>
      <c r="O87" s="264"/>
      <c r="S87" s="293"/>
    </row>
    <row r="88">
      <c r="B88" s="264"/>
      <c r="F88" s="264"/>
      <c r="G88" s="264"/>
      <c r="H88" s="264"/>
      <c r="M88" s="325"/>
      <c r="N88" s="326"/>
      <c r="O88" s="264"/>
      <c r="S88" s="293"/>
    </row>
    <row r="89">
      <c r="B89" s="264"/>
      <c r="F89" s="264"/>
      <c r="G89" s="264"/>
      <c r="H89" s="264"/>
      <c r="M89" s="325"/>
      <c r="N89" s="326"/>
      <c r="O89" s="264"/>
      <c r="S89" s="293"/>
    </row>
    <row r="90">
      <c r="B90" s="264"/>
      <c r="F90" s="264"/>
      <c r="G90" s="264"/>
      <c r="H90" s="264"/>
      <c r="M90" s="325"/>
      <c r="N90" s="326"/>
      <c r="O90" s="264"/>
      <c r="S90" s="293"/>
    </row>
    <row r="91">
      <c r="B91" s="264"/>
      <c r="F91" s="264"/>
      <c r="G91" s="264"/>
      <c r="H91" s="264"/>
      <c r="M91" s="325"/>
      <c r="N91" s="326"/>
      <c r="O91" s="264"/>
      <c r="S91" s="293"/>
    </row>
    <row r="92">
      <c r="B92" s="264"/>
      <c r="F92" s="264"/>
      <c r="G92" s="264"/>
      <c r="H92" s="264"/>
      <c r="M92" s="325"/>
      <c r="N92" s="326"/>
      <c r="O92" s="264"/>
      <c r="S92" s="293"/>
    </row>
    <row r="93">
      <c r="B93" s="264"/>
      <c r="F93" s="264"/>
      <c r="G93" s="264"/>
      <c r="H93" s="264"/>
      <c r="M93" s="325"/>
      <c r="N93" s="326"/>
      <c r="O93" s="264"/>
      <c r="S93" s="293"/>
    </row>
    <row r="94">
      <c r="B94" s="264"/>
      <c r="F94" s="264"/>
      <c r="G94" s="264"/>
      <c r="H94" s="264"/>
      <c r="M94" s="325"/>
      <c r="N94" s="326"/>
      <c r="O94" s="264"/>
      <c r="S94" s="293"/>
    </row>
    <row r="95">
      <c r="B95" s="264"/>
      <c r="F95" s="264"/>
      <c r="G95" s="264"/>
      <c r="H95" s="264"/>
      <c r="M95" s="325"/>
      <c r="N95" s="326"/>
      <c r="O95" s="264"/>
      <c r="S95" s="293"/>
    </row>
    <row r="96">
      <c r="B96" s="264"/>
      <c r="F96" s="264"/>
      <c r="G96" s="264"/>
      <c r="H96" s="264"/>
      <c r="M96" s="325"/>
      <c r="N96" s="326"/>
      <c r="O96" s="264"/>
      <c r="S96" s="293"/>
    </row>
    <row r="97">
      <c r="B97" s="264"/>
      <c r="F97" s="264"/>
      <c r="G97" s="264"/>
      <c r="H97" s="264"/>
      <c r="M97" s="325"/>
      <c r="N97" s="326"/>
      <c r="O97" s="264"/>
      <c r="S97" s="293"/>
    </row>
    <row r="98">
      <c r="B98" s="264"/>
      <c r="F98" s="264"/>
      <c r="G98" s="264"/>
      <c r="H98" s="264"/>
      <c r="M98" s="325"/>
      <c r="N98" s="326"/>
      <c r="O98" s="264"/>
      <c r="S98" s="293"/>
    </row>
    <row r="99">
      <c r="B99" s="264"/>
      <c r="F99" s="264"/>
      <c r="G99" s="264"/>
      <c r="H99" s="264"/>
      <c r="M99" s="325"/>
      <c r="N99" s="326"/>
      <c r="O99" s="264"/>
      <c r="S99" s="293"/>
    </row>
    <row r="100">
      <c r="B100" s="264"/>
      <c r="F100" s="264"/>
      <c r="G100" s="264"/>
      <c r="H100" s="264"/>
      <c r="M100" s="325"/>
      <c r="N100" s="326"/>
      <c r="O100" s="264"/>
      <c r="S100" s="293"/>
    </row>
    <row r="101">
      <c r="B101" s="264"/>
      <c r="F101" s="264"/>
      <c r="G101" s="264"/>
      <c r="H101" s="264"/>
      <c r="M101" s="325"/>
      <c r="N101" s="326"/>
      <c r="O101" s="264"/>
      <c r="S101" s="293"/>
    </row>
    <row r="102">
      <c r="B102" s="264"/>
      <c r="F102" s="264"/>
      <c r="G102" s="264"/>
      <c r="H102" s="264"/>
      <c r="M102" s="325"/>
      <c r="N102" s="326"/>
      <c r="O102" s="264"/>
      <c r="S102" s="293"/>
    </row>
    <row r="103">
      <c r="B103" s="264"/>
      <c r="F103" s="264"/>
      <c r="G103" s="264"/>
      <c r="H103" s="264"/>
      <c r="M103" s="325"/>
      <c r="N103" s="326"/>
      <c r="O103" s="264"/>
      <c r="S103" s="293"/>
    </row>
    <row r="104">
      <c r="B104" s="264"/>
      <c r="F104" s="264"/>
      <c r="G104" s="264"/>
      <c r="H104" s="264"/>
      <c r="M104" s="325"/>
      <c r="N104" s="326"/>
      <c r="O104" s="264"/>
      <c r="S104" s="293"/>
    </row>
    <row r="105">
      <c r="B105" s="264"/>
      <c r="F105" s="264"/>
      <c r="G105" s="264"/>
      <c r="H105" s="264"/>
      <c r="M105" s="325"/>
      <c r="N105" s="326"/>
      <c r="O105" s="264"/>
      <c r="S105" s="293"/>
    </row>
    <row r="106">
      <c r="B106" s="264"/>
      <c r="F106" s="264"/>
      <c r="G106" s="264"/>
      <c r="H106" s="264"/>
      <c r="M106" s="325"/>
      <c r="N106" s="326"/>
      <c r="O106" s="264"/>
      <c r="S106" s="293"/>
    </row>
    <row r="107">
      <c r="B107" s="264"/>
      <c r="F107" s="264"/>
      <c r="G107" s="264"/>
      <c r="H107" s="264"/>
      <c r="M107" s="325"/>
      <c r="N107" s="326"/>
      <c r="O107" s="264"/>
      <c r="S107" s="293"/>
    </row>
    <row r="108">
      <c r="B108" s="264"/>
      <c r="F108" s="264"/>
      <c r="G108" s="264"/>
      <c r="H108" s="264"/>
      <c r="M108" s="325"/>
      <c r="N108" s="326"/>
      <c r="O108" s="264"/>
      <c r="S108" s="293"/>
    </row>
    <row r="109">
      <c r="B109" s="264"/>
      <c r="F109" s="264"/>
      <c r="G109" s="264"/>
      <c r="H109" s="264"/>
      <c r="M109" s="325"/>
      <c r="N109" s="326"/>
      <c r="O109" s="264"/>
      <c r="S109" s="293"/>
    </row>
    <row r="110">
      <c r="B110" s="264"/>
      <c r="F110" s="264"/>
      <c r="G110" s="264"/>
      <c r="H110" s="264"/>
      <c r="M110" s="325"/>
      <c r="N110" s="326"/>
      <c r="O110" s="264"/>
      <c r="S110" s="293"/>
    </row>
    <row r="111">
      <c r="B111" s="264"/>
      <c r="F111" s="264"/>
      <c r="G111" s="264"/>
      <c r="H111" s="264"/>
      <c r="M111" s="325"/>
      <c r="N111" s="326"/>
      <c r="O111" s="264"/>
      <c r="S111" s="293"/>
    </row>
    <row r="112">
      <c r="B112" s="264"/>
      <c r="F112" s="264"/>
      <c r="G112" s="264"/>
      <c r="H112" s="264"/>
      <c r="M112" s="325"/>
      <c r="N112" s="326"/>
      <c r="O112" s="264"/>
      <c r="S112" s="293"/>
    </row>
    <row r="113">
      <c r="B113" s="264"/>
      <c r="F113" s="264"/>
      <c r="G113" s="264"/>
      <c r="H113" s="264"/>
      <c r="M113" s="325"/>
      <c r="N113" s="326"/>
      <c r="O113" s="264"/>
      <c r="S113" s="293"/>
    </row>
    <row r="114">
      <c r="B114" s="264"/>
      <c r="F114" s="264"/>
      <c r="G114" s="264"/>
      <c r="H114" s="264"/>
      <c r="M114" s="325"/>
      <c r="N114" s="326"/>
      <c r="O114" s="264"/>
      <c r="S114" s="293"/>
    </row>
    <row r="115">
      <c r="B115" s="264"/>
      <c r="F115" s="264"/>
      <c r="G115" s="264"/>
      <c r="H115" s="264"/>
      <c r="M115" s="325"/>
      <c r="N115" s="326"/>
      <c r="O115" s="264"/>
      <c r="S115" s="293"/>
    </row>
    <row r="116">
      <c r="B116" s="264"/>
      <c r="F116" s="264"/>
      <c r="G116" s="264"/>
      <c r="H116" s="264"/>
      <c r="M116" s="325"/>
      <c r="N116" s="326"/>
      <c r="O116" s="264"/>
      <c r="S116" s="293"/>
    </row>
    <row r="117">
      <c r="B117" s="264"/>
      <c r="F117" s="264"/>
      <c r="G117" s="264"/>
      <c r="H117" s="264"/>
      <c r="M117" s="325"/>
      <c r="N117" s="326"/>
      <c r="O117" s="264"/>
      <c r="S117" s="293"/>
    </row>
    <row r="118">
      <c r="B118" s="264"/>
      <c r="F118" s="264"/>
      <c r="G118" s="264"/>
      <c r="H118" s="264"/>
      <c r="M118" s="325"/>
      <c r="N118" s="326"/>
      <c r="O118" s="264"/>
      <c r="S118" s="293"/>
    </row>
    <row r="119">
      <c r="B119" s="264"/>
      <c r="F119" s="264"/>
      <c r="G119" s="264"/>
      <c r="H119" s="264"/>
      <c r="M119" s="325"/>
      <c r="N119" s="326"/>
      <c r="O119" s="264"/>
      <c r="S119" s="293"/>
    </row>
    <row r="120">
      <c r="B120" s="264"/>
      <c r="F120" s="264"/>
      <c r="G120" s="264"/>
      <c r="H120" s="264"/>
      <c r="M120" s="325"/>
      <c r="N120" s="326"/>
      <c r="O120" s="264"/>
      <c r="S120" s="293"/>
    </row>
    <row r="121">
      <c r="B121" s="264"/>
      <c r="F121" s="264"/>
      <c r="G121" s="264"/>
      <c r="H121" s="264"/>
      <c r="M121" s="325"/>
      <c r="N121" s="326"/>
      <c r="O121" s="264"/>
      <c r="S121" s="293"/>
    </row>
    <row r="122">
      <c r="B122" s="264"/>
      <c r="F122" s="264"/>
      <c r="G122" s="264"/>
      <c r="H122" s="264"/>
      <c r="M122" s="325"/>
      <c r="N122" s="326"/>
      <c r="O122" s="264"/>
      <c r="S122" s="293"/>
    </row>
    <row r="123">
      <c r="B123" s="264"/>
      <c r="F123" s="264"/>
      <c r="G123" s="264"/>
      <c r="H123" s="264"/>
      <c r="M123" s="325"/>
      <c r="N123" s="326"/>
      <c r="O123" s="264"/>
      <c r="S123" s="293"/>
    </row>
    <row r="124">
      <c r="B124" s="264"/>
      <c r="F124" s="264"/>
      <c r="G124" s="264"/>
      <c r="H124" s="264"/>
      <c r="M124" s="325"/>
      <c r="N124" s="326"/>
      <c r="O124" s="264"/>
      <c r="S124" s="293"/>
    </row>
    <row r="125">
      <c r="B125" s="264"/>
      <c r="F125" s="264"/>
      <c r="G125" s="264"/>
      <c r="H125" s="264"/>
      <c r="M125" s="325"/>
      <c r="N125" s="326"/>
      <c r="O125" s="264"/>
      <c r="S125" s="293"/>
    </row>
    <row r="126">
      <c r="B126" s="264"/>
      <c r="F126" s="264"/>
      <c r="G126" s="264"/>
      <c r="H126" s="264"/>
      <c r="M126" s="325"/>
      <c r="N126" s="326"/>
      <c r="O126" s="264"/>
      <c r="S126" s="293"/>
    </row>
    <row r="127">
      <c r="B127" s="264"/>
      <c r="F127" s="264"/>
      <c r="G127" s="264"/>
      <c r="H127" s="264"/>
      <c r="M127" s="325"/>
      <c r="N127" s="326"/>
      <c r="O127" s="264"/>
      <c r="S127" s="293"/>
    </row>
    <row r="128">
      <c r="B128" s="264"/>
      <c r="F128" s="264"/>
      <c r="G128" s="264"/>
      <c r="H128" s="264"/>
      <c r="M128" s="325"/>
      <c r="N128" s="326"/>
      <c r="O128" s="264"/>
      <c r="S128" s="293"/>
    </row>
    <row r="129">
      <c r="B129" s="264"/>
      <c r="F129" s="264"/>
      <c r="G129" s="264"/>
      <c r="H129" s="264"/>
      <c r="M129" s="325"/>
      <c r="N129" s="326"/>
      <c r="O129" s="264"/>
      <c r="S129" s="293"/>
    </row>
    <row r="130">
      <c r="B130" s="264"/>
      <c r="F130" s="264"/>
      <c r="G130" s="264"/>
      <c r="H130" s="264"/>
      <c r="M130" s="325"/>
      <c r="N130" s="326"/>
      <c r="O130" s="264"/>
      <c r="S130" s="293"/>
    </row>
    <row r="131">
      <c r="B131" s="264"/>
      <c r="F131" s="264"/>
      <c r="G131" s="264"/>
      <c r="H131" s="264"/>
      <c r="M131" s="325"/>
      <c r="N131" s="326"/>
      <c r="O131" s="264"/>
      <c r="S131" s="293"/>
    </row>
    <row r="132">
      <c r="B132" s="264"/>
      <c r="F132" s="264"/>
      <c r="G132" s="264"/>
      <c r="H132" s="264"/>
      <c r="M132" s="325"/>
      <c r="N132" s="326"/>
      <c r="O132" s="264"/>
      <c r="S132" s="293"/>
    </row>
    <row r="133">
      <c r="B133" s="264"/>
      <c r="F133" s="264"/>
      <c r="G133" s="264"/>
      <c r="H133" s="264"/>
      <c r="M133" s="325"/>
      <c r="N133" s="326"/>
      <c r="O133" s="264"/>
      <c r="S133" s="293"/>
    </row>
    <row r="134">
      <c r="B134" s="264"/>
      <c r="F134" s="264"/>
      <c r="G134" s="264"/>
      <c r="H134" s="264"/>
      <c r="M134" s="325"/>
      <c r="N134" s="326"/>
      <c r="O134" s="264"/>
      <c r="S134" s="293"/>
    </row>
    <row r="135">
      <c r="B135" s="264"/>
      <c r="F135" s="264"/>
      <c r="G135" s="264"/>
      <c r="H135" s="264"/>
      <c r="M135" s="325"/>
      <c r="N135" s="326"/>
      <c r="O135" s="264"/>
      <c r="S135" s="293"/>
    </row>
    <row r="136">
      <c r="B136" s="264"/>
      <c r="F136" s="264"/>
      <c r="G136" s="264"/>
      <c r="H136" s="264"/>
      <c r="M136" s="325"/>
      <c r="N136" s="326"/>
      <c r="O136" s="264"/>
      <c r="S136" s="293"/>
    </row>
    <row r="137">
      <c r="B137" s="264"/>
      <c r="F137" s="264"/>
      <c r="G137" s="264"/>
      <c r="H137" s="264"/>
      <c r="M137" s="325"/>
      <c r="N137" s="326"/>
      <c r="O137" s="264"/>
      <c r="S137" s="293"/>
    </row>
    <row r="138">
      <c r="B138" s="264"/>
      <c r="F138" s="264"/>
      <c r="G138" s="264"/>
      <c r="H138" s="264"/>
      <c r="M138" s="325"/>
      <c r="N138" s="326"/>
      <c r="O138" s="264"/>
      <c r="S138" s="293"/>
    </row>
    <row r="139">
      <c r="B139" s="264"/>
      <c r="F139" s="264"/>
      <c r="G139" s="264"/>
      <c r="H139" s="264"/>
      <c r="M139" s="325"/>
      <c r="N139" s="326"/>
      <c r="O139" s="264"/>
      <c r="S139" s="293"/>
    </row>
    <row r="140">
      <c r="B140" s="264"/>
      <c r="F140" s="264"/>
      <c r="G140" s="264"/>
      <c r="H140" s="264"/>
      <c r="M140" s="325"/>
      <c r="N140" s="326"/>
      <c r="O140" s="264"/>
      <c r="S140" s="293"/>
    </row>
    <row r="141">
      <c r="B141" s="264"/>
      <c r="F141" s="264"/>
      <c r="G141" s="264"/>
      <c r="H141" s="264"/>
      <c r="M141" s="325"/>
      <c r="N141" s="326"/>
      <c r="O141" s="264"/>
      <c r="S141" s="293"/>
    </row>
    <row r="142">
      <c r="B142" s="264"/>
      <c r="F142" s="264"/>
      <c r="G142" s="264"/>
      <c r="H142" s="264"/>
      <c r="M142" s="325"/>
      <c r="N142" s="326"/>
      <c r="O142" s="264"/>
      <c r="S142" s="293"/>
    </row>
    <row r="143">
      <c r="B143" s="264"/>
      <c r="F143" s="264"/>
      <c r="G143" s="264"/>
      <c r="H143" s="264"/>
      <c r="M143" s="325"/>
      <c r="N143" s="326"/>
      <c r="O143" s="264"/>
      <c r="S143" s="293"/>
    </row>
    <row r="144">
      <c r="B144" s="264"/>
      <c r="F144" s="264"/>
      <c r="G144" s="264"/>
      <c r="H144" s="264"/>
      <c r="M144" s="325"/>
      <c r="N144" s="326"/>
      <c r="O144" s="264"/>
      <c r="S144" s="293"/>
    </row>
    <row r="145">
      <c r="B145" s="264"/>
      <c r="F145" s="264"/>
      <c r="G145" s="264"/>
      <c r="H145" s="264"/>
      <c r="M145" s="325"/>
      <c r="N145" s="326"/>
      <c r="O145" s="264"/>
      <c r="S145" s="293"/>
    </row>
    <row r="146">
      <c r="B146" s="264"/>
      <c r="F146" s="264"/>
      <c r="G146" s="264"/>
      <c r="H146" s="264"/>
      <c r="M146" s="325"/>
      <c r="N146" s="326"/>
      <c r="O146" s="264"/>
      <c r="S146" s="293"/>
    </row>
    <row r="147">
      <c r="B147" s="264"/>
      <c r="F147" s="264"/>
      <c r="G147" s="264"/>
      <c r="H147" s="264"/>
      <c r="M147" s="325"/>
      <c r="N147" s="326"/>
      <c r="O147" s="264"/>
      <c r="S147" s="293"/>
    </row>
    <row r="148">
      <c r="B148" s="264"/>
      <c r="F148" s="264"/>
      <c r="G148" s="264"/>
      <c r="H148" s="264"/>
      <c r="M148" s="325"/>
      <c r="N148" s="326"/>
      <c r="O148" s="264"/>
      <c r="S148" s="293"/>
    </row>
    <row r="149">
      <c r="B149" s="264"/>
      <c r="F149" s="264"/>
      <c r="G149" s="264"/>
      <c r="H149" s="264"/>
      <c r="M149" s="325"/>
      <c r="N149" s="326"/>
      <c r="O149" s="264"/>
      <c r="S149" s="293"/>
    </row>
    <row r="150">
      <c r="B150" s="264"/>
      <c r="F150" s="264"/>
      <c r="G150" s="264"/>
      <c r="H150" s="264"/>
      <c r="M150" s="325"/>
      <c r="N150" s="326"/>
      <c r="O150" s="264"/>
      <c r="S150" s="293"/>
    </row>
    <row r="151">
      <c r="B151" s="264"/>
      <c r="F151" s="264"/>
      <c r="G151" s="264"/>
      <c r="H151" s="264"/>
      <c r="M151" s="325"/>
      <c r="N151" s="326"/>
      <c r="O151" s="264"/>
      <c r="S151" s="293"/>
    </row>
    <row r="152">
      <c r="B152" s="264"/>
      <c r="F152" s="264"/>
      <c r="G152" s="264"/>
      <c r="H152" s="264"/>
      <c r="M152" s="325"/>
      <c r="N152" s="326"/>
      <c r="O152" s="264"/>
      <c r="S152" s="293"/>
    </row>
    <row r="153">
      <c r="B153" s="264"/>
      <c r="F153" s="264"/>
      <c r="G153" s="264"/>
      <c r="H153" s="264"/>
      <c r="M153" s="325"/>
      <c r="N153" s="326"/>
      <c r="O153" s="264"/>
      <c r="S153" s="293"/>
    </row>
    <row r="154">
      <c r="B154" s="264"/>
      <c r="F154" s="264"/>
      <c r="G154" s="264"/>
      <c r="H154" s="264"/>
      <c r="M154" s="325"/>
      <c r="N154" s="326"/>
      <c r="O154" s="264"/>
      <c r="S154" s="293"/>
    </row>
    <row r="155">
      <c r="B155" s="264"/>
      <c r="F155" s="264"/>
      <c r="G155" s="264"/>
      <c r="H155" s="264"/>
      <c r="M155" s="325"/>
      <c r="N155" s="326"/>
      <c r="O155" s="264"/>
      <c r="S155" s="293"/>
    </row>
    <row r="156">
      <c r="B156" s="264"/>
      <c r="F156" s="264"/>
      <c r="G156" s="264"/>
      <c r="H156" s="264"/>
      <c r="M156" s="325"/>
      <c r="N156" s="326"/>
      <c r="O156" s="264"/>
      <c r="S156" s="293"/>
    </row>
    <row r="157">
      <c r="B157" s="264"/>
      <c r="F157" s="264"/>
      <c r="G157" s="264"/>
      <c r="H157" s="264"/>
      <c r="M157" s="325"/>
      <c r="N157" s="326"/>
      <c r="O157" s="264"/>
      <c r="S157" s="293"/>
    </row>
    <row r="158">
      <c r="B158" s="264"/>
      <c r="F158" s="264"/>
      <c r="G158" s="264"/>
      <c r="H158" s="264"/>
      <c r="M158" s="325"/>
      <c r="N158" s="326"/>
      <c r="O158" s="264"/>
      <c r="S158" s="293"/>
    </row>
    <row r="159">
      <c r="B159" s="264"/>
      <c r="F159" s="264"/>
      <c r="G159" s="264"/>
      <c r="H159" s="264"/>
      <c r="M159" s="325"/>
      <c r="N159" s="326"/>
      <c r="O159" s="264"/>
      <c r="S159" s="293"/>
    </row>
    <row r="160">
      <c r="B160" s="264"/>
      <c r="F160" s="264"/>
      <c r="G160" s="264"/>
      <c r="H160" s="264"/>
      <c r="M160" s="325"/>
      <c r="N160" s="326"/>
      <c r="O160" s="264"/>
      <c r="S160" s="293"/>
    </row>
    <row r="161">
      <c r="B161" s="264"/>
      <c r="F161" s="264"/>
      <c r="G161" s="264"/>
      <c r="H161" s="264"/>
      <c r="M161" s="325"/>
      <c r="N161" s="326"/>
      <c r="O161" s="264"/>
      <c r="S161" s="293"/>
    </row>
    <row r="162">
      <c r="B162" s="264"/>
      <c r="F162" s="264"/>
      <c r="G162" s="264"/>
      <c r="H162" s="264"/>
      <c r="M162" s="325"/>
      <c r="N162" s="326"/>
      <c r="O162" s="264"/>
      <c r="S162" s="293"/>
    </row>
    <row r="163">
      <c r="B163" s="264"/>
      <c r="F163" s="264"/>
      <c r="G163" s="264"/>
      <c r="H163" s="264"/>
      <c r="M163" s="325"/>
      <c r="N163" s="326"/>
      <c r="O163" s="264"/>
      <c r="S163" s="293"/>
    </row>
    <row r="164">
      <c r="B164" s="264"/>
      <c r="F164" s="264"/>
      <c r="G164" s="264"/>
      <c r="H164" s="264"/>
      <c r="M164" s="325"/>
      <c r="N164" s="326"/>
      <c r="O164" s="264"/>
      <c r="S164" s="293"/>
    </row>
    <row r="165">
      <c r="B165" s="264"/>
      <c r="F165" s="264"/>
      <c r="G165" s="264"/>
      <c r="H165" s="264"/>
      <c r="M165" s="325"/>
      <c r="N165" s="326"/>
      <c r="O165" s="264"/>
      <c r="S165" s="293"/>
    </row>
    <row r="166">
      <c r="B166" s="264"/>
      <c r="F166" s="264"/>
      <c r="G166" s="264"/>
      <c r="H166" s="264"/>
      <c r="M166" s="325"/>
      <c r="N166" s="326"/>
      <c r="O166" s="264"/>
      <c r="S166" s="293"/>
    </row>
    <row r="167">
      <c r="B167" s="264"/>
      <c r="F167" s="264"/>
      <c r="G167" s="264"/>
      <c r="H167" s="264"/>
      <c r="M167" s="325"/>
      <c r="N167" s="326"/>
      <c r="O167" s="264"/>
      <c r="S167" s="293"/>
    </row>
    <row r="168">
      <c r="B168" s="264"/>
      <c r="F168" s="264"/>
      <c r="G168" s="264"/>
      <c r="H168" s="264"/>
      <c r="M168" s="325"/>
      <c r="N168" s="326"/>
      <c r="O168" s="264"/>
      <c r="S168" s="293"/>
    </row>
    <row r="169">
      <c r="B169" s="264"/>
      <c r="F169" s="264"/>
      <c r="G169" s="264"/>
      <c r="H169" s="264"/>
      <c r="M169" s="325"/>
      <c r="N169" s="326"/>
      <c r="O169" s="264"/>
      <c r="S169" s="293"/>
    </row>
    <row r="170">
      <c r="B170" s="264"/>
      <c r="F170" s="264"/>
      <c r="G170" s="264"/>
      <c r="H170" s="264"/>
      <c r="M170" s="325"/>
      <c r="N170" s="326"/>
      <c r="O170" s="264"/>
      <c r="S170" s="293"/>
    </row>
    <row r="171">
      <c r="B171" s="264"/>
      <c r="F171" s="264"/>
      <c r="G171" s="264"/>
      <c r="H171" s="264"/>
      <c r="M171" s="325"/>
      <c r="N171" s="326"/>
      <c r="O171" s="264"/>
      <c r="S171" s="293"/>
    </row>
    <row r="172">
      <c r="B172" s="264"/>
      <c r="F172" s="264"/>
      <c r="G172" s="264"/>
      <c r="H172" s="264"/>
      <c r="M172" s="325"/>
      <c r="N172" s="326"/>
      <c r="O172" s="264"/>
      <c r="S172" s="293"/>
    </row>
    <row r="173">
      <c r="B173" s="264"/>
      <c r="F173" s="264"/>
      <c r="G173" s="264"/>
      <c r="H173" s="264"/>
      <c r="M173" s="325"/>
      <c r="N173" s="326"/>
      <c r="O173" s="264"/>
      <c r="S173" s="293"/>
    </row>
    <row r="174">
      <c r="B174" s="264"/>
      <c r="F174" s="264"/>
      <c r="G174" s="264"/>
      <c r="H174" s="264"/>
      <c r="M174" s="325"/>
      <c r="N174" s="326"/>
      <c r="O174" s="264"/>
      <c r="S174" s="293"/>
    </row>
    <row r="175">
      <c r="B175" s="264"/>
      <c r="F175" s="264"/>
      <c r="G175" s="264"/>
      <c r="H175" s="264"/>
      <c r="M175" s="325"/>
      <c r="N175" s="326"/>
      <c r="O175" s="264"/>
      <c r="S175" s="293"/>
    </row>
    <row r="176">
      <c r="B176" s="264"/>
      <c r="F176" s="264"/>
      <c r="G176" s="264"/>
      <c r="H176" s="264"/>
      <c r="M176" s="325"/>
      <c r="N176" s="326"/>
      <c r="O176" s="264"/>
      <c r="S176" s="293"/>
    </row>
    <row r="177">
      <c r="B177" s="264"/>
      <c r="F177" s="264"/>
      <c r="G177" s="264"/>
      <c r="H177" s="264"/>
      <c r="M177" s="325"/>
      <c r="N177" s="326"/>
      <c r="O177" s="264"/>
      <c r="S177" s="293"/>
    </row>
    <row r="178">
      <c r="B178" s="264"/>
      <c r="F178" s="264"/>
      <c r="G178" s="264"/>
      <c r="H178" s="264"/>
      <c r="M178" s="325"/>
      <c r="N178" s="326"/>
      <c r="O178" s="264"/>
      <c r="S178" s="293"/>
    </row>
    <row r="179">
      <c r="B179" s="264"/>
      <c r="F179" s="264"/>
      <c r="G179" s="264"/>
      <c r="H179" s="264"/>
      <c r="M179" s="325"/>
      <c r="N179" s="326"/>
      <c r="O179" s="264"/>
      <c r="S179" s="293"/>
    </row>
    <row r="180">
      <c r="B180" s="264"/>
      <c r="F180" s="264"/>
      <c r="G180" s="264"/>
      <c r="H180" s="264"/>
      <c r="M180" s="325"/>
      <c r="N180" s="326"/>
      <c r="O180" s="264"/>
      <c r="S180" s="293"/>
    </row>
    <row r="181">
      <c r="B181" s="264"/>
      <c r="F181" s="264"/>
      <c r="G181" s="264"/>
      <c r="H181" s="264"/>
      <c r="M181" s="325"/>
      <c r="N181" s="326"/>
      <c r="O181" s="264"/>
      <c r="S181" s="293"/>
    </row>
    <row r="182">
      <c r="B182" s="264"/>
      <c r="F182" s="264"/>
      <c r="G182" s="264"/>
      <c r="H182" s="264"/>
      <c r="M182" s="325"/>
      <c r="N182" s="326"/>
      <c r="O182" s="264"/>
      <c r="S182" s="293"/>
    </row>
    <row r="183">
      <c r="B183" s="264"/>
      <c r="F183" s="264"/>
      <c r="G183" s="264"/>
      <c r="H183" s="264"/>
      <c r="M183" s="325"/>
      <c r="N183" s="326"/>
      <c r="O183" s="264"/>
      <c r="S183" s="293"/>
    </row>
    <row r="184">
      <c r="B184" s="264"/>
      <c r="F184" s="264"/>
      <c r="G184" s="264"/>
      <c r="H184" s="264"/>
      <c r="M184" s="325"/>
      <c r="N184" s="326"/>
      <c r="O184" s="264"/>
      <c r="S184" s="293"/>
    </row>
    <row r="185">
      <c r="B185" s="264"/>
      <c r="F185" s="264"/>
      <c r="G185" s="264"/>
      <c r="H185" s="264"/>
      <c r="M185" s="325"/>
      <c r="N185" s="326"/>
      <c r="O185" s="264"/>
      <c r="S185" s="293"/>
    </row>
    <row r="186">
      <c r="B186" s="264"/>
      <c r="F186" s="264"/>
      <c r="G186" s="264"/>
      <c r="H186" s="264"/>
      <c r="M186" s="325"/>
      <c r="N186" s="326"/>
      <c r="O186" s="264"/>
      <c r="S186" s="293"/>
    </row>
    <row r="187">
      <c r="B187" s="264"/>
      <c r="F187" s="264"/>
      <c r="G187" s="264"/>
      <c r="H187" s="264"/>
      <c r="M187" s="325"/>
      <c r="N187" s="326"/>
      <c r="O187" s="264"/>
      <c r="S187" s="293"/>
    </row>
    <row r="188">
      <c r="B188" s="264"/>
      <c r="F188" s="264"/>
      <c r="G188" s="264"/>
      <c r="H188" s="264"/>
      <c r="M188" s="325"/>
      <c r="N188" s="326"/>
      <c r="O188" s="264"/>
      <c r="S188" s="293"/>
    </row>
    <row r="189">
      <c r="B189" s="264"/>
      <c r="F189" s="264"/>
      <c r="G189" s="264"/>
      <c r="H189" s="264"/>
      <c r="M189" s="325"/>
      <c r="N189" s="326"/>
      <c r="O189" s="264"/>
      <c r="S189" s="293"/>
    </row>
    <row r="190">
      <c r="B190" s="264"/>
      <c r="F190" s="264"/>
      <c r="G190" s="264"/>
      <c r="H190" s="264"/>
      <c r="M190" s="325"/>
      <c r="N190" s="326"/>
      <c r="O190" s="264"/>
      <c r="S190" s="293"/>
    </row>
    <row r="191">
      <c r="B191" s="264"/>
      <c r="F191" s="264"/>
      <c r="G191" s="264"/>
      <c r="H191" s="264"/>
      <c r="M191" s="325"/>
      <c r="N191" s="326"/>
      <c r="O191" s="264"/>
      <c r="S191" s="293"/>
    </row>
    <row r="192">
      <c r="B192" s="264"/>
      <c r="F192" s="264"/>
      <c r="G192" s="264"/>
      <c r="H192" s="264"/>
      <c r="M192" s="325"/>
      <c r="N192" s="326"/>
      <c r="O192" s="264"/>
      <c r="S192" s="293"/>
    </row>
    <row r="193">
      <c r="B193" s="264"/>
      <c r="F193" s="264"/>
      <c r="G193" s="264"/>
      <c r="H193" s="264"/>
      <c r="M193" s="325"/>
      <c r="N193" s="326"/>
      <c r="O193" s="264"/>
      <c r="S193" s="293"/>
    </row>
    <row r="194">
      <c r="B194" s="264"/>
      <c r="F194" s="264"/>
      <c r="G194" s="264"/>
      <c r="H194" s="264"/>
      <c r="M194" s="325"/>
      <c r="N194" s="326"/>
      <c r="O194" s="264"/>
      <c r="S194" s="293"/>
    </row>
    <row r="195">
      <c r="B195" s="264"/>
      <c r="F195" s="264"/>
      <c r="G195" s="264"/>
      <c r="H195" s="264"/>
      <c r="M195" s="325"/>
      <c r="N195" s="326"/>
      <c r="O195" s="264"/>
      <c r="S195" s="293"/>
    </row>
    <row r="196">
      <c r="B196" s="264"/>
      <c r="F196" s="264"/>
      <c r="G196" s="264"/>
      <c r="H196" s="264"/>
      <c r="M196" s="325"/>
      <c r="N196" s="326"/>
      <c r="O196" s="264"/>
      <c r="S196" s="293"/>
    </row>
    <row r="197">
      <c r="B197" s="264"/>
      <c r="F197" s="264"/>
      <c r="G197" s="264"/>
      <c r="H197" s="264"/>
      <c r="M197" s="325"/>
      <c r="N197" s="326"/>
      <c r="O197" s="264"/>
      <c r="S197" s="293"/>
    </row>
    <row r="198">
      <c r="B198" s="264"/>
      <c r="F198" s="264"/>
      <c r="G198" s="264"/>
      <c r="H198" s="264"/>
      <c r="M198" s="325"/>
      <c r="N198" s="326"/>
      <c r="O198" s="264"/>
      <c r="S198" s="293"/>
    </row>
    <row r="199">
      <c r="B199" s="264"/>
      <c r="F199" s="264"/>
      <c r="G199" s="264"/>
      <c r="H199" s="264"/>
      <c r="M199" s="325"/>
      <c r="N199" s="326"/>
      <c r="O199" s="264"/>
      <c r="S199" s="293"/>
    </row>
    <row r="200">
      <c r="B200" s="264"/>
      <c r="F200" s="264"/>
      <c r="G200" s="264"/>
      <c r="H200" s="264"/>
      <c r="M200" s="325"/>
      <c r="N200" s="326"/>
      <c r="O200" s="264"/>
      <c r="S200" s="293"/>
    </row>
    <row r="201">
      <c r="B201" s="264"/>
      <c r="F201" s="264"/>
      <c r="G201" s="264"/>
      <c r="H201" s="264"/>
      <c r="M201" s="325"/>
      <c r="N201" s="326"/>
      <c r="O201" s="264"/>
      <c r="S201" s="293"/>
    </row>
    <row r="202">
      <c r="B202" s="264"/>
      <c r="F202" s="264"/>
      <c r="G202" s="264"/>
      <c r="H202" s="264"/>
      <c r="M202" s="325"/>
      <c r="N202" s="326"/>
      <c r="O202" s="264"/>
      <c r="S202" s="293"/>
    </row>
    <row r="203">
      <c r="B203" s="264"/>
      <c r="F203" s="264"/>
      <c r="G203" s="264"/>
      <c r="H203" s="264"/>
      <c r="M203" s="325"/>
      <c r="N203" s="326"/>
      <c r="O203" s="264"/>
      <c r="S203" s="293"/>
    </row>
    <row r="204">
      <c r="B204" s="264"/>
      <c r="F204" s="264"/>
      <c r="G204" s="264"/>
      <c r="H204" s="264"/>
      <c r="M204" s="325"/>
      <c r="N204" s="326"/>
      <c r="O204" s="264"/>
      <c r="S204" s="293"/>
    </row>
    <row r="205">
      <c r="B205" s="264"/>
      <c r="F205" s="264"/>
      <c r="G205" s="264"/>
      <c r="H205" s="264"/>
      <c r="M205" s="325"/>
      <c r="N205" s="326"/>
      <c r="O205" s="264"/>
      <c r="S205" s="293"/>
    </row>
    <row r="206">
      <c r="B206" s="264"/>
      <c r="F206" s="264"/>
      <c r="G206" s="264"/>
      <c r="H206" s="264"/>
      <c r="M206" s="325"/>
      <c r="N206" s="326"/>
      <c r="O206" s="264"/>
      <c r="S206" s="293"/>
    </row>
    <row r="207">
      <c r="B207" s="264"/>
      <c r="F207" s="264"/>
      <c r="G207" s="264"/>
      <c r="H207" s="264"/>
      <c r="M207" s="325"/>
      <c r="N207" s="326"/>
      <c r="O207" s="264"/>
      <c r="S207" s="293"/>
    </row>
    <row r="208">
      <c r="B208" s="264"/>
      <c r="F208" s="264"/>
      <c r="G208" s="264"/>
      <c r="H208" s="264"/>
      <c r="M208" s="325"/>
      <c r="N208" s="326"/>
      <c r="O208" s="264"/>
      <c r="S208" s="293"/>
    </row>
    <row r="209">
      <c r="B209" s="264"/>
      <c r="F209" s="264"/>
      <c r="G209" s="264"/>
      <c r="H209" s="264"/>
      <c r="M209" s="325"/>
      <c r="N209" s="326"/>
      <c r="O209" s="264"/>
      <c r="S209" s="293"/>
    </row>
    <row r="210">
      <c r="B210" s="264"/>
      <c r="F210" s="264"/>
      <c r="G210" s="264"/>
      <c r="H210" s="264"/>
      <c r="M210" s="325"/>
      <c r="N210" s="326"/>
      <c r="O210" s="264"/>
      <c r="S210" s="293"/>
    </row>
    <row r="211">
      <c r="B211" s="264"/>
      <c r="F211" s="264"/>
      <c r="G211" s="264"/>
      <c r="H211" s="264"/>
      <c r="M211" s="325"/>
      <c r="N211" s="326"/>
      <c r="O211" s="264"/>
      <c r="S211" s="293"/>
    </row>
    <row r="212">
      <c r="B212" s="264"/>
      <c r="F212" s="264"/>
      <c r="G212" s="264"/>
      <c r="H212" s="264"/>
      <c r="M212" s="325"/>
      <c r="N212" s="326"/>
      <c r="O212" s="264"/>
      <c r="S212" s="293"/>
    </row>
    <row r="213">
      <c r="B213" s="264"/>
      <c r="F213" s="264"/>
      <c r="G213" s="264"/>
      <c r="H213" s="264"/>
      <c r="M213" s="325"/>
      <c r="N213" s="326"/>
      <c r="O213" s="264"/>
      <c r="S213" s="293"/>
    </row>
    <row r="214">
      <c r="B214" s="264"/>
      <c r="F214" s="264"/>
      <c r="G214" s="264"/>
      <c r="H214" s="264"/>
      <c r="M214" s="325"/>
      <c r="N214" s="326"/>
      <c r="O214" s="264"/>
      <c r="S214" s="293"/>
    </row>
    <row r="215">
      <c r="B215" s="264"/>
      <c r="F215" s="264"/>
      <c r="G215" s="264"/>
      <c r="H215" s="264"/>
      <c r="M215" s="325"/>
      <c r="N215" s="326"/>
      <c r="O215" s="264"/>
      <c r="S215" s="293"/>
    </row>
    <row r="216">
      <c r="B216" s="264"/>
      <c r="F216" s="264"/>
      <c r="G216" s="264"/>
      <c r="H216" s="264"/>
      <c r="M216" s="325"/>
      <c r="N216" s="326"/>
      <c r="O216" s="264"/>
      <c r="S216" s="293"/>
    </row>
    <row r="217">
      <c r="B217" s="264"/>
      <c r="F217" s="264"/>
      <c r="G217" s="264"/>
      <c r="H217" s="264"/>
      <c r="M217" s="325"/>
      <c r="N217" s="326"/>
      <c r="O217" s="264"/>
      <c r="S217" s="293"/>
    </row>
    <row r="218">
      <c r="B218" s="264"/>
      <c r="F218" s="264"/>
      <c r="G218" s="264"/>
      <c r="H218" s="264"/>
      <c r="M218" s="325"/>
      <c r="N218" s="326"/>
      <c r="O218" s="264"/>
      <c r="S218" s="293"/>
    </row>
    <row r="219">
      <c r="B219" s="264"/>
      <c r="F219" s="264"/>
      <c r="G219" s="264"/>
      <c r="H219" s="264"/>
      <c r="M219" s="325"/>
      <c r="N219" s="326"/>
      <c r="O219" s="264"/>
      <c r="S219" s="293"/>
    </row>
    <row r="220">
      <c r="B220" s="264"/>
      <c r="F220" s="264"/>
      <c r="G220" s="264"/>
      <c r="H220" s="264"/>
      <c r="M220" s="325"/>
      <c r="N220" s="326"/>
      <c r="O220" s="264"/>
      <c r="S220" s="293"/>
    </row>
    <row r="221">
      <c r="B221" s="264"/>
      <c r="F221" s="264"/>
      <c r="G221" s="264"/>
      <c r="H221" s="264"/>
      <c r="M221" s="325"/>
      <c r="N221" s="326"/>
      <c r="O221" s="264"/>
      <c r="S221" s="293"/>
    </row>
    <row r="222">
      <c r="B222" s="264"/>
      <c r="F222" s="264"/>
      <c r="G222" s="264"/>
      <c r="H222" s="264"/>
      <c r="M222" s="325"/>
      <c r="N222" s="326"/>
      <c r="O222" s="264"/>
      <c r="S222" s="293"/>
    </row>
    <row r="223">
      <c r="B223" s="264"/>
      <c r="F223" s="264"/>
      <c r="G223" s="264"/>
      <c r="H223" s="264"/>
      <c r="M223" s="325"/>
      <c r="N223" s="326"/>
      <c r="O223" s="264"/>
      <c r="S223" s="293"/>
    </row>
    <row r="224">
      <c r="B224" s="264"/>
      <c r="F224" s="264"/>
      <c r="G224" s="264"/>
      <c r="H224" s="264"/>
      <c r="M224" s="325"/>
      <c r="N224" s="326"/>
      <c r="O224" s="264"/>
      <c r="S224" s="293"/>
    </row>
    <row r="225">
      <c r="B225" s="264"/>
      <c r="F225" s="264"/>
      <c r="G225" s="264"/>
      <c r="H225" s="264"/>
      <c r="M225" s="325"/>
      <c r="N225" s="326"/>
      <c r="O225" s="264"/>
      <c r="S225" s="293"/>
    </row>
    <row r="226">
      <c r="B226" s="264"/>
      <c r="F226" s="264"/>
      <c r="G226" s="264"/>
      <c r="H226" s="264"/>
      <c r="M226" s="325"/>
      <c r="N226" s="326"/>
      <c r="O226" s="264"/>
      <c r="S226" s="293"/>
    </row>
    <row r="227">
      <c r="B227" s="264"/>
      <c r="F227" s="264"/>
      <c r="G227" s="264"/>
      <c r="H227" s="264"/>
      <c r="M227" s="325"/>
      <c r="N227" s="326"/>
      <c r="O227" s="264"/>
      <c r="S227" s="293"/>
    </row>
    <row r="228">
      <c r="B228" s="264"/>
      <c r="F228" s="264"/>
      <c r="G228" s="264"/>
      <c r="H228" s="264"/>
      <c r="M228" s="325"/>
      <c r="N228" s="326"/>
      <c r="O228" s="264"/>
      <c r="S228" s="293"/>
    </row>
    <row r="229">
      <c r="B229" s="264"/>
      <c r="F229" s="264"/>
      <c r="G229" s="264"/>
      <c r="H229" s="264"/>
      <c r="M229" s="325"/>
      <c r="N229" s="326"/>
      <c r="O229" s="264"/>
      <c r="S229" s="293"/>
    </row>
    <row r="230">
      <c r="B230" s="264"/>
      <c r="F230" s="264"/>
      <c r="G230" s="264"/>
      <c r="H230" s="264"/>
      <c r="M230" s="325"/>
      <c r="N230" s="326"/>
      <c r="O230" s="264"/>
      <c r="S230" s="293"/>
    </row>
    <row r="231">
      <c r="B231" s="264"/>
      <c r="F231" s="264"/>
      <c r="G231" s="264"/>
      <c r="H231" s="264"/>
      <c r="M231" s="325"/>
      <c r="N231" s="326"/>
      <c r="O231" s="264"/>
      <c r="S231" s="293"/>
    </row>
    <row r="232">
      <c r="B232" s="264"/>
      <c r="F232" s="264"/>
      <c r="G232" s="264"/>
      <c r="H232" s="264"/>
      <c r="M232" s="325"/>
      <c r="N232" s="326"/>
      <c r="O232" s="264"/>
      <c r="S232" s="293"/>
    </row>
    <row r="233">
      <c r="B233" s="264"/>
      <c r="F233" s="264"/>
      <c r="G233" s="264"/>
      <c r="H233" s="264"/>
      <c r="M233" s="325"/>
      <c r="N233" s="326"/>
      <c r="O233" s="264"/>
      <c r="S233" s="293"/>
    </row>
    <row r="234">
      <c r="B234" s="264"/>
      <c r="F234" s="264"/>
      <c r="G234" s="264"/>
      <c r="H234" s="264"/>
      <c r="M234" s="325"/>
      <c r="N234" s="326"/>
      <c r="O234" s="264"/>
      <c r="S234" s="293"/>
    </row>
    <row r="235">
      <c r="B235" s="264"/>
      <c r="F235" s="264"/>
      <c r="G235" s="264"/>
      <c r="H235" s="264"/>
      <c r="M235" s="325"/>
      <c r="N235" s="326"/>
      <c r="O235" s="264"/>
      <c r="S235" s="293"/>
    </row>
    <row r="236">
      <c r="B236" s="264"/>
      <c r="F236" s="264"/>
      <c r="G236" s="264"/>
      <c r="H236" s="264"/>
      <c r="M236" s="325"/>
      <c r="N236" s="326"/>
      <c r="O236" s="264"/>
      <c r="S236" s="293"/>
    </row>
    <row r="237">
      <c r="B237" s="264"/>
      <c r="F237" s="264"/>
      <c r="G237" s="264"/>
      <c r="H237" s="264"/>
      <c r="M237" s="325"/>
      <c r="N237" s="326"/>
      <c r="O237" s="264"/>
      <c r="S237" s="293"/>
    </row>
    <row r="238">
      <c r="B238" s="264"/>
      <c r="F238" s="264"/>
      <c r="G238" s="264"/>
      <c r="H238" s="264"/>
      <c r="M238" s="325"/>
      <c r="N238" s="326"/>
      <c r="O238" s="264"/>
      <c r="S238" s="293"/>
    </row>
    <row r="239">
      <c r="B239" s="264"/>
      <c r="F239" s="264"/>
      <c r="G239" s="264"/>
      <c r="H239" s="264"/>
      <c r="M239" s="325"/>
      <c r="N239" s="326"/>
      <c r="O239" s="264"/>
      <c r="S239" s="293"/>
    </row>
    <row r="240">
      <c r="B240" s="264"/>
      <c r="F240" s="264"/>
      <c r="G240" s="264"/>
      <c r="H240" s="264"/>
      <c r="M240" s="325"/>
      <c r="N240" s="326"/>
      <c r="O240" s="264"/>
      <c r="S240" s="293"/>
    </row>
    <row r="241">
      <c r="B241" s="264"/>
      <c r="F241" s="264"/>
      <c r="G241" s="264"/>
      <c r="H241" s="264"/>
      <c r="M241" s="325"/>
      <c r="N241" s="326"/>
      <c r="O241" s="264"/>
      <c r="S241" s="293"/>
    </row>
    <row r="242">
      <c r="B242" s="264"/>
      <c r="F242" s="264"/>
      <c r="G242" s="264"/>
      <c r="H242" s="264"/>
      <c r="M242" s="325"/>
      <c r="N242" s="326"/>
      <c r="O242" s="264"/>
      <c r="S242" s="293"/>
    </row>
    <row r="243">
      <c r="B243" s="264"/>
      <c r="F243" s="264"/>
      <c r="G243" s="264"/>
      <c r="H243" s="264"/>
      <c r="M243" s="325"/>
      <c r="N243" s="326"/>
      <c r="O243" s="264"/>
      <c r="S243" s="293"/>
    </row>
    <row r="244">
      <c r="B244" s="264"/>
      <c r="F244" s="264"/>
      <c r="G244" s="264"/>
      <c r="H244" s="264"/>
      <c r="M244" s="325"/>
      <c r="N244" s="326"/>
      <c r="O244" s="264"/>
      <c r="S244" s="293"/>
    </row>
    <row r="245">
      <c r="B245" s="264"/>
      <c r="F245" s="264"/>
      <c r="G245" s="264"/>
      <c r="H245" s="264"/>
      <c r="M245" s="325"/>
      <c r="N245" s="326"/>
      <c r="O245" s="264"/>
      <c r="S245" s="293"/>
    </row>
    <row r="246">
      <c r="B246" s="264"/>
      <c r="F246" s="264"/>
      <c r="G246" s="264"/>
      <c r="H246" s="264"/>
      <c r="M246" s="325"/>
      <c r="N246" s="326"/>
      <c r="O246" s="264"/>
      <c r="S246" s="293"/>
    </row>
    <row r="247">
      <c r="B247" s="264"/>
      <c r="F247" s="264"/>
      <c r="G247" s="264"/>
      <c r="H247" s="264"/>
      <c r="M247" s="325"/>
      <c r="N247" s="326"/>
      <c r="O247" s="264"/>
      <c r="S247" s="293"/>
    </row>
    <row r="248">
      <c r="B248" s="264"/>
      <c r="F248" s="264"/>
      <c r="G248" s="264"/>
      <c r="H248" s="264"/>
      <c r="M248" s="325"/>
      <c r="N248" s="326"/>
      <c r="O248" s="264"/>
      <c r="S248" s="293"/>
    </row>
    <row r="249">
      <c r="B249" s="264"/>
      <c r="F249" s="264"/>
      <c r="G249" s="264"/>
      <c r="H249" s="264"/>
      <c r="M249" s="325"/>
      <c r="N249" s="326"/>
      <c r="O249" s="264"/>
      <c r="S249" s="293"/>
    </row>
    <row r="250">
      <c r="B250" s="264"/>
      <c r="F250" s="264"/>
      <c r="G250" s="264"/>
      <c r="H250" s="264"/>
      <c r="M250" s="325"/>
      <c r="N250" s="326"/>
      <c r="O250" s="264"/>
      <c r="S250" s="293"/>
    </row>
    <row r="251">
      <c r="B251" s="264"/>
      <c r="F251" s="264"/>
      <c r="G251" s="264"/>
      <c r="H251" s="264"/>
      <c r="M251" s="325"/>
      <c r="N251" s="326"/>
      <c r="O251" s="264"/>
      <c r="S251" s="293"/>
    </row>
    <row r="252">
      <c r="B252" s="264"/>
      <c r="F252" s="264"/>
      <c r="G252" s="264"/>
      <c r="H252" s="264"/>
      <c r="M252" s="325"/>
      <c r="N252" s="326"/>
      <c r="O252" s="264"/>
      <c r="S252" s="293"/>
    </row>
    <row r="253">
      <c r="B253" s="264"/>
      <c r="F253" s="264"/>
      <c r="G253" s="264"/>
      <c r="H253" s="264"/>
      <c r="M253" s="325"/>
      <c r="N253" s="326"/>
      <c r="O253" s="264"/>
      <c r="S253" s="293"/>
    </row>
    <row r="254">
      <c r="B254" s="264"/>
      <c r="F254" s="264"/>
      <c r="G254" s="264"/>
      <c r="H254" s="264"/>
      <c r="M254" s="325"/>
      <c r="N254" s="326"/>
      <c r="O254" s="264"/>
      <c r="S254" s="293"/>
    </row>
    <row r="255">
      <c r="B255" s="264"/>
      <c r="F255" s="264"/>
      <c r="G255" s="264"/>
      <c r="H255" s="264"/>
      <c r="M255" s="325"/>
      <c r="N255" s="326"/>
      <c r="O255" s="264"/>
      <c r="S255" s="293"/>
    </row>
    <row r="256">
      <c r="B256" s="264"/>
      <c r="F256" s="264"/>
      <c r="G256" s="264"/>
      <c r="H256" s="264"/>
      <c r="M256" s="325"/>
      <c r="N256" s="326"/>
      <c r="O256" s="264"/>
      <c r="S256" s="293"/>
    </row>
    <row r="257">
      <c r="B257" s="264"/>
      <c r="F257" s="264"/>
      <c r="G257" s="264"/>
      <c r="H257" s="264"/>
      <c r="M257" s="325"/>
      <c r="N257" s="326"/>
      <c r="O257" s="264"/>
      <c r="S257" s="293"/>
    </row>
    <row r="258">
      <c r="B258" s="264"/>
      <c r="F258" s="264"/>
      <c r="G258" s="264"/>
      <c r="H258" s="264"/>
      <c r="M258" s="325"/>
      <c r="N258" s="326"/>
      <c r="O258" s="264"/>
      <c r="S258" s="293"/>
    </row>
    <row r="259">
      <c r="B259" s="264"/>
      <c r="F259" s="264"/>
      <c r="G259" s="264"/>
      <c r="H259" s="264"/>
      <c r="M259" s="325"/>
      <c r="N259" s="326"/>
      <c r="O259" s="264"/>
      <c r="S259" s="293"/>
    </row>
    <row r="260">
      <c r="B260" s="264"/>
      <c r="F260" s="264"/>
      <c r="G260" s="264"/>
      <c r="H260" s="264"/>
      <c r="M260" s="325"/>
      <c r="N260" s="326"/>
      <c r="O260" s="264"/>
      <c r="S260" s="293"/>
    </row>
    <row r="261">
      <c r="B261" s="264"/>
      <c r="F261" s="264"/>
      <c r="G261" s="264"/>
      <c r="H261" s="264"/>
      <c r="M261" s="325"/>
      <c r="N261" s="326"/>
      <c r="O261" s="264"/>
      <c r="S261" s="293"/>
    </row>
    <row r="262">
      <c r="B262" s="264"/>
      <c r="F262" s="264"/>
      <c r="G262" s="264"/>
      <c r="H262" s="264"/>
      <c r="M262" s="325"/>
      <c r="N262" s="326"/>
      <c r="O262" s="264"/>
      <c r="S262" s="293"/>
    </row>
    <row r="263">
      <c r="B263" s="264"/>
      <c r="F263" s="264"/>
      <c r="G263" s="264"/>
      <c r="H263" s="264"/>
      <c r="M263" s="325"/>
      <c r="N263" s="326"/>
      <c r="O263" s="264"/>
      <c r="S263" s="293"/>
    </row>
    <row r="264">
      <c r="B264" s="264"/>
      <c r="F264" s="264"/>
      <c r="G264" s="264"/>
      <c r="H264" s="264"/>
      <c r="M264" s="325"/>
      <c r="N264" s="326"/>
      <c r="O264" s="264"/>
      <c r="S264" s="293"/>
    </row>
    <row r="265">
      <c r="B265" s="264"/>
      <c r="F265" s="264"/>
      <c r="G265" s="264"/>
      <c r="H265" s="264"/>
      <c r="M265" s="325"/>
      <c r="N265" s="326"/>
      <c r="O265" s="264"/>
      <c r="S265" s="293"/>
    </row>
    <row r="266">
      <c r="B266" s="264"/>
      <c r="F266" s="264"/>
      <c r="G266" s="264"/>
      <c r="H266" s="264"/>
      <c r="M266" s="325"/>
      <c r="N266" s="326"/>
      <c r="O266" s="264"/>
      <c r="S266" s="293"/>
    </row>
    <row r="267">
      <c r="B267" s="264"/>
      <c r="F267" s="264"/>
      <c r="G267" s="264"/>
      <c r="H267" s="264"/>
      <c r="M267" s="325"/>
      <c r="N267" s="326"/>
      <c r="O267" s="264"/>
      <c r="S267" s="293"/>
    </row>
    <row r="268">
      <c r="B268" s="264"/>
      <c r="F268" s="264"/>
      <c r="G268" s="264"/>
      <c r="H268" s="264"/>
      <c r="M268" s="325"/>
      <c r="N268" s="326"/>
      <c r="O268" s="264"/>
      <c r="S268" s="293"/>
    </row>
    <row r="269">
      <c r="B269" s="264"/>
      <c r="F269" s="264"/>
      <c r="G269" s="264"/>
      <c r="H269" s="264"/>
      <c r="M269" s="325"/>
      <c r="N269" s="326"/>
      <c r="O269" s="264"/>
      <c r="S269" s="293"/>
    </row>
    <row r="270">
      <c r="B270" s="264"/>
      <c r="F270" s="264"/>
      <c r="G270" s="264"/>
      <c r="H270" s="264"/>
      <c r="M270" s="325"/>
      <c r="N270" s="326"/>
      <c r="O270" s="264"/>
      <c r="S270" s="293"/>
    </row>
    <row r="271">
      <c r="B271" s="264"/>
      <c r="F271" s="264"/>
      <c r="G271" s="264"/>
      <c r="H271" s="264"/>
      <c r="M271" s="325"/>
      <c r="N271" s="326"/>
      <c r="O271" s="264"/>
      <c r="S271" s="293"/>
    </row>
    <row r="272">
      <c r="B272" s="264"/>
      <c r="F272" s="264"/>
      <c r="G272" s="264"/>
      <c r="H272" s="264"/>
      <c r="M272" s="325"/>
      <c r="N272" s="326"/>
      <c r="O272" s="264"/>
      <c r="S272" s="293"/>
    </row>
    <row r="273">
      <c r="B273" s="264"/>
      <c r="F273" s="264"/>
      <c r="G273" s="264"/>
      <c r="H273" s="264"/>
      <c r="M273" s="325"/>
      <c r="N273" s="326"/>
      <c r="O273" s="264"/>
      <c r="S273" s="293"/>
    </row>
    <row r="274">
      <c r="B274" s="264"/>
      <c r="F274" s="264"/>
      <c r="G274" s="264"/>
      <c r="H274" s="264"/>
      <c r="M274" s="325"/>
      <c r="N274" s="326"/>
      <c r="O274" s="264"/>
      <c r="S274" s="293"/>
    </row>
    <row r="275">
      <c r="B275" s="264"/>
      <c r="F275" s="264"/>
      <c r="G275" s="264"/>
      <c r="H275" s="264"/>
      <c r="M275" s="325"/>
      <c r="N275" s="326"/>
      <c r="O275" s="264"/>
      <c r="S275" s="293"/>
    </row>
    <row r="276">
      <c r="B276" s="264"/>
      <c r="F276" s="264"/>
      <c r="G276" s="264"/>
      <c r="H276" s="264"/>
      <c r="M276" s="325"/>
      <c r="N276" s="326"/>
      <c r="O276" s="264"/>
      <c r="S276" s="293"/>
    </row>
    <row r="277">
      <c r="B277" s="264"/>
      <c r="F277" s="264"/>
      <c r="G277" s="264"/>
      <c r="H277" s="264"/>
      <c r="M277" s="325"/>
      <c r="N277" s="326"/>
      <c r="O277" s="264"/>
      <c r="S277" s="293"/>
    </row>
    <row r="278">
      <c r="B278" s="264"/>
      <c r="F278" s="264"/>
      <c r="G278" s="264"/>
      <c r="H278" s="264"/>
      <c r="M278" s="325"/>
      <c r="N278" s="326"/>
      <c r="O278" s="264"/>
      <c r="S278" s="293"/>
    </row>
    <row r="279">
      <c r="B279" s="264"/>
      <c r="F279" s="264"/>
      <c r="G279" s="264"/>
      <c r="H279" s="264"/>
      <c r="M279" s="325"/>
      <c r="N279" s="326"/>
      <c r="O279" s="264"/>
      <c r="S279" s="293"/>
    </row>
    <row r="280">
      <c r="B280" s="264"/>
      <c r="F280" s="264"/>
      <c r="G280" s="264"/>
      <c r="H280" s="264"/>
      <c r="M280" s="325"/>
      <c r="N280" s="326"/>
      <c r="O280" s="264"/>
      <c r="S280" s="293"/>
    </row>
    <row r="281">
      <c r="B281" s="264"/>
      <c r="F281" s="264"/>
      <c r="G281" s="264"/>
      <c r="H281" s="264"/>
      <c r="M281" s="325"/>
      <c r="N281" s="326"/>
      <c r="O281" s="264"/>
      <c r="S281" s="293"/>
    </row>
    <row r="282">
      <c r="B282" s="264"/>
      <c r="F282" s="264"/>
      <c r="G282" s="264"/>
      <c r="H282" s="264"/>
      <c r="M282" s="325"/>
      <c r="N282" s="326"/>
      <c r="O282" s="264"/>
      <c r="S282" s="293"/>
    </row>
    <row r="283">
      <c r="B283" s="264"/>
      <c r="F283" s="264"/>
      <c r="G283" s="264"/>
      <c r="H283" s="264"/>
      <c r="M283" s="325"/>
      <c r="N283" s="326"/>
      <c r="O283" s="264"/>
      <c r="S283" s="293"/>
    </row>
    <row r="284">
      <c r="B284" s="264"/>
      <c r="F284" s="264"/>
      <c r="G284" s="264"/>
      <c r="H284" s="264"/>
      <c r="M284" s="325"/>
      <c r="N284" s="326"/>
      <c r="O284" s="264"/>
      <c r="S284" s="293"/>
    </row>
    <row r="285">
      <c r="B285" s="264"/>
      <c r="F285" s="264"/>
      <c r="G285" s="264"/>
      <c r="H285" s="264"/>
      <c r="M285" s="325"/>
      <c r="N285" s="326"/>
      <c r="O285" s="264"/>
      <c r="S285" s="293"/>
    </row>
    <row r="286">
      <c r="B286" s="264"/>
      <c r="F286" s="264"/>
      <c r="G286" s="264"/>
      <c r="H286" s="264"/>
      <c r="M286" s="325"/>
      <c r="N286" s="326"/>
      <c r="O286" s="264"/>
      <c r="S286" s="293"/>
    </row>
    <row r="287">
      <c r="B287" s="264"/>
      <c r="F287" s="264"/>
      <c r="G287" s="264"/>
      <c r="H287" s="264"/>
      <c r="M287" s="325"/>
      <c r="N287" s="326"/>
      <c r="O287" s="264"/>
      <c r="S287" s="293"/>
    </row>
    <row r="288">
      <c r="B288" s="264"/>
      <c r="F288" s="264"/>
      <c r="G288" s="264"/>
      <c r="H288" s="264"/>
      <c r="M288" s="325"/>
      <c r="N288" s="326"/>
      <c r="O288" s="264"/>
      <c r="S288" s="293"/>
    </row>
    <row r="289">
      <c r="B289" s="264"/>
      <c r="F289" s="264"/>
      <c r="G289" s="264"/>
      <c r="H289" s="264"/>
      <c r="M289" s="325"/>
      <c r="N289" s="326"/>
      <c r="O289" s="264"/>
      <c r="S289" s="293"/>
    </row>
    <row r="290">
      <c r="B290" s="264"/>
      <c r="F290" s="264"/>
      <c r="G290" s="264"/>
      <c r="H290" s="264"/>
      <c r="M290" s="325"/>
      <c r="N290" s="326"/>
      <c r="O290" s="264"/>
      <c r="S290" s="293"/>
    </row>
    <row r="291">
      <c r="B291" s="264"/>
      <c r="F291" s="264"/>
      <c r="G291" s="264"/>
      <c r="H291" s="264"/>
      <c r="M291" s="325"/>
      <c r="N291" s="326"/>
      <c r="O291" s="264"/>
      <c r="S291" s="293"/>
    </row>
    <row r="292">
      <c r="B292" s="264"/>
      <c r="F292" s="264"/>
      <c r="G292" s="264"/>
      <c r="H292" s="264"/>
      <c r="M292" s="325"/>
      <c r="N292" s="326"/>
      <c r="O292" s="264"/>
      <c r="S292" s="293"/>
    </row>
    <row r="293">
      <c r="B293" s="264"/>
      <c r="F293" s="264"/>
      <c r="G293" s="264"/>
      <c r="H293" s="264"/>
      <c r="M293" s="325"/>
      <c r="N293" s="326"/>
      <c r="O293" s="264"/>
      <c r="S293" s="293"/>
    </row>
    <row r="294">
      <c r="B294" s="264"/>
      <c r="F294" s="264"/>
      <c r="G294" s="264"/>
      <c r="H294" s="264"/>
      <c r="M294" s="325"/>
      <c r="N294" s="326"/>
      <c r="O294" s="264"/>
      <c r="S294" s="293"/>
    </row>
    <row r="295">
      <c r="B295" s="264"/>
      <c r="F295" s="264"/>
      <c r="G295" s="264"/>
      <c r="H295" s="264"/>
      <c r="M295" s="325"/>
      <c r="N295" s="326"/>
      <c r="O295" s="264"/>
      <c r="S295" s="293"/>
    </row>
    <row r="296">
      <c r="B296" s="264"/>
      <c r="F296" s="264"/>
      <c r="G296" s="264"/>
      <c r="H296" s="264"/>
      <c r="M296" s="325"/>
      <c r="N296" s="326"/>
      <c r="O296" s="264"/>
      <c r="S296" s="293"/>
    </row>
    <row r="297">
      <c r="B297" s="264"/>
      <c r="F297" s="264"/>
      <c r="G297" s="264"/>
      <c r="H297" s="264"/>
      <c r="M297" s="325"/>
      <c r="N297" s="326"/>
      <c r="O297" s="264"/>
      <c r="S297" s="293"/>
    </row>
    <row r="298">
      <c r="B298" s="264"/>
      <c r="F298" s="264"/>
      <c r="G298" s="264"/>
      <c r="H298" s="264"/>
      <c r="M298" s="325"/>
      <c r="N298" s="326"/>
      <c r="O298" s="264"/>
      <c r="S298" s="293"/>
    </row>
    <row r="299">
      <c r="B299" s="264"/>
      <c r="F299" s="264"/>
      <c r="G299" s="264"/>
      <c r="H299" s="264"/>
      <c r="M299" s="325"/>
      <c r="N299" s="326"/>
      <c r="O299" s="264"/>
      <c r="S299" s="293"/>
    </row>
    <row r="300">
      <c r="B300" s="264"/>
      <c r="F300" s="264"/>
      <c r="G300" s="264"/>
      <c r="H300" s="264"/>
      <c r="M300" s="325"/>
      <c r="N300" s="326"/>
      <c r="O300" s="264"/>
      <c r="S300" s="293"/>
    </row>
    <row r="301">
      <c r="B301" s="264"/>
      <c r="F301" s="264"/>
      <c r="G301" s="264"/>
      <c r="H301" s="264"/>
      <c r="M301" s="325"/>
      <c r="N301" s="326"/>
      <c r="O301" s="264"/>
      <c r="S301" s="293"/>
    </row>
    <row r="302">
      <c r="B302" s="264"/>
      <c r="F302" s="264"/>
      <c r="G302" s="264"/>
      <c r="H302" s="264"/>
      <c r="M302" s="325"/>
      <c r="N302" s="326"/>
      <c r="O302" s="264"/>
      <c r="S302" s="293"/>
    </row>
    <row r="303">
      <c r="B303" s="264"/>
      <c r="F303" s="264"/>
      <c r="G303" s="264"/>
      <c r="H303" s="264"/>
      <c r="M303" s="325"/>
      <c r="N303" s="326"/>
      <c r="O303" s="264"/>
      <c r="S303" s="293"/>
    </row>
    <row r="304">
      <c r="B304" s="264"/>
      <c r="F304" s="264"/>
      <c r="G304" s="264"/>
      <c r="H304" s="264"/>
      <c r="M304" s="325"/>
      <c r="N304" s="326"/>
      <c r="O304" s="264"/>
      <c r="S304" s="293"/>
    </row>
    <row r="305">
      <c r="B305" s="264"/>
      <c r="F305" s="264"/>
      <c r="G305" s="264"/>
      <c r="H305" s="264"/>
      <c r="M305" s="325"/>
      <c r="N305" s="326"/>
      <c r="O305" s="264"/>
      <c r="S305" s="293"/>
    </row>
    <row r="306">
      <c r="B306" s="264"/>
      <c r="F306" s="264"/>
      <c r="G306" s="264"/>
      <c r="H306" s="264"/>
      <c r="M306" s="325"/>
      <c r="N306" s="326"/>
      <c r="O306" s="264"/>
      <c r="S306" s="293"/>
    </row>
    <row r="307">
      <c r="B307" s="264"/>
      <c r="F307" s="264"/>
      <c r="G307" s="264"/>
      <c r="H307" s="264"/>
      <c r="M307" s="325"/>
      <c r="N307" s="326"/>
      <c r="O307" s="264"/>
      <c r="S307" s="293"/>
    </row>
    <row r="308">
      <c r="B308" s="264"/>
      <c r="F308" s="264"/>
      <c r="G308" s="264"/>
      <c r="H308" s="264"/>
      <c r="M308" s="325"/>
      <c r="N308" s="326"/>
      <c r="O308" s="264"/>
      <c r="S308" s="293"/>
    </row>
    <row r="309">
      <c r="B309" s="264"/>
      <c r="F309" s="264"/>
      <c r="G309" s="264"/>
      <c r="H309" s="264"/>
      <c r="M309" s="325"/>
      <c r="N309" s="326"/>
      <c r="O309" s="264"/>
      <c r="S309" s="293"/>
    </row>
    <row r="310">
      <c r="B310" s="264"/>
      <c r="F310" s="264"/>
      <c r="G310" s="264"/>
      <c r="H310" s="264"/>
      <c r="M310" s="325"/>
      <c r="N310" s="326"/>
      <c r="O310" s="264"/>
      <c r="S310" s="293"/>
    </row>
    <row r="311">
      <c r="B311" s="264"/>
      <c r="F311" s="264"/>
      <c r="G311" s="264"/>
      <c r="H311" s="264"/>
      <c r="M311" s="325"/>
      <c r="N311" s="326"/>
      <c r="O311" s="264"/>
      <c r="S311" s="293"/>
    </row>
    <row r="312">
      <c r="B312" s="264"/>
      <c r="F312" s="264"/>
      <c r="G312" s="264"/>
      <c r="H312" s="264"/>
      <c r="M312" s="325"/>
      <c r="N312" s="326"/>
      <c r="O312" s="264"/>
      <c r="S312" s="293"/>
    </row>
    <row r="313">
      <c r="B313" s="264"/>
      <c r="F313" s="264"/>
      <c r="G313" s="264"/>
      <c r="H313" s="264"/>
      <c r="M313" s="325"/>
      <c r="N313" s="326"/>
      <c r="O313" s="264"/>
      <c r="S313" s="293"/>
    </row>
    <row r="314">
      <c r="B314" s="264"/>
      <c r="F314" s="264"/>
      <c r="G314" s="264"/>
      <c r="H314" s="264"/>
      <c r="M314" s="325"/>
      <c r="N314" s="326"/>
      <c r="O314" s="264"/>
      <c r="S314" s="293"/>
    </row>
    <row r="315">
      <c r="B315" s="264"/>
      <c r="F315" s="264"/>
      <c r="G315" s="264"/>
      <c r="H315" s="264"/>
      <c r="M315" s="325"/>
      <c r="N315" s="326"/>
      <c r="O315" s="264"/>
      <c r="S315" s="293"/>
    </row>
    <row r="316">
      <c r="B316" s="264"/>
      <c r="F316" s="264"/>
      <c r="G316" s="264"/>
      <c r="H316" s="264"/>
      <c r="M316" s="325"/>
      <c r="N316" s="326"/>
      <c r="O316" s="264"/>
      <c r="S316" s="293"/>
    </row>
    <row r="317">
      <c r="B317" s="264"/>
      <c r="F317" s="264"/>
      <c r="G317" s="264"/>
      <c r="H317" s="264"/>
      <c r="M317" s="325"/>
      <c r="N317" s="326"/>
      <c r="O317" s="264"/>
      <c r="S317" s="293"/>
    </row>
    <row r="318">
      <c r="B318" s="264"/>
      <c r="F318" s="264"/>
      <c r="G318" s="264"/>
      <c r="H318" s="264"/>
      <c r="M318" s="325"/>
      <c r="N318" s="326"/>
      <c r="O318" s="264"/>
      <c r="S318" s="293"/>
    </row>
    <row r="319">
      <c r="B319" s="264"/>
      <c r="F319" s="264"/>
      <c r="G319" s="264"/>
      <c r="H319" s="264"/>
      <c r="M319" s="325"/>
      <c r="N319" s="326"/>
      <c r="O319" s="264"/>
      <c r="S319" s="293"/>
    </row>
    <row r="320">
      <c r="B320" s="264"/>
      <c r="F320" s="264"/>
      <c r="G320" s="264"/>
      <c r="H320" s="264"/>
      <c r="M320" s="325"/>
      <c r="N320" s="326"/>
      <c r="O320" s="264"/>
      <c r="S320" s="293"/>
    </row>
    <row r="321">
      <c r="B321" s="264"/>
      <c r="F321" s="264"/>
      <c r="G321" s="264"/>
      <c r="H321" s="264"/>
      <c r="M321" s="325"/>
      <c r="N321" s="326"/>
      <c r="O321" s="264"/>
      <c r="S321" s="293"/>
    </row>
    <row r="322">
      <c r="B322" s="264"/>
      <c r="F322" s="264"/>
      <c r="G322" s="264"/>
      <c r="H322" s="264"/>
      <c r="M322" s="325"/>
      <c r="N322" s="326"/>
      <c r="O322" s="264"/>
      <c r="S322" s="293"/>
    </row>
    <row r="323">
      <c r="B323" s="264"/>
      <c r="F323" s="264"/>
      <c r="G323" s="264"/>
      <c r="H323" s="264"/>
      <c r="M323" s="325"/>
      <c r="N323" s="326"/>
      <c r="O323" s="264"/>
      <c r="S323" s="293"/>
    </row>
    <row r="324">
      <c r="B324" s="264"/>
      <c r="F324" s="264"/>
      <c r="G324" s="264"/>
      <c r="H324" s="264"/>
      <c r="M324" s="325"/>
      <c r="N324" s="326"/>
      <c r="O324" s="264"/>
      <c r="S324" s="293"/>
    </row>
    <row r="325">
      <c r="B325" s="264"/>
      <c r="F325" s="264"/>
      <c r="G325" s="264"/>
      <c r="H325" s="264"/>
      <c r="M325" s="325"/>
      <c r="N325" s="326"/>
      <c r="O325" s="264"/>
      <c r="S325" s="293"/>
    </row>
    <row r="326">
      <c r="B326" s="264"/>
      <c r="F326" s="264"/>
      <c r="G326" s="264"/>
      <c r="H326" s="264"/>
      <c r="M326" s="325"/>
      <c r="N326" s="326"/>
      <c r="O326" s="264"/>
      <c r="S326" s="293"/>
    </row>
    <row r="327">
      <c r="B327" s="264"/>
      <c r="F327" s="264"/>
      <c r="G327" s="264"/>
      <c r="H327" s="264"/>
      <c r="M327" s="325"/>
      <c r="N327" s="326"/>
      <c r="O327" s="264"/>
      <c r="S327" s="293"/>
    </row>
    <row r="328">
      <c r="B328" s="264"/>
      <c r="F328" s="264"/>
      <c r="G328" s="264"/>
      <c r="H328" s="264"/>
      <c r="M328" s="325"/>
      <c r="N328" s="326"/>
      <c r="O328" s="264"/>
      <c r="S328" s="293"/>
    </row>
    <row r="329">
      <c r="B329" s="264"/>
      <c r="F329" s="264"/>
      <c r="G329" s="264"/>
      <c r="H329" s="264"/>
      <c r="M329" s="325"/>
      <c r="N329" s="326"/>
      <c r="O329" s="264"/>
      <c r="S329" s="293"/>
    </row>
    <row r="330">
      <c r="B330" s="264"/>
      <c r="F330" s="264"/>
      <c r="G330" s="264"/>
      <c r="H330" s="264"/>
      <c r="M330" s="325"/>
      <c r="N330" s="326"/>
      <c r="O330" s="264"/>
      <c r="S330" s="293"/>
    </row>
    <row r="331">
      <c r="B331" s="264"/>
      <c r="F331" s="264"/>
      <c r="G331" s="264"/>
      <c r="H331" s="264"/>
      <c r="M331" s="325"/>
      <c r="N331" s="326"/>
      <c r="O331" s="264"/>
      <c r="S331" s="293"/>
    </row>
    <row r="332">
      <c r="B332" s="264"/>
      <c r="F332" s="264"/>
      <c r="G332" s="264"/>
      <c r="H332" s="264"/>
      <c r="M332" s="325"/>
      <c r="N332" s="326"/>
      <c r="O332" s="264"/>
      <c r="S332" s="293"/>
    </row>
    <row r="333">
      <c r="B333" s="264"/>
      <c r="F333" s="264"/>
      <c r="G333" s="264"/>
      <c r="H333" s="264"/>
      <c r="M333" s="325"/>
      <c r="N333" s="326"/>
      <c r="O333" s="264"/>
      <c r="S333" s="293"/>
    </row>
    <row r="334">
      <c r="B334" s="264"/>
      <c r="F334" s="264"/>
      <c r="G334" s="264"/>
      <c r="H334" s="264"/>
      <c r="M334" s="325"/>
      <c r="N334" s="326"/>
      <c r="O334" s="264"/>
      <c r="S334" s="293"/>
    </row>
    <row r="335">
      <c r="B335" s="264"/>
      <c r="F335" s="264"/>
      <c r="G335" s="264"/>
      <c r="H335" s="264"/>
      <c r="M335" s="325"/>
      <c r="N335" s="326"/>
      <c r="O335" s="264"/>
      <c r="S335" s="293"/>
    </row>
    <row r="336">
      <c r="B336" s="264"/>
      <c r="F336" s="264"/>
      <c r="G336" s="264"/>
      <c r="H336" s="264"/>
      <c r="M336" s="325"/>
      <c r="N336" s="326"/>
      <c r="O336" s="264"/>
      <c r="S336" s="293"/>
    </row>
    <row r="337">
      <c r="B337" s="264"/>
      <c r="F337" s="264"/>
      <c r="G337" s="264"/>
      <c r="H337" s="264"/>
      <c r="M337" s="325"/>
      <c r="N337" s="326"/>
      <c r="O337" s="264"/>
      <c r="S337" s="293"/>
    </row>
    <row r="338">
      <c r="B338" s="264"/>
      <c r="F338" s="264"/>
      <c r="G338" s="264"/>
      <c r="H338" s="264"/>
      <c r="M338" s="325"/>
      <c r="N338" s="326"/>
      <c r="O338" s="264"/>
      <c r="S338" s="293"/>
    </row>
    <row r="339">
      <c r="B339" s="264"/>
      <c r="F339" s="264"/>
      <c r="G339" s="264"/>
      <c r="H339" s="264"/>
      <c r="M339" s="325"/>
      <c r="N339" s="326"/>
      <c r="O339" s="264"/>
      <c r="S339" s="293"/>
    </row>
    <row r="340">
      <c r="B340" s="264"/>
      <c r="F340" s="264"/>
      <c r="G340" s="264"/>
      <c r="H340" s="264"/>
      <c r="M340" s="325"/>
      <c r="N340" s="326"/>
      <c r="O340" s="264"/>
      <c r="S340" s="293"/>
    </row>
    <row r="341">
      <c r="B341" s="264"/>
      <c r="F341" s="264"/>
      <c r="G341" s="264"/>
      <c r="H341" s="264"/>
      <c r="M341" s="325"/>
      <c r="N341" s="326"/>
      <c r="O341" s="264"/>
      <c r="S341" s="293"/>
    </row>
    <row r="342">
      <c r="B342" s="264"/>
      <c r="F342" s="264"/>
      <c r="G342" s="264"/>
      <c r="H342" s="264"/>
      <c r="M342" s="325"/>
      <c r="N342" s="326"/>
      <c r="O342" s="264"/>
      <c r="S342" s="293"/>
    </row>
    <row r="343">
      <c r="B343" s="264"/>
      <c r="F343" s="264"/>
      <c r="G343" s="264"/>
      <c r="H343" s="264"/>
      <c r="M343" s="325"/>
      <c r="N343" s="326"/>
      <c r="O343" s="264"/>
      <c r="S343" s="293"/>
    </row>
    <row r="344">
      <c r="B344" s="264"/>
      <c r="F344" s="264"/>
      <c r="G344" s="264"/>
      <c r="H344" s="264"/>
      <c r="M344" s="325"/>
      <c r="N344" s="326"/>
      <c r="O344" s="264"/>
      <c r="S344" s="293"/>
    </row>
    <row r="345">
      <c r="B345" s="264"/>
      <c r="F345" s="264"/>
      <c r="G345" s="264"/>
      <c r="H345" s="264"/>
      <c r="M345" s="325"/>
      <c r="N345" s="326"/>
      <c r="O345" s="264"/>
      <c r="S345" s="293"/>
    </row>
    <row r="346">
      <c r="B346" s="264"/>
      <c r="F346" s="264"/>
      <c r="G346" s="264"/>
      <c r="H346" s="264"/>
      <c r="M346" s="325"/>
      <c r="N346" s="326"/>
      <c r="O346" s="264"/>
      <c r="S346" s="293"/>
    </row>
    <row r="347">
      <c r="B347" s="264"/>
      <c r="F347" s="264"/>
      <c r="G347" s="264"/>
      <c r="H347" s="264"/>
      <c r="M347" s="325"/>
      <c r="N347" s="326"/>
      <c r="O347" s="264"/>
      <c r="S347" s="293"/>
    </row>
    <row r="348">
      <c r="B348" s="264"/>
      <c r="F348" s="264"/>
      <c r="G348" s="264"/>
      <c r="H348" s="264"/>
      <c r="M348" s="325"/>
      <c r="N348" s="326"/>
      <c r="O348" s="264"/>
      <c r="S348" s="293"/>
    </row>
    <row r="349">
      <c r="B349" s="264"/>
      <c r="F349" s="264"/>
      <c r="G349" s="264"/>
      <c r="H349" s="264"/>
      <c r="M349" s="325"/>
      <c r="N349" s="326"/>
      <c r="O349" s="264"/>
      <c r="S349" s="293"/>
    </row>
    <row r="350">
      <c r="B350" s="264"/>
      <c r="F350" s="264"/>
      <c r="G350" s="264"/>
      <c r="H350" s="264"/>
      <c r="M350" s="325"/>
      <c r="N350" s="326"/>
      <c r="O350" s="264"/>
      <c r="S350" s="293"/>
    </row>
    <row r="351">
      <c r="B351" s="264"/>
      <c r="F351" s="264"/>
      <c r="G351" s="264"/>
      <c r="H351" s="264"/>
      <c r="M351" s="325"/>
      <c r="N351" s="326"/>
      <c r="O351" s="264"/>
      <c r="S351" s="293"/>
    </row>
    <row r="352">
      <c r="B352" s="264"/>
      <c r="F352" s="264"/>
      <c r="G352" s="264"/>
      <c r="H352" s="264"/>
      <c r="M352" s="325"/>
      <c r="N352" s="326"/>
      <c r="O352" s="264"/>
      <c r="S352" s="293"/>
    </row>
    <row r="353">
      <c r="B353" s="264"/>
      <c r="F353" s="264"/>
      <c r="G353" s="264"/>
      <c r="H353" s="264"/>
      <c r="M353" s="325"/>
      <c r="N353" s="326"/>
      <c r="O353" s="264"/>
      <c r="S353" s="293"/>
    </row>
    <row r="354">
      <c r="B354" s="264"/>
      <c r="F354" s="264"/>
      <c r="G354" s="264"/>
      <c r="H354" s="264"/>
      <c r="M354" s="325"/>
      <c r="N354" s="326"/>
      <c r="O354" s="264"/>
      <c r="S354" s="293"/>
    </row>
    <row r="355">
      <c r="B355" s="264"/>
      <c r="F355" s="264"/>
      <c r="G355" s="264"/>
      <c r="H355" s="264"/>
      <c r="M355" s="325"/>
      <c r="N355" s="326"/>
      <c r="O355" s="264"/>
      <c r="S355" s="293"/>
    </row>
    <row r="356">
      <c r="B356" s="264"/>
      <c r="F356" s="264"/>
      <c r="G356" s="264"/>
      <c r="H356" s="264"/>
      <c r="M356" s="325"/>
      <c r="N356" s="326"/>
      <c r="O356" s="264"/>
      <c r="S356" s="293"/>
    </row>
    <row r="357">
      <c r="B357" s="264"/>
      <c r="F357" s="264"/>
      <c r="G357" s="264"/>
      <c r="H357" s="264"/>
      <c r="M357" s="325"/>
      <c r="N357" s="326"/>
      <c r="O357" s="264"/>
      <c r="S357" s="293"/>
    </row>
    <row r="358">
      <c r="B358" s="264"/>
      <c r="F358" s="264"/>
      <c r="G358" s="264"/>
      <c r="H358" s="264"/>
      <c r="M358" s="325"/>
      <c r="N358" s="326"/>
      <c r="O358" s="264"/>
      <c r="S358" s="293"/>
    </row>
    <row r="359">
      <c r="B359" s="264"/>
      <c r="F359" s="264"/>
      <c r="G359" s="264"/>
      <c r="H359" s="264"/>
      <c r="M359" s="325"/>
      <c r="N359" s="326"/>
      <c r="O359" s="264"/>
      <c r="S359" s="293"/>
    </row>
    <row r="360">
      <c r="B360" s="264"/>
      <c r="F360" s="264"/>
      <c r="G360" s="264"/>
      <c r="H360" s="264"/>
      <c r="M360" s="325"/>
      <c r="N360" s="326"/>
      <c r="O360" s="264"/>
      <c r="S360" s="293"/>
    </row>
    <row r="361">
      <c r="B361" s="264"/>
      <c r="F361" s="264"/>
      <c r="G361" s="264"/>
      <c r="H361" s="264"/>
      <c r="M361" s="325"/>
      <c r="N361" s="326"/>
      <c r="O361" s="264"/>
      <c r="S361" s="293"/>
    </row>
    <row r="362">
      <c r="B362" s="264"/>
      <c r="F362" s="264"/>
      <c r="G362" s="264"/>
      <c r="H362" s="264"/>
      <c r="M362" s="325"/>
      <c r="N362" s="326"/>
      <c r="O362" s="264"/>
      <c r="S362" s="293"/>
    </row>
    <row r="363">
      <c r="B363" s="264"/>
      <c r="F363" s="264"/>
      <c r="G363" s="264"/>
      <c r="H363" s="264"/>
      <c r="M363" s="325"/>
      <c r="N363" s="326"/>
      <c r="O363" s="264"/>
      <c r="S363" s="293"/>
    </row>
    <row r="364">
      <c r="B364" s="264"/>
      <c r="F364" s="264"/>
      <c r="G364" s="264"/>
      <c r="H364" s="264"/>
      <c r="M364" s="325"/>
      <c r="N364" s="326"/>
      <c r="O364" s="264"/>
      <c r="S364" s="293"/>
    </row>
    <row r="365">
      <c r="B365" s="264"/>
      <c r="F365" s="264"/>
      <c r="G365" s="264"/>
      <c r="H365" s="264"/>
      <c r="M365" s="325"/>
      <c r="N365" s="326"/>
      <c r="O365" s="264"/>
      <c r="S365" s="293"/>
    </row>
    <row r="366">
      <c r="B366" s="264"/>
      <c r="F366" s="264"/>
      <c r="G366" s="264"/>
      <c r="H366" s="264"/>
      <c r="M366" s="325"/>
      <c r="N366" s="326"/>
      <c r="O366" s="264"/>
      <c r="S366" s="293"/>
    </row>
    <row r="367">
      <c r="B367" s="264"/>
      <c r="F367" s="264"/>
      <c r="G367" s="264"/>
      <c r="H367" s="264"/>
      <c r="M367" s="325"/>
      <c r="N367" s="326"/>
      <c r="O367" s="264"/>
      <c r="S367" s="293"/>
    </row>
    <row r="368">
      <c r="B368" s="264"/>
      <c r="F368" s="264"/>
      <c r="G368" s="264"/>
      <c r="H368" s="264"/>
      <c r="M368" s="325"/>
      <c r="N368" s="326"/>
      <c r="O368" s="264"/>
      <c r="S368" s="293"/>
    </row>
    <row r="369">
      <c r="B369" s="264"/>
      <c r="F369" s="264"/>
      <c r="G369" s="264"/>
      <c r="H369" s="264"/>
      <c r="M369" s="325"/>
      <c r="N369" s="326"/>
      <c r="O369" s="264"/>
      <c r="S369" s="293"/>
    </row>
    <row r="370">
      <c r="B370" s="264"/>
      <c r="F370" s="264"/>
      <c r="G370" s="264"/>
      <c r="H370" s="264"/>
      <c r="M370" s="325"/>
      <c r="N370" s="326"/>
      <c r="O370" s="264"/>
      <c r="S370" s="293"/>
    </row>
    <row r="371">
      <c r="B371" s="264"/>
      <c r="F371" s="264"/>
      <c r="G371" s="264"/>
      <c r="H371" s="264"/>
      <c r="M371" s="325"/>
      <c r="N371" s="326"/>
      <c r="O371" s="264"/>
      <c r="S371" s="293"/>
    </row>
    <row r="372">
      <c r="B372" s="264"/>
      <c r="F372" s="264"/>
      <c r="G372" s="264"/>
      <c r="H372" s="264"/>
      <c r="M372" s="325"/>
      <c r="N372" s="326"/>
      <c r="O372" s="264"/>
      <c r="S372" s="293"/>
    </row>
    <row r="373">
      <c r="B373" s="264"/>
      <c r="F373" s="264"/>
      <c r="G373" s="264"/>
      <c r="H373" s="264"/>
      <c r="M373" s="325"/>
      <c r="N373" s="326"/>
      <c r="O373" s="264"/>
      <c r="S373" s="293"/>
    </row>
    <row r="374">
      <c r="B374" s="264"/>
      <c r="F374" s="264"/>
      <c r="G374" s="264"/>
      <c r="H374" s="264"/>
      <c r="M374" s="325"/>
      <c r="N374" s="326"/>
      <c r="O374" s="264"/>
      <c r="S374" s="293"/>
    </row>
    <row r="375">
      <c r="B375" s="264"/>
      <c r="F375" s="264"/>
      <c r="G375" s="264"/>
      <c r="H375" s="264"/>
      <c r="M375" s="325"/>
      <c r="N375" s="326"/>
      <c r="O375" s="264"/>
      <c r="S375" s="293"/>
    </row>
    <row r="376">
      <c r="B376" s="264"/>
      <c r="F376" s="264"/>
      <c r="G376" s="264"/>
      <c r="H376" s="264"/>
      <c r="M376" s="325"/>
      <c r="N376" s="326"/>
      <c r="O376" s="264"/>
      <c r="S376" s="293"/>
    </row>
    <row r="377">
      <c r="B377" s="264"/>
      <c r="F377" s="264"/>
      <c r="G377" s="264"/>
      <c r="H377" s="264"/>
      <c r="M377" s="325"/>
      <c r="N377" s="326"/>
      <c r="O377" s="264"/>
      <c r="S377" s="293"/>
    </row>
    <row r="378">
      <c r="B378" s="264"/>
      <c r="F378" s="264"/>
      <c r="G378" s="264"/>
      <c r="H378" s="264"/>
      <c r="M378" s="325"/>
      <c r="N378" s="326"/>
      <c r="O378" s="264"/>
      <c r="S378" s="293"/>
    </row>
    <row r="379">
      <c r="B379" s="264"/>
      <c r="F379" s="264"/>
      <c r="G379" s="264"/>
      <c r="H379" s="264"/>
      <c r="M379" s="325"/>
      <c r="N379" s="326"/>
      <c r="O379" s="264"/>
      <c r="S379" s="293"/>
    </row>
    <row r="380">
      <c r="B380" s="264"/>
      <c r="F380" s="264"/>
      <c r="G380" s="264"/>
      <c r="H380" s="264"/>
      <c r="M380" s="325"/>
      <c r="N380" s="326"/>
      <c r="O380" s="264"/>
      <c r="S380" s="293"/>
    </row>
    <row r="381">
      <c r="B381" s="264"/>
      <c r="F381" s="264"/>
      <c r="G381" s="264"/>
      <c r="H381" s="264"/>
      <c r="M381" s="325"/>
      <c r="N381" s="326"/>
      <c r="O381" s="264"/>
      <c r="S381" s="293"/>
    </row>
    <row r="382">
      <c r="B382" s="264"/>
      <c r="F382" s="264"/>
      <c r="G382" s="264"/>
      <c r="H382" s="264"/>
      <c r="M382" s="325"/>
      <c r="N382" s="326"/>
      <c r="O382" s="264"/>
      <c r="S382" s="293"/>
    </row>
    <row r="383">
      <c r="B383" s="264"/>
      <c r="F383" s="264"/>
      <c r="G383" s="264"/>
      <c r="H383" s="264"/>
      <c r="M383" s="325"/>
      <c r="N383" s="326"/>
      <c r="O383" s="264"/>
      <c r="S383" s="293"/>
    </row>
    <row r="384">
      <c r="B384" s="264"/>
      <c r="F384" s="264"/>
      <c r="G384" s="264"/>
      <c r="H384" s="264"/>
      <c r="M384" s="325"/>
      <c r="N384" s="326"/>
      <c r="O384" s="264"/>
      <c r="S384" s="293"/>
    </row>
    <row r="385">
      <c r="B385" s="264"/>
      <c r="F385" s="264"/>
      <c r="G385" s="264"/>
      <c r="H385" s="264"/>
      <c r="M385" s="325"/>
      <c r="N385" s="326"/>
      <c r="O385" s="264"/>
      <c r="S385" s="293"/>
    </row>
    <row r="386">
      <c r="B386" s="264"/>
      <c r="F386" s="264"/>
      <c r="G386" s="264"/>
      <c r="H386" s="264"/>
      <c r="M386" s="325"/>
      <c r="N386" s="326"/>
      <c r="O386" s="264"/>
      <c r="S386" s="293"/>
    </row>
    <row r="387">
      <c r="B387" s="264"/>
      <c r="F387" s="264"/>
      <c r="G387" s="264"/>
      <c r="H387" s="264"/>
      <c r="M387" s="325"/>
      <c r="N387" s="326"/>
      <c r="O387" s="264"/>
      <c r="S387" s="293"/>
    </row>
    <row r="388">
      <c r="B388" s="264"/>
      <c r="F388" s="264"/>
      <c r="G388" s="264"/>
      <c r="H388" s="264"/>
      <c r="M388" s="325"/>
      <c r="N388" s="326"/>
      <c r="O388" s="264"/>
      <c r="S388" s="293"/>
    </row>
    <row r="389">
      <c r="B389" s="264"/>
      <c r="F389" s="264"/>
      <c r="G389" s="264"/>
      <c r="H389" s="264"/>
      <c r="M389" s="325"/>
      <c r="N389" s="326"/>
      <c r="O389" s="264"/>
      <c r="S389" s="293"/>
    </row>
    <row r="390">
      <c r="B390" s="264"/>
      <c r="F390" s="264"/>
      <c r="G390" s="264"/>
      <c r="H390" s="264"/>
      <c r="M390" s="325"/>
      <c r="N390" s="326"/>
      <c r="O390" s="264"/>
      <c r="S390" s="293"/>
    </row>
    <row r="391">
      <c r="B391" s="264"/>
      <c r="F391" s="264"/>
      <c r="G391" s="264"/>
      <c r="H391" s="264"/>
      <c r="M391" s="325"/>
      <c r="N391" s="326"/>
      <c r="O391" s="264"/>
      <c r="S391" s="293"/>
    </row>
    <row r="392">
      <c r="B392" s="264"/>
      <c r="F392" s="264"/>
      <c r="G392" s="264"/>
      <c r="H392" s="264"/>
      <c r="M392" s="325"/>
      <c r="N392" s="326"/>
      <c r="O392" s="264"/>
      <c r="S392" s="293"/>
    </row>
    <row r="393">
      <c r="B393" s="264"/>
      <c r="F393" s="264"/>
      <c r="G393" s="264"/>
      <c r="H393" s="264"/>
      <c r="M393" s="325"/>
      <c r="N393" s="326"/>
      <c r="O393" s="264"/>
      <c r="S393" s="293"/>
    </row>
    <row r="394">
      <c r="B394" s="264"/>
      <c r="F394" s="264"/>
      <c r="G394" s="264"/>
      <c r="H394" s="264"/>
      <c r="M394" s="325"/>
      <c r="N394" s="326"/>
      <c r="O394" s="264"/>
      <c r="S394" s="293"/>
    </row>
    <row r="395">
      <c r="B395" s="264"/>
      <c r="F395" s="264"/>
      <c r="G395" s="264"/>
      <c r="H395" s="264"/>
      <c r="M395" s="325"/>
      <c r="N395" s="326"/>
      <c r="O395" s="264"/>
      <c r="S395" s="293"/>
    </row>
    <row r="396">
      <c r="B396" s="264"/>
      <c r="F396" s="264"/>
      <c r="G396" s="264"/>
      <c r="H396" s="264"/>
      <c r="M396" s="325"/>
      <c r="N396" s="326"/>
      <c r="O396" s="264"/>
      <c r="S396" s="293"/>
    </row>
    <row r="397">
      <c r="B397" s="264"/>
      <c r="F397" s="264"/>
      <c r="G397" s="264"/>
      <c r="H397" s="264"/>
      <c r="M397" s="325"/>
      <c r="N397" s="326"/>
      <c r="O397" s="264"/>
      <c r="S397" s="293"/>
    </row>
    <row r="398">
      <c r="B398" s="264"/>
      <c r="F398" s="264"/>
      <c r="G398" s="264"/>
      <c r="H398" s="264"/>
      <c r="M398" s="325"/>
      <c r="N398" s="326"/>
      <c r="O398" s="264"/>
      <c r="S398" s="293"/>
    </row>
    <row r="399">
      <c r="B399" s="264"/>
      <c r="F399" s="264"/>
      <c r="G399" s="264"/>
      <c r="H399" s="264"/>
      <c r="M399" s="325"/>
      <c r="N399" s="326"/>
      <c r="O399" s="264"/>
      <c r="S399" s="293"/>
    </row>
    <row r="400">
      <c r="B400" s="264"/>
      <c r="F400" s="264"/>
      <c r="G400" s="264"/>
      <c r="H400" s="264"/>
      <c r="M400" s="325"/>
      <c r="N400" s="326"/>
      <c r="O400" s="264"/>
      <c r="S400" s="293"/>
    </row>
    <row r="401">
      <c r="B401" s="264"/>
      <c r="F401" s="264"/>
      <c r="G401" s="264"/>
      <c r="H401" s="264"/>
      <c r="M401" s="325"/>
      <c r="N401" s="326"/>
      <c r="O401" s="264"/>
      <c r="S401" s="293"/>
    </row>
    <row r="402">
      <c r="B402" s="264"/>
      <c r="F402" s="264"/>
      <c r="G402" s="264"/>
      <c r="H402" s="264"/>
      <c r="M402" s="325"/>
      <c r="N402" s="326"/>
      <c r="O402" s="264"/>
      <c r="S402" s="293"/>
    </row>
    <row r="403">
      <c r="B403" s="264"/>
      <c r="F403" s="264"/>
      <c r="G403" s="264"/>
      <c r="H403" s="264"/>
      <c r="M403" s="325"/>
      <c r="N403" s="326"/>
      <c r="O403" s="264"/>
      <c r="S403" s="293"/>
    </row>
    <row r="404">
      <c r="B404" s="264"/>
      <c r="F404" s="264"/>
      <c r="G404" s="264"/>
      <c r="H404" s="264"/>
      <c r="M404" s="325"/>
      <c r="N404" s="326"/>
      <c r="O404" s="264"/>
      <c r="S404" s="293"/>
    </row>
    <row r="405">
      <c r="B405" s="264"/>
      <c r="F405" s="264"/>
      <c r="G405" s="264"/>
      <c r="H405" s="264"/>
      <c r="M405" s="325"/>
      <c r="N405" s="326"/>
      <c r="O405" s="264"/>
      <c r="S405" s="293"/>
    </row>
    <row r="406">
      <c r="B406" s="264"/>
      <c r="F406" s="264"/>
      <c r="G406" s="264"/>
      <c r="H406" s="264"/>
      <c r="M406" s="325"/>
      <c r="N406" s="326"/>
      <c r="O406" s="264"/>
      <c r="S406" s="293"/>
    </row>
    <row r="407">
      <c r="B407" s="264"/>
      <c r="F407" s="264"/>
      <c r="G407" s="264"/>
      <c r="H407" s="264"/>
      <c r="M407" s="325"/>
      <c r="N407" s="326"/>
      <c r="O407" s="264"/>
      <c r="S407" s="293"/>
    </row>
    <row r="408">
      <c r="B408" s="264"/>
      <c r="F408" s="264"/>
      <c r="G408" s="264"/>
      <c r="H408" s="264"/>
      <c r="M408" s="325"/>
      <c r="N408" s="326"/>
      <c r="O408" s="264"/>
      <c r="S408" s="293"/>
    </row>
    <row r="409">
      <c r="B409" s="264"/>
      <c r="F409" s="264"/>
      <c r="G409" s="264"/>
      <c r="H409" s="264"/>
      <c r="M409" s="325"/>
      <c r="N409" s="326"/>
      <c r="O409" s="264"/>
      <c r="S409" s="293"/>
    </row>
    <row r="410">
      <c r="B410" s="264"/>
      <c r="F410" s="264"/>
      <c r="G410" s="264"/>
      <c r="H410" s="264"/>
      <c r="M410" s="325"/>
      <c r="N410" s="326"/>
      <c r="O410" s="264"/>
      <c r="S410" s="293"/>
    </row>
    <row r="411">
      <c r="B411" s="264"/>
      <c r="F411" s="264"/>
      <c r="G411" s="264"/>
      <c r="H411" s="264"/>
      <c r="M411" s="325"/>
      <c r="N411" s="326"/>
      <c r="O411" s="264"/>
      <c r="S411" s="293"/>
    </row>
    <row r="412">
      <c r="B412" s="264"/>
      <c r="F412" s="264"/>
      <c r="G412" s="264"/>
      <c r="H412" s="264"/>
      <c r="M412" s="325"/>
      <c r="N412" s="326"/>
      <c r="O412" s="264"/>
      <c r="S412" s="293"/>
    </row>
    <row r="413">
      <c r="B413" s="264"/>
      <c r="F413" s="264"/>
      <c r="G413" s="264"/>
      <c r="H413" s="264"/>
      <c r="M413" s="325"/>
      <c r="N413" s="326"/>
      <c r="O413" s="264"/>
      <c r="S413" s="293"/>
    </row>
    <row r="414">
      <c r="B414" s="264"/>
      <c r="F414" s="264"/>
      <c r="G414" s="264"/>
      <c r="H414" s="264"/>
      <c r="M414" s="325"/>
      <c r="N414" s="326"/>
      <c r="O414" s="264"/>
      <c r="S414" s="293"/>
    </row>
    <row r="415">
      <c r="B415" s="264"/>
      <c r="F415" s="264"/>
      <c r="G415" s="264"/>
      <c r="H415" s="264"/>
      <c r="M415" s="325"/>
      <c r="N415" s="326"/>
      <c r="O415" s="264"/>
      <c r="S415" s="293"/>
    </row>
    <row r="416">
      <c r="B416" s="264"/>
      <c r="F416" s="264"/>
      <c r="G416" s="264"/>
      <c r="H416" s="264"/>
      <c r="M416" s="325"/>
      <c r="N416" s="326"/>
      <c r="O416" s="264"/>
      <c r="S416" s="293"/>
    </row>
    <row r="417">
      <c r="B417" s="264"/>
      <c r="F417" s="264"/>
      <c r="G417" s="264"/>
      <c r="H417" s="264"/>
      <c r="M417" s="325"/>
      <c r="N417" s="326"/>
      <c r="O417" s="264"/>
      <c r="S417" s="293"/>
    </row>
    <row r="418">
      <c r="B418" s="264"/>
      <c r="F418" s="264"/>
      <c r="G418" s="264"/>
      <c r="H418" s="264"/>
      <c r="M418" s="325"/>
      <c r="N418" s="326"/>
      <c r="O418" s="264"/>
      <c r="S418" s="293"/>
    </row>
    <row r="419">
      <c r="B419" s="264"/>
      <c r="F419" s="264"/>
      <c r="G419" s="264"/>
      <c r="H419" s="264"/>
      <c r="M419" s="325"/>
      <c r="N419" s="326"/>
      <c r="O419" s="264"/>
      <c r="S419" s="293"/>
    </row>
    <row r="420">
      <c r="B420" s="264"/>
      <c r="F420" s="264"/>
      <c r="G420" s="264"/>
      <c r="H420" s="264"/>
      <c r="M420" s="325"/>
      <c r="N420" s="326"/>
      <c r="O420" s="264"/>
      <c r="S420" s="293"/>
    </row>
    <row r="421">
      <c r="B421" s="264"/>
      <c r="F421" s="264"/>
      <c r="G421" s="264"/>
      <c r="H421" s="264"/>
      <c r="M421" s="325"/>
      <c r="N421" s="326"/>
      <c r="O421" s="264"/>
      <c r="S421" s="293"/>
    </row>
    <row r="422">
      <c r="B422" s="264"/>
      <c r="F422" s="264"/>
      <c r="G422" s="264"/>
      <c r="H422" s="264"/>
      <c r="M422" s="325"/>
      <c r="N422" s="326"/>
      <c r="O422" s="264"/>
      <c r="S422" s="293"/>
    </row>
    <row r="423">
      <c r="B423" s="264"/>
      <c r="F423" s="264"/>
      <c r="G423" s="264"/>
      <c r="H423" s="264"/>
      <c r="M423" s="325"/>
      <c r="N423" s="326"/>
      <c r="O423" s="264"/>
      <c r="S423" s="293"/>
    </row>
    <row r="424">
      <c r="B424" s="264"/>
      <c r="F424" s="264"/>
      <c r="G424" s="264"/>
      <c r="H424" s="264"/>
      <c r="M424" s="325"/>
      <c r="N424" s="326"/>
      <c r="O424" s="264"/>
      <c r="S424" s="293"/>
    </row>
    <row r="425">
      <c r="B425" s="264"/>
      <c r="F425" s="264"/>
      <c r="G425" s="264"/>
      <c r="H425" s="264"/>
      <c r="M425" s="325"/>
      <c r="N425" s="326"/>
      <c r="O425" s="264"/>
      <c r="S425" s="293"/>
    </row>
    <row r="426">
      <c r="B426" s="264"/>
      <c r="F426" s="264"/>
      <c r="G426" s="264"/>
      <c r="H426" s="264"/>
      <c r="M426" s="325"/>
      <c r="N426" s="326"/>
      <c r="O426" s="264"/>
      <c r="S426" s="293"/>
    </row>
    <row r="427">
      <c r="B427" s="264"/>
      <c r="F427" s="264"/>
      <c r="G427" s="264"/>
      <c r="H427" s="264"/>
      <c r="M427" s="325"/>
      <c r="N427" s="326"/>
      <c r="O427" s="264"/>
      <c r="S427" s="293"/>
    </row>
    <row r="428">
      <c r="B428" s="264"/>
      <c r="F428" s="264"/>
      <c r="G428" s="264"/>
      <c r="H428" s="264"/>
      <c r="M428" s="325"/>
      <c r="N428" s="326"/>
      <c r="O428" s="264"/>
      <c r="S428" s="293"/>
    </row>
    <row r="429">
      <c r="B429" s="264"/>
      <c r="F429" s="264"/>
      <c r="G429" s="264"/>
      <c r="H429" s="264"/>
      <c r="M429" s="325"/>
      <c r="N429" s="326"/>
      <c r="O429" s="264"/>
      <c r="S429" s="293"/>
    </row>
    <row r="430">
      <c r="B430" s="264"/>
      <c r="F430" s="264"/>
      <c r="G430" s="264"/>
      <c r="H430" s="264"/>
      <c r="M430" s="325"/>
      <c r="N430" s="326"/>
      <c r="O430" s="264"/>
      <c r="S430" s="293"/>
    </row>
    <row r="431">
      <c r="B431" s="264"/>
      <c r="F431" s="264"/>
      <c r="G431" s="264"/>
      <c r="H431" s="264"/>
      <c r="M431" s="325"/>
      <c r="N431" s="326"/>
      <c r="O431" s="264"/>
      <c r="S431" s="293"/>
    </row>
    <row r="432">
      <c r="B432" s="264"/>
      <c r="F432" s="264"/>
      <c r="G432" s="264"/>
      <c r="H432" s="264"/>
      <c r="M432" s="325"/>
      <c r="N432" s="326"/>
      <c r="O432" s="264"/>
      <c r="S432" s="293"/>
    </row>
    <row r="433">
      <c r="B433" s="264"/>
      <c r="F433" s="264"/>
      <c r="G433" s="264"/>
      <c r="H433" s="264"/>
      <c r="M433" s="325"/>
      <c r="N433" s="326"/>
      <c r="O433" s="264"/>
      <c r="S433" s="293"/>
    </row>
    <row r="434">
      <c r="B434" s="264"/>
      <c r="F434" s="264"/>
      <c r="G434" s="264"/>
      <c r="H434" s="264"/>
      <c r="M434" s="325"/>
      <c r="N434" s="326"/>
      <c r="O434" s="264"/>
      <c r="S434" s="293"/>
    </row>
    <row r="435">
      <c r="B435" s="264"/>
      <c r="F435" s="264"/>
      <c r="G435" s="264"/>
      <c r="H435" s="264"/>
      <c r="M435" s="325"/>
      <c r="N435" s="326"/>
      <c r="O435" s="264"/>
      <c r="S435" s="293"/>
    </row>
    <row r="436">
      <c r="B436" s="264"/>
      <c r="F436" s="264"/>
      <c r="G436" s="264"/>
      <c r="H436" s="264"/>
      <c r="M436" s="325"/>
      <c r="N436" s="326"/>
      <c r="O436" s="264"/>
      <c r="S436" s="293"/>
    </row>
    <row r="437">
      <c r="B437" s="264"/>
      <c r="F437" s="264"/>
      <c r="G437" s="264"/>
      <c r="H437" s="264"/>
      <c r="M437" s="325"/>
      <c r="N437" s="326"/>
      <c r="O437" s="264"/>
      <c r="S437" s="293"/>
    </row>
    <row r="438">
      <c r="B438" s="264"/>
      <c r="F438" s="264"/>
      <c r="G438" s="264"/>
      <c r="H438" s="264"/>
      <c r="M438" s="325"/>
      <c r="N438" s="326"/>
      <c r="O438" s="264"/>
      <c r="S438" s="293"/>
    </row>
    <row r="439">
      <c r="B439" s="264"/>
      <c r="F439" s="264"/>
      <c r="G439" s="264"/>
      <c r="H439" s="264"/>
      <c r="M439" s="325"/>
      <c r="N439" s="326"/>
      <c r="O439" s="264"/>
      <c r="S439" s="293"/>
    </row>
    <row r="440">
      <c r="B440" s="264"/>
      <c r="F440" s="264"/>
      <c r="G440" s="264"/>
      <c r="H440" s="264"/>
      <c r="M440" s="325"/>
      <c r="N440" s="326"/>
      <c r="O440" s="264"/>
      <c r="S440" s="293"/>
    </row>
    <row r="441">
      <c r="B441" s="264"/>
      <c r="F441" s="264"/>
      <c r="G441" s="264"/>
      <c r="H441" s="264"/>
      <c r="M441" s="325"/>
      <c r="N441" s="326"/>
      <c r="O441" s="264"/>
      <c r="S441" s="293"/>
    </row>
    <row r="442">
      <c r="B442" s="264"/>
      <c r="F442" s="264"/>
      <c r="G442" s="264"/>
      <c r="H442" s="264"/>
      <c r="M442" s="325"/>
      <c r="N442" s="326"/>
      <c r="O442" s="264"/>
      <c r="S442" s="293"/>
    </row>
    <row r="443">
      <c r="B443" s="264"/>
      <c r="F443" s="264"/>
      <c r="G443" s="264"/>
      <c r="H443" s="264"/>
      <c r="M443" s="325"/>
      <c r="N443" s="326"/>
      <c r="O443" s="264"/>
      <c r="S443" s="293"/>
    </row>
    <row r="444">
      <c r="B444" s="264"/>
      <c r="F444" s="264"/>
      <c r="G444" s="264"/>
      <c r="H444" s="264"/>
      <c r="M444" s="325"/>
      <c r="N444" s="326"/>
      <c r="O444" s="264"/>
      <c r="S444" s="293"/>
    </row>
    <row r="445">
      <c r="B445" s="264"/>
      <c r="F445" s="264"/>
      <c r="G445" s="264"/>
      <c r="H445" s="264"/>
      <c r="M445" s="325"/>
      <c r="N445" s="326"/>
      <c r="O445" s="264"/>
      <c r="S445" s="293"/>
    </row>
    <row r="446">
      <c r="B446" s="264"/>
      <c r="F446" s="264"/>
      <c r="G446" s="264"/>
      <c r="H446" s="264"/>
      <c r="M446" s="325"/>
      <c r="N446" s="326"/>
      <c r="O446" s="264"/>
      <c r="S446" s="293"/>
    </row>
    <row r="447">
      <c r="B447" s="264"/>
      <c r="F447" s="264"/>
      <c r="G447" s="264"/>
      <c r="H447" s="264"/>
      <c r="M447" s="325"/>
      <c r="N447" s="326"/>
      <c r="O447" s="264"/>
      <c r="S447" s="293"/>
    </row>
    <row r="448">
      <c r="B448" s="264"/>
      <c r="F448" s="264"/>
      <c r="G448" s="264"/>
      <c r="H448" s="264"/>
      <c r="M448" s="325"/>
      <c r="N448" s="326"/>
      <c r="O448" s="264"/>
      <c r="S448" s="293"/>
    </row>
    <row r="449">
      <c r="B449" s="264"/>
      <c r="F449" s="264"/>
      <c r="G449" s="264"/>
      <c r="H449" s="264"/>
      <c r="M449" s="325"/>
      <c r="N449" s="326"/>
      <c r="O449" s="264"/>
      <c r="S449" s="293"/>
    </row>
    <row r="450">
      <c r="B450" s="264"/>
      <c r="F450" s="264"/>
      <c r="G450" s="264"/>
      <c r="H450" s="264"/>
      <c r="M450" s="325"/>
      <c r="N450" s="326"/>
      <c r="O450" s="264"/>
      <c r="S450" s="293"/>
    </row>
    <row r="451">
      <c r="B451" s="264"/>
      <c r="F451" s="264"/>
      <c r="G451" s="264"/>
      <c r="H451" s="264"/>
      <c r="M451" s="325"/>
      <c r="N451" s="326"/>
      <c r="O451" s="264"/>
      <c r="S451" s="293"/>
    </row>
    <row r="452">
      <c r="B452" s="264"/>
      <c r="F452" s="264"/>
      <c r="G452" s="264"/>
      <c r="H452" s="264"/>
      <c r="M452" s="325"/>
      <c r="N452" s="326"/>
      <c r="O452" s="264"/>
      <c r="S452" s="293"/>
    </row>
    <row r="453">
      <c r="B453" s="264"/>
      <c r="F453" s="264"/>
      <c r="G453" s="264"/>
      <c r="H453" s="264"/>
      <c r="M453" s="325"/>
      <c r="N453" s="326"/>
      <c r="O453" s="264"/>
      <c r="S453" s="293"/>
    </row>
    <row r="454">
      <c r="B454" s="264"/>
      <c r="F454" s="264"/>
      <c r="G454" s="264"/>
      <c r="H454" s="264"/>
      <c r="M454" s="325"/>
      <c r="N454" s="326"/>
      <c r="O454" s="264"/>
      <c r="S454" s="293"/>
    </row>
    <row r="455">
      <c r="B455" s="264"/>
      <c r="F455" s="264"/>
      <c r="G455" s="264"/>
      <c r="H455" s="264"/>
      <c r="M455" s="325"/>
      <c r="N455" s="326"/>
      <c r="O455" s="264"/>
      <c r="S455" s="293"/>
    </row>
    <row r="456">
      <c r="B456" s="264"/>
      <c r="F456" s="264"/>
      <c r="G456" s="264"/>
      <c r="H456" s="264"/>
      <c r="M456" s="325"/>
      <c r="N456" s="326"/>
      <c r="O456" s="264"/>
      <c r="S456" s="293"/>
    </row>
    <row r="457">
      <c r="B457" s="264"/>
      <c r="F457" s="264"/>
      <c r="G457" s="264"/>
      <c r="H457" s="264"/>
      <c r="M457" s="325"/>
      <c r="N457" s="326"/>
      <c r="O457" s="264"/>
      <c r="S457" s="293"/>
    </row>
    <row r="458">
      <c r="B458" s="264"/>
      <c r="F458" s="264"/>
      <c r="G458" s="264"/>
      <c r="H458" s="264"/>
      <c r="M458" s="325"/>
      <c r="N458" s="326"/>
      <c r="O458" s="264"/>
      <c r="S458" s="293"/>
    </row>
    <row r="459">
      <c r="B459" s="264"/>
      <c r="F459" s="264"/>
      <c r="G459" s="264"/>
      <c r="H459" s="264"/>
      <c r="M459" s="325"/>
      <c r="N459" s="326"/>
      <c r="O459" s="264"/>
      <c r="S459" s="293"/>
    </row>
    <row r="460">
      <c r="B460" s="264"/>
      <c r="F460" s="264"/>
      <c r="G460" s="264"/>
      <c r="H460" s="264"/>
      <c r="M460" s="325"/>
      <c r="N460" s="326"/>
      <c r="O460" s="264"/>
      <c r="S460" s="293"/>
    </row>
    <row r="461">
      <c r="B461" s="264"/>
      <c r="F461" s="264"/>
      <c r="G461" s="264"/>
      <c r="H461" s="264"/>
      <c r="M461" s="325"/>
      <c r="N461" s="326"/>
      <c r="O461" s="264"/>
      <c r="S461" s="293"/>
    </row>
    <row r="462">
      <c r="B462" s="264"/>
      <c r="F462" s="264"/>
      <c r="G462" s="264"/>
      <c r="H462" s="264"/>
      <c r="M462" s="325"/>
      <c r="N462" s="326"/>
      <c r="O462" s="264"/>
      <c r="S462" s="293"/>
    </row>
    <row r="463">
      <c r="B463" s="264"/>
      <c r="F463" s="264"/>
      <c r="G463" s="264"/>
      <c r="H463" s="264"/>
      <c r="M463" s="325"/>
      <c r="N463" s="326"/>
      <c r="O463" s="264"/>
      <c r="S463" s="293"/>
    </row>
    <row r="464">
      <c r="B464" s="264"/>
      <c r="F464" s="264"/>
      <c r="G464" s="264"/>
      <c r="H464" s="264"/>
      <c r="M464" s="325"/>
      <c r="N464" s="326"/>
      <c r="O464" s="264"/>
      <c r="S464" s="293"/>
    </row>
    <row r="465">
      <c r="B465" s="264"/>
      <c r="F465" s="264"/>
      <c r="G465" s="264"/>
      <c r="H465" s="264"/>
      <c r="M465" s="325"/>
      <c r="N465" s="326"/>
      <c r="O465" s="264"/>
      <c r="S465" s="293"/>
    </row>
    <row r="466">
      <c r="B466" s="264"/>
      <c r="F466" s="264"/>
      <c r="G466" s="264"/>
      <c r="H466" s="264"/>
      <c r="M466" s="325"/>
      <c r="N466" s="326"/>
      <c r="O466" s="264"/>
      <c r="S466" s="293"/>
    </row>
    <row r="467">
      <c r="B467" s="264"/>
      <c r="F467" s="264"/>
      <c r="G467" s="264"/>
      <c r="H467" s="264"/>
      <c r="M467" s="325"/>
      <c r="N467" s="326"/>
      <c r="O467" s="264"/>
      <c r="S467" s="293"/>
    </row>
    <row r="468">
      <c r="B468" s="264"/>
      <c r="F468" s="264"/>
      <c r="G468" s="264"/>
      <c r="H468" s="264"/>
      <c r="M468" s="325"/>
      <c r="N468" s="326"/>
      <c r="O468" s="264"/>
      <c r="S468" s="293"/>
    </row>
    <row r="469">
      <c r="B469" s="264"/>
      <c r="F469" s="264"/>
      <c r="G469" s="264"/>
      <c r="H469" s="264"/>
      <c r="M469" s="325"/>
      <c r="N469" s="326"/>
      <c r="O469" s="264"/>
      <c r="S469" s="293"/>
    </row>
    <row r="470">
      <c r="B470" s="264"/>
      <c r="F470" s="264"/>
      <c r="G470" s="264"/>
      <c r="H470" s="264"/>
      <c r="M470" s="325"/>
      <c r="N470" s="326"/>
      <c r="O470" s="264"/>
      <c r="S470" s="293"/>
    </row>
    <row r="471">
      <c r="B471" s="264"/>
      <c r="F471" s="264"/>
      <c r="G471" s="264"/>
      <c r="H471" s="264"/>
      <c r="M471" s="325"/>
      <c r="N471" s="326"/>
      <c r="O471" s="264"/>
      <c r="S471" s="293"/>
    </row>
    <row r="472">
      <c r="B472" s="264"/>
      <c r="F472" s="264"/>
      <c r="G472" s="264"/>
      <c r="H472" s="264"/>
      <c r="M472" s="325"/>
      <c r="N472" s="326"/>
      <c r="O472" s="264"/>
      <c r="S472" s="293"/>
    </row>
    <row r="473">
      <c r="B473" s="264"/>
      <c r="F473" s="264"/>
      <c r="G473" s="264"/>
      <c r="H473" s="264"/>
      <c r="M473" s="325"/>
      <c r="N473" s="326"/>
      <c r="O473" s="264"/>
      <c r="S473" s="293"/>
    </row>
    <row r="474">
      <c r="B474" s="264"/>
      <c r="F474" s="264"/>
      <c r="G474" s="264"/>
      <c r="H474" s="264"/>
      <c r="M474" s="325"/>
      <c r="N474" s="326"/>
      <c r="O474" s="264"/>
      <c r="S474" s="293"/>
    </row>
    <row r="475">
      <c r="B475" s="264"/>
      <c r="F475" s="264"/>
      <c r="G475" s="264"/>
      <c r="H475" s="264"/>
      <c r="M475" s="325"/>
      <c r="N475" s="326"/>
      <c r="O475" s="264"/>
      <c r="S475" s="293"/>
    </row>
    <row r="476">
      <c r="B476" s="264"/>
      <c r="F476" s="264"/>
      <c r="G476" s="264"/>
      <c r="H476" s="264"/>
      <c r="M476" s="325"/>
      <c r="N476" s="326"/>
      <c r="O476" s="264"/>
      <c r="S476" s="293"/>
    </row>
    <row r="477">
      <c r="B477" s="264"/>
      <c r="F477" s="264"/>
      <c r="G477" s="264"/>
      <c r="H477" s="264"/>
      <c r="M477" s="325"/>
      <c r="N477" s="326"/>
      <c r="O477" s="264"/>
      <c r="S477" s="293"/>
    </row>
    <row r="478">
      <c r="B478" s="264"/>
      <c r="F478" s="264"/>
      <c r="G478" s="264"/>
      <c r="H478" s="264"/>
      <c r="M478" s="325"/>
      <c r="N478" s="326"/>
      <c r="O478" s="264"/>
      <c r="S478" s="293"/>
    </row>
    <row r="479">
      <c r="B479" s="264"/>
      <c r="F479" s="264"/>
      <c r="G479" s="264"/>
      <c r="H479" s="264"/>
      <c r="M479" s="325"/>
      <c r="N479" s="326"/>
      <c r="O479" s="264"/>
      <c r="S479" s="293"/>
    </row>
    <row r="480">
      <c r="B480" s="264"/>
      <c r="F480" s="264"/>
      <c r="G480" s="264"/>
      <c r="H480" s="264"/>
      <c r="M480" s="325"/>
      <c r="N480" s="326"/>
      <c r="O480" s="264"/>
      <c r="S480" s="293"/>
    </row>
    <row r="481">
      <c r="B481" s="264"/>
      <c r="F481" s="264"/>
      <c r="G481" s="264"/>
      <c r="H481" s="264"/>
      <c r="M481" s="325"/>
      <c r="N481" s="326"/>
      <c r="O481" s="264"/>
      <c r="S481" s="293"/>
    </row>
    <row r="482">
      <c r="B482" s="264"/>
      <c r="F482" s="264"/>
      <c r="G482" s="264"/>
      <c r="H482" s="264"/>
      <c r="M482" s="325"/>
      <c r="N482" s="326"/>
      <c r="O482" s="264"/>
      <c r="S482" s="293"/>
    </row>
    <row r="483">
      <c r="B483" s="264"/>
      <c r="F483" s="264"/>
      <c r="G483" s="264"/>
      <c r="H483" s="264"/>
      <c r="M483" s="325"/>
      <c r="N483" s="326"/>
      <c r="O483" s="264"/>
      <c r="S483" s="293"/>
    </row>
    <row r="484">
      <c r="B484" s="264"/>
      <c r="F484" s="264"/>
      <c r="G484" s="264"/>
      <c r="H484" s="264"/>
      <c r="M484" s="325"/>
      <c r="N484" s="326"/>
      <c r="O484" s="264"/>
      <c r="S484" s="293"/>
    </row>
    <row r="485">
      <c r="B485" s="264"/>
      <c r="F485" s="264"/>
      <c r="G485" s="264"/>
      <c r="H485" s="264"/>
      <c r="M485" s="325"/>
      <c r="N485" s="326"/>
      <c r="O485" s="264"/>
      <c r="S485" s="293"/>
    </row>
    <row r="486">
      <c r="B486" s="264"/>
      <c r="F486" s="264"/>
      <c r="G486" s="264"/>
      <c r="H486" s="264"/>
      <c r="M486" s="325"/>
      <c r="N486" s="326"/>
      <c r="O486" s="264"/>
      <c r="S486" s="293"/>
    </row>
    <row r="487">
      <c r="B487" s="264"/>
      <c r="F487" s="264"/>
      <c r="G487" s="264"/>
      <c r="H487" s="264"/>
      <c r="M487" s="325"/>
      <c r="N487" s="326"/>
      <c r="O487" s="264"/>
      <c r="S487" s="293"/>
    </row>
    <row r="488">
      <c r="B488" s="264"/>
      <c r="F488" s="264"/>
      <c r="G488" s="264"/>
      <c r="H488" s="264"/>
      <c r="M488" s="325"/>
      <c r="N488" s="326"/>
      <c r="O488" s="264"/>
      <c r="S488" s="293"/>
    </row>
    <row r="489">
      <c r="B489" s="264"/>
      <c r="F489" s="264"/>
      <c r="G489" s="264"/>
      <c r="H489" s="264"/>
      <c r="M489" s="325"/>
      <c r="N489" s="326"/>
      <c r="O489" s="264"/>
      <c r="S489" s="293"/>
    </row>
    <row r="490">
      <c r="B490" s="264"/>
      <c r="F490" s="264"/>
      <c r="G490" s="264"/>
      <c r="H490" s="264"/>
      <c r="M490" s="325"/>
      <c r="N490" s="326"/>
      <c r="O490" s="264"/>
      <c r="S490" s="293"/>
    </row>
    <row r="491">
      <c r="B491" s="264"/>
      <c r="F491" s="264"/>
      <c r="G491" s="264"/>
      <c r="H491" s="264"/>
      <c r="M491" s="325"/>
      <c r="N491" s="326"/>
      <c r="O491" s="264"/>
      <c r="S491" s="293"/>
    </row>
    <row r="492">
      <c r="B492" s="264"/>
      <c r="F492" s="264"/>
      <c r="G492" s="264"/>
      <c r="H492" s="264"/>
      <c r="M492" s="325"/>
      <c r="N492" s="326"/>
      <c r="O492" s="264"/>
      <c r="S492" s="293"/>
    </row>
    <row r="493">
      <c r="B493" s="264"/>
      <c r="F493" s="264"/>
      <c r="G493" s="264"/>
      <c r="H493" s="264"/>
      <c r="M493" s="325"/>
      <c r="N493" s="326"/>
      <c r="O493" s="264"/>
      <c r="S493" s="293"/>
    </row>
    <row r="494">
      <c r="B494" s="264"/>
      <c r="F494" s="264"/>
      <c r="G494" s="264"/>
      <c r="H494" s="264"/>
      <c r="M494" s="325"/>
      <c r="N494" s="326"/>
      <c r="O494" s="264"/>
      <c r="S494" s="293"/>
    </row>
    <row r="495">
      <c r="B495" s="264"/>
      <c r="F495" s="264"/>
      <c r="G495" s="264"/>
      <c r="H495" s="264"/>
      <c r="M495" s="325"/>
      <c r="N495" s="326"/>
      <c r="O495" s="264"/>
      <c r="S495" s="293"/>
    </row>
    <row r="496">
      <c r="B496" s="264"/>
      <c r="F496" s="264"/>
      <c r="G496" s="264"/>
      <c r="H496" s="264"/>
      <c r="M496" s="325"/>
      <c r="N496" s="326"/>
      <c r="O496" s="264"/>
      <c r="S496" s="293"/>
    </row>
    <row r="497">
      <c r="B497" s="264"/>
      <c r="F497" s="264"/>
      <c r="G497" s="264"/>
      <c r="H497" s="264"/>
      <c r="M497" s="325"/>
      <c r="N497" s="326"/>
      <c r="O497" s="264"/>
      <c r="S497" s="293"/>
    </row>
    <row r="498">
      <c r="B498" s="264"/>
      <c r="F498" s="264"/>
      <c r="G498" s="264"/>
      <c r="H498" s="264"/>
      <c r="M498" s="325"/>
      <c r="N498" s="326"/>
      <c r="O498" s="264"/>
      <c r="S498" s="293"/>
    </row>
    <row r="499">
      <c r="B499" s="264"/>
      <c r="F499" s="264"/>
      <c r="G499" s="264"/>
      <c r="H499" s="264"/>
      <c r="M499" s="325"/>
      <c r="N499" s="326"/>
      <c r="O499" s="264"/>
      <c r="S499" s="293"/>
    </row>
    <row r="500">
      <c r="B500" s="264"/>
      <c r="F500" s="264"/>
      <c r="G500" s="264"/>
      <c r="H500" s="264"/>
      <c r="M500" s="325"/>
      <c r="N500" s="326"/>
      <c r="O500" s="264"/>
      <c r="S500" s="293"/>
    </row>
    <row r="501">
      <c r="B501" s="264"/>
      <c r="F501" s="264"/>
      <c r="G501" s="264"/>
      <c r="H501" s="264"/>
      <c r="M501" s="325"/>
      <c r="N501" s="326"/>
      <c r="O501" s="264"/>
      <c r="S501" s="293"/>
    </row>
    <row r="502">
      <c r="B502" s="264"/>
      <c r="F502" s="264"/>
      <c r="G502" s="264"/>
      <c r="H502" s="264"/>
      <c r="M502" s="325"/>
      <c r="N502" s="326"/>
      <c r="O502" s="264"/>
      <c r="S502" s="293"/>
    </row>
    <row r="503">
      <c r="B503" s="264"/>
      <c r="F503" s="264"/>
      <c r="G503" s="264"/>
      <c r="H503" s="264"/>
      <c r="M503" s="325"/>
      <c r="N503" s="326"/>
      <c r="O503" s="264"/>
      <c r="S503" s="293"/>
    </row>
    <row r="504">
      <c r="B504" s="264"/>
      <c r="F504" s="264"/>
      <c r="G504" s="264"/>
      <c r="H504" s="264"/>
      <c r="M504" s="325"/>
      <c r="N504" s="326"/>
      <c r="O504" s="264"/>
      <c r="S504" s="293"/>
    </row>
    <row r="505">
      <c r="B505" s="264"/>
      <c r="F505" s="264"/>
      <c r="G505" s="264"/>
      <c r="H505" s="264"/>
      <c r="M505" s="325"/>
      <c r="N505" s="326"/>
      <c r="O505" s="264"/>
      <c r="S505" s="293"/>
    </row>
    <row r="506">
      <c r="B506" s="264"/>
      <c r="F506" s="264"/>
      <c r="G506" s="264"/>
      <c r="H506" s="264"/>
      <c r="M506" s="325"/>
      <c r="N506" s="326"/>
      <c r="O506" s="264"/>
      <c r="S506" s="293"/>
    </row>
    <row r="507">
      <c r="B507" s="264"/>
      <c r="F507" s="264"/>
      <c r="G507" s="264"/>
      <c r="H507" s="264"/>
      <c r="M507" s="325"/>
      <c r="N507" s="326"/>
      <c r="O507" s="264"/>
      <c r="S507" s="293"/>
    </row>
    <row r="508">
      <c r="B508" s="264"/>
      <c r="F508" s="264"/>
      <c r="G508" s="264"/>
      <c r="H508" s="264"/>
      <c r="M508" s="325"/>
      <c r="N508" s="326"/>
      <c r="O508" s="264"/>
      <c r="S508" s="293"/>
    </row>
    <row r="509">
      <c r="B509" s="264"/>
      <c r="F509" s="264"/>
      <c r="G509" s="264"/>
      <c r="H509" s="264"/>
      <c r="M509" s="325"/>
      <c r="N509" s="326"/>
      <c r="O509" s="264"/>
      <c r="S509" s="293"/>
    </row>
    <row r="510">
      <c r="B510" s="264"/>
      <c r="F510" s="264"/>
      <c r="G510" s="264"/>
      <c r="H510" s="264"/>
      <c r="M510" s="325"/>
      <c r="N510" s="326"/>
      <c r="O510" s="264"/>
      <c r="S510" s="293"/>
    </row>
    <row r="511">
      <c r="B511" s="264"/>
      <c r="F511" s="264"/>
      <c r="G511" s="264"/>
      <c r="H511" s="264"/>
      <c r="M511" s="325"/>
      <c r="N511" s="326"/>
      <c r="O511" s="264"/>
      <c r="S511" s="293"/>
    </row>
    <row r="512">
      <c r="B512" s="264"/>
      <c r="F512" s="264"/>
      <c r="G512" s="264"/>
      <c r="H512" s="264"/>
      <c r="M512" s="325"/>
      <c r="N512" s="326"/>
      <c r="O512" s="264"/>
      <c r="S512" s="293"/>
    </row>
    <row r="513">
      <c r="B513" s="264"/>
      <c r="F513" s="264"/>
      <c r="G513" s="264"/>
      <c r="H513" s="264"/>
      <c r="M513" s="325"/>
      <c r="N513" s="326"/>
      <c r="O513" s="264"/>
      <c r="S513" s="293"/>
    </row>
    <row r="514">
      <c r="B514" s="264"/>
      <c r="F514" s="264"/>
      <c r="G514" s="264"/>
      <c r="H514" s="264"/>
      <c r="M514" s="325"/>
      <c r="N514" s="326"/>
      <c r="O514" s="264"/>
      <c r="S514" s="293"/>
    </row>
    <row r="515">
      <c r="B515" s="264"/>
      <c r="F515" s="264"/>
      <c r="G515" s="264"/>
      <c r="H515" s="264"/>
      <c r="M515" s="325"/>
      <c r="N515" s="326"/>
      <c r="O515" s="264"/>
      <c r="S515" s="293"/>
    </row>
    <row r="516">
      <c r="B516" s="264"/>
      <c r="F516" s="264"/>
      <c r="G516" s="264"/>
      <c r="H516" s="264"/>
      <c r="M516" s="325"/>
      <c r="N516" s="326"/>
      <c r="O516" s="264"/>
      <c r="S516" s="293"/>
    </row>
    <row r="517">
      <c r="B517" s="264"/>
      <c r="F517" s="264"/>
      <c r="G517" s="264"/>
      <c r="H517" s="264"/>
      <c r="M517" s="325"/>
      <c r="N517" s="326"/>
      <c r="O517" s="264"/>
      <c r="S517" s="293"/>
    </row>
    <row r="518">
      <c r="B518" s="264"/>
      <c r="F518" s="264"/>
      <c r="G518" s="264"/>
      <c r="H518" s="264"/>
      <c r="M518" s="325"/>
      <c r="N518" s="326"/>
      <c r="O518" s="264"/>
      <c r="S518" s="293"/>
    </row>
    <row r="519">
      <c r="B519" s="264"/>
      <c r="F519" s="264"/>
      <c r="G519" s="264"/>
      <c r="H519" s="264"/>
      <c r="M519" s="325"/>
      <c r="N519" s="326"/>
      <c r="O519" s="264"/>
      <c r="S519" s="293"/>
    </row>
    <row r="520">
      <c r="B520" s="264"/>
      <c r="F520" s="264"/>
      <c r="G520" s="264"/>
      <c r="H520" s="264"/>
      <c r="M520" s="325"/>
      <c r="N520" s="326"/>
      <c r="O520" s="264"/>
      <c r="S520" s="293"/>
    </row>
    <row r="521">
      <c r="B521" s="264"/>
      <c r="F521" s="264"/>
      <c r="G521" s="264"/>
      <c r="H521" s="264"/>
      <c r="M521" s="325"/>
      <c r="N521" s="326"/>
      <c r="O521" s="264"/>
      <c r="S521" s="293"/>
    </row>
    <row r="522">
      <c r="B522" s="264"/>
      <c r="F522" s="264"/>
      <c r="G522" s="264"/>
      <c r="H522" s="264"/>
      <c r="M522" s="325"/>
      <c r="N522" s="326"/>
      <c r="O522" s="264"/>
      <c r="S522" s="293"/>
    </row>
    <row r="523">
      <c r="B523" s="264"/>
      <c r="F523" s="264"/>
      <c r="G523" s="264"/>
      <c r="H523" s="264"/>
      <c r="M523" s="325"/>
      <c r="N523" s="326"/>
      <c r="O523" s="264"/>
      <c r="S523" s="293"/>
    </row>
    <row r="524">
      <c r="B524" s="264"/>
      <c r="F524" s="264"/>
      <c r="G524" s="264"/>
      <c r="H524" s="264"/>
      <c r="M524" s="325"/>
      <c r="N524" s="326"/>
      <c r="O524" s="264"/>
      <c r="S524" s="293"/>
    </row>
    <row r="525">
      <c r="B525" s="264"/>
      <c r="F525" s="264"/>
      <c r="G525" s="264"/>
      <c r="H525" s="264"/>
      <c r="M525" s="325"/>
      <c r="N525" s="326"/>
      <c r="O525" s="264"/>
      <c r="S525" s="293"/>
    </row>
    <row r="526">
      <c r="B526" s="264"/>
      <c r="F526" s="264"/>
      <c r="G526" s="264"/>
      <c r="H526" s="264"/>
      <c r="M526" s="325"/>
      <c r="N526" s="326"/>
      <c r="O526" s="264"/>
      <c r="S526" s="293"/>
    </row>
    <row r="527">
      <c r="B527" s="264"/>
      <c r="F527" s="264"/>
      <c r="G527" s="264"/>
      <c r="H527" s="264"/>
      <c r="M527" s="325"/>
      <c r="N527" s="326"/>
      <c r="O527" s="264"/>
      <c r="S527" s="293"/>
    </row>
    <row r="528">
      <c r="B528" s="264"/>
      <c r="F528" s="264"/>
      <c r="G528" s="264"/>
      <c r="H528" s="264"/>
      <c r="M528" s="325"/>
      <c r="N528" s="326"/>
      <c r="O528" s="264"/>
      <c r="S528" s="293"/>
    </row>
    <row r="529">
      <c r="B529" s="264"/>
      <c r="F529" s="264"/>
      <c r="G529" s="264"/>
      <c r="H529" s="264"/>
      <c r="M529" s="325"/>
      <c r="N529" s="326"/>
      <c r="O529" s="264"/>
      <c r="S529" s="293"/>
    </row>
    <row r="530">
      <c r="B530" s="264"/>
      <c r="F530" s="264"/>
      <c r="G530" s="264"/>
      <c r="H530" s="264"/>
      <c r="M530" s="325"/>
      <c r="N530" s="326"/>
      <c r="O530" s="264"/>
      <c r="S530" s="293"/>
    </row>
    <row r="531">
      <c r="B531" s="264"/>
      <c r="F531" s="264"/>
      <c r="G531" s="264"/>
      <c r="H531" s="264"/>
      <c r="M531" s="325"/>
      <c r="N531" s="326"/>
      <c r="O531" s="264"/>
      <c r="S531" s="293"/>
    </row>
    <row r="532">
      <c r="B532" s="264"/>
      <c r="F532" s="264"/>
      <c r="G532" s="264"/>
      <c r="H532" s="264"/>
      <c r="M532" s="325"/>
      <c r="N532" s="326"/>
      <c r="O532" s="264"/>
      <c r="S532" s="293"/>
    </row>
    <row r="533">
      <c r="B533" s="264"/>
      <c r="F533" s="264"/>
      <c r="G533" s="264"/>
      <c r="H533" s="264"/>
      <c r="M533" s="325"/>
      <c r="N533" s="326"/>
      <c r="O533" s="264"/>
      <c r="S533" s="293"/>
    </row>
    <row r="534">
      <c r="B534" s="264"/>
      <c r="F534" s="264"/>
      <c r="G534" s="264"/>
      <c r="H534" s="264"/>
      <c r="M534" s="325"/>
      <c r="N534" s="326"/>
      <c r="O534" s="264"/>
      <c r="S534" s="293"/>
    </row>
    <row r="535">
      <c r="B535" s="264"/>
      <c r="F535" s="264"/>
      <c r="G535" s="264"/>
      <c r="H535" s="264"/>
      <c r="M535" s="325"/>
      <c r="N535" s="326"/>
      <c r="O535" s="264"/>
      <c r="S535" s="293"/>
    </row>
    <row r="536">
      <c r="B536" s="264"/>
      <c r="F536" s="264"/>
      <c r="G536" s="264"/>
      <c r="H536" s="264"/>
      <c r="M536" s="325"/>
      <c r="N536" s="326"/>
      <c r="O536" s="264"/>
      <c r="S536" s="293"/>
    </row>
    <row r="537">
      <c r="B537" s="264"/>
      <c r="F537" s="264"/>
      <c r="G537" s="264"/>
      <c r="H537" s="264"/>
      <c r="M537" s="325"/>
      <c r="N537" s="326"/>
      <c r="O537" s="264"/>
      <c r="S537" s="293"/>
    </row>
    <row r="538">
      <c r="B538" s="264"/>
      <c r="F538" s="264"/>
      <c r="G538" s="264"/>
      <c r="H538" s="264"/>
      <c r="M538" s="325"/>
      <c r="N538" s="326"/>
      <c r="O538" s="264"/>
      <c r="S538" s="293"/>
    </row>
    <row r="539">
      <c r="B539" s="264"/>
      <c r="F539" s="264"/>
      <c r="G539" s="264"/>
      <c r="H539" s="264"/>
      <c r="M539" s="325"/>
      <c r="N539" s="326"/>
      <c r="O539" s="264"/>
      <c r="S539" s="293"/>
    </row>
    <row r="540">
      <c r="B540" s="264"/>
      <c r="F540" s="264"/>
      <c r="G540" s="264"/>
      <c r="H540" s="264"/>
      <c r="M540" s="325"/>
      <c r="N540" s="326"/>
      <c r="O540" s="264"/>
      <c r="S540" s="293"/>
    </row>
    <row r="541">
      <c r="B541" s="264"/>
      <c r="F541" s="264"/>
      <c r="G541" s="264"/>
      <c r="H541" s="264"/>
      <c r="M541" s="325"/>
      <c r="N541" s="326"/>
      <c r="O541" s="264"/>
      <c r="S541" s="293"/>
    </row>
    <row r="542">
      <c r="B542" s="264"/>
      <c r="F542" s="264"/>
      <c r="G542" s="264"/>
      <c r="H542" s="264"/>
      <c r="M542" s="325"/>
      <c r="N542" s="326"/>
      <c r="O542" s="264"/>
      <c r="S542" s="293"/>
    </row>
    <row r="543">
      <c r="B543" s="264"/>
      <c r="F543" s="264"/>
      <c r="G543" s="264"/>
      <c r="H543" s="264"/>
      <c r="M543" s="325"/>
      <c r="N543" s="326"/>
      <c r="O543" s="264"/>
      <c r="S543" s="293"/>
    </row>
    <row r="544">
      <c r="B544" s="264"/>
      <c r="F544" s="264"/>
      <c r="G544" s="264"/>
      <c r="H544" s="264"/>
      <c r="M544" s="325"/>
      <c r="N544" s="326"/>
      <c r="O544" s="264"/>
      <c r="S544" s="293"/>
    </row>
    <row r="545">
      <c r="B545" s="264"/>
      <c r="F545" s="264"/>
      <c r="G545" s="264"/>
      <c r="H545" s="264"/>
      <c r="M545" s="325"/>
      <c r="N545" s="326"/>
      <c r="O545" s="264"/>
      <c r="S545" s="293"/>
    </row>
    <row r="546">
      <c r="B546" s="264"/>
      <c r="F546" s="264"/>
      <c r="G546" s="264"/>
      <c r="H546" s="264"/>
      <c r="M546" s="325"/>
      <c r="N546" s="326"/>
      <c r="O546" s="264"/>
      <c r="S546" s="293"/>
    </row>
    <row r="547">
      <c r="B547" s="264"/>
      <c r="F547" s="264"/>
      <c r="G547" s="264"/>
      <c r="H547" s="264"/>
      <c r="M547" s="325"/>
      <c r="N547" s="326"/>
      <c r="O547" s="264"/>
      <c r="S547" s="293"/>
    </row>
    <row r="548">
      <c r="B548" s="264"/>
      <c r="F548" s="264"/>
      <c r="G548" s="264"/>
      <c r="H548" s="264"/>
      <c r="M548" s="325"/>
      <c r="N548" s="326"/>
      <c r="O548" s="264"/>
      <c r="S548" s="293"/>
    </row>
    <row r="549">
      <c r="B549" s="264"/>
      <c r="F549" s="264"/>
      <c r="G549" s="264"/>
      <c r="H549" s="264"/>
      <c r="M549" s="325"/>
      <c r="N549" s="326"/>
      <c r="O549" s="264"/>
      <c r="S549" s="293"/>
    </row>
    <row r="550">
      <c r="B550" s="264"/>
      <c r="F550" s="264"/>
      <c r="G550" s="264"/>
      <c r="H550" s="264"/>
      <c r="M550" s="325"/>
      <c r="N550" s="326"/>
      <c r="O550" s="264"/>
      <c r="S550" s="293"/>
    </row>
    <row r="551">
      <c r="B551" s="264"/>
      <c r="F551" s="264"/>
      <c r="G551" s="264"/>
      <c r="H551" s="264"/>
      <c r="M551" s="325"/>
      <c r="N551" s="326"/>
      <c r="O551" s="264"/>
      <c r="S551" s="293"/>
    </row>
    <row r="552">
      <c r="B552" s="264"/>
      <c r="F552" s="264"/>
      <c r="G552" s="264"/>
      <c r="H552" s="264"/>
      <c r="M552" s="325"/>
      <c r="N552" s="326"/>
      <c r="O552" s="264"/>
      <c r="S552" s="293"/>
    </row>
    <row r="553">
      <c r="B553" s="264"/>
      <c r="F553" s="264"/>
      <c r="G553" s="264"/>
      <c r="H553" s="264"/>
      <c r="M553" s="325"/>
      <c r="N553" s="326"/>
      <c r="O553" s="264"/>
      <c r="S553" s="293"/>
    </row>
    <row r="554">
      <c r="B554" s="264"/>
      <c r="F554" s="264"/>
      <c r="G554" s="264"/>
      <c r="H554" s="264"/>
      <c r="M554" s="325"/>
      <c r="N554" s="326"/>
      <c r="O554" s="264"/>
      <c r="S554" s="293"/>
    </row>
    <row r="555">
      <c r="B555" s="264"/>
      <c r="F555" s="264"/>
      <c r="G555" s="264"/>
      <c r="H555" s="264"/>
      <c r="M555" s="325"/>
      <c r="N555" s="326"/>
      <c r="O555" s="264"/>
      <c r="S555" s="293"/>
    </row>
    <row r="556">
      <c r="B556" s="264"/>
      <c r="F556" s="264"/>
      <c r="G556" s="264"/>
      <c r="H556" s="264"/>
      <c r="M556" s="325"/>
      <c r="N556" s="326"/>
      <c r="O556" s="264"/>
      <c r="S556" s="293"/>
    </row>
    <row r="557">
      <c r="B557" s="264"/>
      <c r="F557" s="264"/>
      <c r="G557" s="264"/>
      <c r="H557" s="264"/>
      <c r="M557" s="325"/>
      <c r="N557" s="326"/>
      <c r="O557" s="264"/>
      <c r="S557" s="293"/>
    </row>
    <row r="558">
      <c r="B558" s="264"/>
      <c r="F558" s="264"/>
      <c r="G558" s="264"/>
      <c r="H558" s="264"/>
      <c r="M558" s="325"/>
      <c r="N558" s="326"/>
      <c r="O558" s="264"/>
      <c r="S558" s="293"/>
    </row>
    <row r="559">
      <c r="B559" s="264"/>
      <c r="F559" s="264"/>
      <c r="G559" s="264"/>
      <c r="H559" s="264"/>
      <c r="M559" s="325"/>
      <c r="N559" s="326"/>
      <c r="O559" s="264"/>
      <c r="S559" s="293"/>
    </row>
    <row r="560">
      <c r="B560" s="264"/>
      <c r="F560" s="264"/>
      <c r="G560" s="264"/>
      <c r="H560" s="264"/>
      <c r="M560" s="325"/>
      <c r="N560" s="326"/>
      <c r="O560" s="264"/>
      <c r="S560" s="293"/>
    </row>
    <row r="561">
      <c r="B561" s="264"/>
      <c r="F561" s="264"/>
      <c r="G561" s="264"/>
      <c r="H561" s="264"/>
      <c r="M561" s="325"/>
      <c r="N561" s="326"/>
      <c r="O561" s="264"/>
      <c r="S561" s="293"/>
    </row>
    <row r="562">
      <c r="B562" s="264"/>
      <c r="F562" s="264"/>
      <c r="G562" s="264"/>
      <c r="H562" s="264"/>
      <c r="M562" s="325"/>
      <c r="N562" s="326"/>
      <c r="O562" s="264"/>
      <c r="S562" s="293"/>
    </row>
    <row r="563">
      <c r="B563" s="264"/>
      <c r="F563" s="264"/>
      <c r="G563" s="264"/>
      <c r="H563" s="264"/>
      <c r="M563" s="325"/>
      <c r="N563" s="326"/>
      <c r="O563" s="264"/>
      <c r="S563" s="293"/>
    </row>
    <row r="564">
      <c r="B564" s="264"/>
      <c r="F564" s="264"/>
      <c r="G564" s="264"/>
      <c r="H564" s="264"/>
      <c r="M564" s="325"/>
      <c r="N564" s="326"/>
      <c r="O564" s="264"/>
      <c r="S564" s="293"/>
    </row>
    <row r="565">
      <c r="B565" s="264"/>
      <c r="F565" s="264"/>
      <c r="G565" s="264"/>
      <c r="H565" s="264"/>
      <c r="M565" s="325"/>
      <c r="N565" s="326"/>
      <c r="O565" s="264"/>
      <c r="S565" s="293"/>
    </row>
    <row r="566">
      <c r="B566" s="264"/>
      <c r="F566" s="264"/>
      <c r="G566" s="264"/>
      <c r="H566" s="264"/>
      <c r="M566" s="325"/>
      <c r="N566" s="326"/>
      <c r="O566" s="264"/>
      <c r="S566" s="293"/>
    </row>
    <row r="567">
      <c r="B567" s="264"/>
      <c r="F567" s="264"/>
      <c r="G567" s="264"/>
      <c r="H567" s="264"/>
      <c r="M567" s="325"/>
      <c r="N567" s="326"/>
      <c r="O567" s="264"/>
      <c r="S567" s="293"/>
    </row>
    <row r="568">
      <c r="B568" s="264"/>
      <c r="F568" s="264"/>
      <c r="G568" s="264"/>
      <c r="H568" s="264"/>
      <c r="M568" s="325"/>
      <c r="N568" s="326"/>
      <c r="O568" s="264"/>
      <c r="S568" s="293"/>
    </row>
    <row r="569">
      <c r="B569" s="264"/>
      <c r="F569" s="264"/>
      <c r="G569" s="264"/>
      <c r="H569" s="264"/>
      <c r="M569" s="325"/>
      <c r="N569" s="326"/>
      <c r="O569" s="264"/>
      <c r="S569" s="293"/>
    </row>
    <row r="570">
      <c r="B570" s="264"/>
      <c r="F570" s="264"/>
      <c r="G570" s="264"/>
      <c r="H570" s="264"/>
      <c r="M570" s="325"/>
      <c r="N570" s="326"/>
      <c r="O570" s="264"/>
      <c r="S570" s="293"/>
    </row>
    <row r="571">
      <c r="B571" s="264"/>
      <c r="F571" s="264"/>
      <c r="G571" s="264"/>
      <c r="H571" s="264"/>
      <c r="M571" s="325"/>
      <c r="N571" s="326"/>
      <c r="O571" s="264"/>
      <c r="S571" s="293"/>
    </row>
    <row r="572">
      <c r="B572" s="264"/>
      <c r="F572" s="264"/>
      <c r="G572" s="264"/>
      <c r="H572" s="264"/>
      <c r="M572" s="325"/>
      <c r="N572" s="326"/>
      <c r="O572" s="264"/>
      <c r="S572" s="293"/>
    </row>
    <row r="573">
      <c r="B573" s="264"/>
      <c r="F573" s="264"/>
      <c r="G573" s="264"/>
      <c r="H573" s="264"/>
      <c r="M573" s="325"/>
      <c r="N573" s="326"/>
      <c r="O573" s="264"/>
      <c r="S573" s="293"/>
    </row>
    <row r="574">
      <c r="B574" s="264"/>
      <c r="F574" s="264"/>
      <c r="G574" s="264"/>
      <c r="H574" s="264"/>
      <c r="M574" s="325"/>
      <c r="N574" s="326"/>
      <c r="O574" s="264"/>
      <c r="S574" s="293"/>
    </row>
    <row r="575">
      <c r="B575" s="264"/>
      <c r="F575" s="264"/>
      <c r="G575" s="264"/>
      <c r="H575" s="264"/>
      <c r="M575" s="325"/>
      <c r="N575" s="326"/>
      <c r="O575" s="264"/>
      <c r="S575" s="293"/>
    </row>
    <row r="576">
      <c r="B576" s="264"/>
      <c r="F576" s="264"/>
      <c r="G576" s="264"/>
      <c r="H576" s="264"/>
      <c r="M576" s="325"/>
      <c r="N576" s="326"/>
      <c r="O576" s="264"/>
      <c r="S576" s="293"/>
    </row>
    <row r="577">
      <c r="B577" s="264"/>
      <c r="F577" s="264"/>
      <c r="G577" s="264"/>
      <c r="H577" s="264"/>
      <c r="M577" s="325"/>
      <c r="N577" s="326"/>
      <c r="O577" s="264"/>
      <c r="S577" s="293"/>
    </row>
    <row r="578">
      <c r="B578" s="264"/>
      <c r="F578" s="264"/>
      <c r="G578" s="264"/>
      <c r="H578" s="264"/>
      <c r="M578" s="325"/>
      <c r="N578" s="326"/>
      <c r="O578" s="264"/>
      <c r="S578" s="293"/>
    </row>
    <row r="579">
      <c r="B579" s="264"/>
      <c r="F579" s="264"/>
      <c r="G579" s="264"/>
      <c r="H579" s="264"/>
      <c r="M579" s="325"/>
      <c r="N579" s="326"/>
      <c r="O579" s="264"/>
      <c r="S579" s="293"/>
    </row>
    <row r="580">
      <c r="B580" s="264"/>
      <c r="F580" s="264"/>
      <c r="G580" s="264"/>
      <c r="H580" s="264"/>
      <c r="M580" s="325"/>
      <c r="N580" s="326"/>
      <c r="O580" s="264"/>
      <c r="S580" s="293"/>
    </row>
    <row r="581">
      <c r="B581" s="264"/>
      <c r="F581" s="264"/>
      <c r="G581" s="264"/>
      <c r="H581" s="264"/>
      <c r="M581" s="325"/>
      <c r="N581" s="326"/>
      <c r="O581" s="264"/>
      <c r="S581" s="293"/>
    </row>
    <row r="582">
      <c r="B582" s="264"/>
      <c r="F582" s="264"/>
      <c r="G582" s="264"/>
      <c r="H582" s="264"/>
      <c r="M582" s="325"/>
      <c r="N582" s="326"/>
      <c r="O582" s="264"/>
      <c r="S582" s="293"/>
    </row>
    <row r="583">
      <c r="B583" s="264"/>
      <c r="F583" s="264"/>
      <c r="G583" s="264"/>
      <c r="H583" s="264"/>
      <c r="M583" s="325"/>
      <c r="N583" s="326"/>
      <c r="O583" s="264"/>
      <c r="S583" s="293"/>
    </row>
    <row r="584">
      <c r="B584" s="264"/>
      <c r="F584" s="264"/>
      <c r="G584" s="264"/>
      <c r="H584" s="264"/>
      <c r="M584" s="325"/>
      <c r="N584" s="326"/>
      <c r="O584" s="264"/>
      <c r="S584" s="293"/>
    </row>
    <row r="585">
      <c r="B585" s="264"/>
      <c r="F585" s="264"/>
      <c r="G585" s="264"/>
      <c r="H585" s="264"/>
      <c r="M585" s="325"/>
      <c r="N585" s="326"/>
      <c r="O585" s="264"/>
      <c r="S585" s="293"/>
    </row>
    <row r="586">
      <c r="B586" s="264"/>
      <c r="F586" s="264"/>
      <c r="G586" s="264"/>
      <c r="H586" s="264"/>
      <c r="M586" s="325"/>
      <c r="N586" s="326"/>
      <c r="O586" s="264"/>
      <c r="S586" s="293"/>
    </row>
    <row r="587">
      <c r="B587" s="264"/>
      <c r="F587" s="264"/>
      <c r="G587" s="264"/>
      <c r="H587" s="264"/>
      <c r="M587" s="325"/>
      <c r="N587" s="326"/>
      <c r="O587" s="264"/>
      <c r="S587" s="293"/>
    </row>
    <row r="588">
      <c r="B588" s="264"/>
      <c r="F588" s="264"/>
      <c r="G588" s="264"/>
      <c r="H588" s="264"/>
      <c r="M588" s="325"/>
      <c r="N588" s="326"/>
      <c r="O588" s="264"/>
      <c r="S588" s="293"/>
    </row>
    <row r="589">
      <c r="B589" s="264"/>
      <c r="F589" s="264"/>
      <c r="G589" s="264"/>
      <c r="H589" s="264"/>
      <c r="M589" s="325"/>
      <c r="N589" s="326"/>
      <c r="O589" s="264"/>
      <c r="S589" s="293"/>
    </row>
    <row r="590">
      <c r="B590" s="264"/>
      <c r="F590" s="264"/>
      <c r="G590" s="264"/>
      <c r="H590" s="264"/>
      <c r="M590" s="325"/>
      <c r="N590" s="326"/>
      <c r="O590" s="264"/>
      <c r="S590" s="293"/>
    </row>
    <row r="591">
      <c r="B591" s="264"/>
      <c r="F591" s="264"/>
      <c r="G591" s="264"/>
      <c r="H591" s="264"/>
      <c r="M591" s="325"/>
      <c r="N591" s="326"/>
      <c r="O591" s="264"/>
      <c r="S591" s="293"/>
    </row>
    <row r="592">
      <c r="B592" s="264"/>
      <c r="F592" s="264"/>
      <c r="G592" s="264"/>
      <c r="H592" s="264"/>
      <c r="M592" s="325"/>
      <c r="N592" s="326"/>
      <c r="O592" s="264"/>
      <c r="S592" s="293"/>
    </row>
    <row r="593">
      <c r="B593" s="264"/>
      <c r="F593" s="264"/>
      <c r="G593" s="264"/>
      <c r="H593" s="264"/>
      <c r="M593" s="325"/>
      <c r="N593" s="326"/>
      <c r="O593" s="264"/>
      <c r="S593" s="293"/>
    </row>
    <row r="594">
      <c r="B594" s="264"/>
      <c r="F594" s="264"/>
      <c r="G594" s="264"/>
      <c r="H594" s="264"/>
      <c r="M594" s="325"/>
      <c r="N594" s="326"/>
      <c r="O594" s="264"/>
      <c r="S594" s="293"/>
    </row>
    <row r="595">
      <c r="B595" s="264"/>
      <c r="F595" s="264"/>
      <c r="G595" s="264"/>
      <c r="H595" s="264"/>
      <c r="M595" s="325"/>
      <c r="N595" s="326"/>
      <c r="O595" s="264"/>
      <c r="S595" s="293"/>
    </row>
    <row r="596">
      <c r="B596" s="264"/>
      <c r="F596" s="264"/>
      <c r="G596" s="264"/>
      <c r="H596" s="264"/>
      <c r="M596" s="325"/>
      <c r="N596" s="326"/>
      <c r="O596" s="264"/>
      <c r="S596" s="293"/>
    </row>
    <row r="597">
      <c r="B597" s="264"/>
      <c r="F597" s="264"/>
      <c r="G597" s="264"/>
      <c r="H597" s="264"/>
      <c r="M597" s="325"/>
      <c r="N597" s="326"/>
      <c r="O597" s="264"/>
      <c r="S597" s="293"/>
    </row>
    <row r="598">
      <c r="B598" s="264"/>
      <c r="F598" s="264"/>
      <c r="G598" s="264"/>
      <c r="H598" s="264"/>
      <c r="M598" s="325"/>
      <c r="N598" s="326"/>
      <c r="O598" s="264"/>
      <c r="S598" s="293"/>
    </row>
    <row r="599">
      <c r="B599" s="264"/>
      <c r="F599" s="264"/>
      <c r="G599" s="264"/>
      <c r="H599" s="264"/>
      <c r="M599" s="325"/>
      <c r="N599" s="326"/>
      <c r="O599" s="264"/>
      <c r="S599" s="293"/>
    </row>
    <row r="600">
      <c r="B600" s="264"/>
      <c r="F600" s="264"/>
      <c r="G600" s="264"/>
      <c r="H600" s="264"/>
      <c r="M600" s="325"/>
      <c r="N600" s="326"/>
      <c r="O600" s="264"/>
      <c r="S600" s="293"/>
    </row>
    <row r="601">
      <c r="B601" s="264"/>
      <c r="F601" s="264"/>
      <c r="G601" s="264"/>
      <c r="H601" s="264"/>
      <c r="M601" s="325"/>
      <c r="N601" s="326"/>
      <c r="O601" s="264"/>
      <c r="S601" s="293"/>
    </row>
    <row r="602">
      <c r="B602" s="264"/>
      <c r="F602" s="264"/>
      <c r="G602" s="264"/>
      <c r="H602" s="264"/>
      <c r="M602" s="325"/>
      <c r="N602" s="326"/>
      <c r="O602" s="264"/>
      <c r="S602" s="293"/>
    </row>
    <row r="603">
      <c r="B603" s="264"/>
      <c r="F603" s="264"/>
      <c r="G603" s="264"/>
      <c r="H603" s="264"/>
      <c r="M603" s="325"/>
      <c r="N603" s="326"/>
      <c r="O603" s="264"/>
      <c r="S603" s="293"/>
    </row>
    <row r="604">
      <c r="B604" s="264"/>
      <c r="F604" s="264"/>
      <c r="G604" s="264"/>
      <c r="H604" s="264"/>
      <c r="M604" s="325"/>
      <c r="N604" s="326"/>
      <c r="O604" s="264"/>
      <c r="S604" s="293"/>
    </row>
    <row r="605">
      <c r="B605" s="264"/>
      <c r="F605" s="264"/>
      <c r="G605" s="264"/>
      <c r="H605" s="264"/>
      <c r="M605" s="325"/>
      <c r="N605" s="326"/>
      <c r="O605" s="264"/>
      <c r="S605" s="293"/>
    </row>
    <row r="606">
      <c r="B606" s="264"/>
      <c r="F606" s="264"/>
      <c r="G606" s="264"/>
      <c r="H606" s="264"/>
      <c r="M606" s="325"/>
      <c r="N606" s="326"/>
      <c r="O606" s="264"/>
      <c r="S606" s="293"/>
    </row>
    <row r="607">
      <c r="B607" s="264"/>
      <c r="F607" s="264"/>
      <c r="G607" s="264"/>
      <c r="H607" s="264"/>
      <c r="M607" s="325"/>
      <c r="N607" s="326"/>
      <c r="O607" s="264"/>
      <c r="S607" s="293"/>
    </row>
    <row r="608">
      <c r="B608" s="264"/>
      <c r="F608" s="264"/>
      <c r="G608" s="264"/>
      <c r="H608" s="264"/>
      <c r="M608" s="325"/>
      <c r="N608" s="326"/>
      <c r="O608" s="264"/>
      <c r="S608" s="293"/>
    </row>
    <row r="609">
      <c r="B609" s="264"/>
      <c r="F609" s="264"/>
      <c r="G609" s="264"/>
      <c r="H609" s="264"/>
      <c r="M609" s="325"/>
      <c r="N609" s="326"/>
      <c r="O609" s="264"/>
      <c r="S609" s="293"/>
    </row>
    <row r="610">
      <c r="B610" s="264"/>
      <c r="F610" s="264"/>
      <c r="G610" s="264"/>
      <c r="H610" s="264"/>
      <c r="M610" s="325"/>
      <c r="N610" s="326"/>
      <c r="O610" s="264"/>
      <c r="S610" s="293"/>
    </row>
    <row r="611">
      <c r="B611" s="264"/>
      <c r="F611" s="264"/>
      <c r="G611" s="264"/>
      <c r="H611" s="264"/>
      <c r="M611" s="325"/>
      <c r="N611" s="326"/>
      <c r="O611" s="264"/>
      <c r="S611" s="293"/>
    </row>
    <row r="612">
      <c r="B612" s="264"/>
      <c r="F612" s="264"/>
      <c r="G612" s="264"/>
      <c r="H612" s="264"/>
      <c r="M612" s="325"/>
      <c r="N612" s="326"/>
      <c r="O612" s="264"/>
      <c r="S612" s="293"/>
    </row>
    <row r="613">
      <c r="B613" s="264"/>
      <c r="F613" s="264"/>
      <c r="G613" s="264"/>
      <c r="H613" s="264"/>
      <c r="M613" s="325"/>
      <c r="N613" s="326"/>
      <c r="O613" s="264"/>
      <c r="S613" s="293"/>
    </row>
    <row r="614">
      <c r="B614" s="264"/>
      <c r="F614" s="264"/>
      <c r="G614" s="264"/>
      <c r="H614" s="264"/>
      <c r="M614" s="325"/>
      <c r="N614" s="326"/>
      <c r="O614" s="264"/>
      <c r="S614" s="293"/>
    </row>
    <row r="615">
      <c r="B615" s="264"/>
      <c r="F615" s="264"/>
      <c r="G615" s="264"/>
      <c r="H615" s="264"/>
      <c r="M615" s="325"/>
      <c r="N615" s="326"/>
      <c r="O615" s="264"/>
      <c r="S615" s="293"/>
    </row>
    <row r="616">
      <c r="B616" s="264"/>
      <c r="F616" s="264"/>
      <c r="G616" s="264"/>
      <c r="H616" s="264"/>
      <c r="M616" s="325"/>
      <c r="N616" s="326"/>
      <c r="O616" s="264"/>
      <c r="S616" s="293"/>
    </row>
    <row r="617">
      <c r="B617" s="264"/>
      <c r="F617" s="264"/>
      <c r="G617" s="264"/>
      <c r="H617" s="264"/>
      <c r="M617" s="325"/>
      <c r="N617" s="326"/>
      <c r="O617" s="264"/>
      <c r="S617" s="293"/>
    </row>
    <row r="618">
      <c r="B618" s="264"/>
      <c r="F618" s="264"/>
      <c r="G618" s="264"/>
      <c r="H618" s="264"/>
      <c r="M618" s="325"/>
      <c r="N618" s="326"/>
      <c r="O618" s="264"/>
      <c r="S618" s="293"/>
    </row>
    <row r="619">
      <c r="B619" s="264"/>
      <c r="F619" s="264"/>
      <c r="G619" s="264"/>
      <c r="H619" s="264"/>
      <c r="M619" s="325"/>
      <c r="N619" s="326"/>
      <c r="O619" s="264"/>
      <c r="S619" s="293"/>
    </row>
    <row r="620">
      <c r="B620" s="264"/>
      <c r="F620" s="264"/>
      <c r="G620" s="264"/>
      <c r="H620" s="264"/>
      <c r="M620" s="325"/>
      <c r="N620" s="326"/>
      <c r="O620" s="264"/>
      <c r="S620" s="293"/>
    </row>
    <row r="621">
      <c r="B621" s="264"/>
      <c r="F621" s="264"/>
      <c r="G621" s="264"/>
      <c r="H621" s="264"/>
      <c r="M621" s="325"/>
      <c r="N621" s="326"/>
      <c r="O621" s="264"/>
      <c r="S621" s="293"/>
    </row>
    <row r="622">
      <c r="B622" s="264"/>
      <c r="F622" s="264"/>
      <c r="G622" s="264"/>
      <c r="H622" s="264"/>
      <c r="M622" s="325"/>
      <c r="N622" s="326"/>
      <c r="O622" s="264"/>
      <c r="S622" s="293"/>
    </row>
    <row r="623">
      <c r="B623" s="264"/>
      <c r="F623" s="264"/>
      <c r="G623" s="264"/>
      <c r="H623" s="264"/>
      <c r="M623" s="325"/>
      <c r="N623" s="326"/>
      <c r="O623" s="264"/>
      <c r="S623" s="293"/>
    </row>
    <row r="624">
      <c r="B624" s="264"/>
      <c r="F624" s="264"/>
      <c r="G624" s="264"/>
      <c r="H624" s="264"/>
      <c r="M624" s="325"/>
      <c r="N624" s="326"/>
      <c r="O624" s="264"/>
      <c r="S624" s="293"/>
    </row>
    <row r="625">
      <c r="B625" s="264"/>
      <c r="F625" s="264"/>
      <c r="G625" s="264"/>
      <c r="H625" s="264"/>
      <c r="M625" s="325"/>
      <c r="N625" s="326"/>
      <c r="O625" s="264"/>
      <c r="S625" s="293"/>
    </row>
    <row r="626">
      <c r="B626" s="264"/>
      <c r="F626" s="264"/>
      <c r="G626" s="264"/>
      <c r="H626" s="264"/>
      <c r="M626" s="325"/>
      <c r="N626" s="326"/>
      <c r="O626" s="264"/>
      <c r="S626" s="293"/>
    </row>
    <row r="627">
      <c r="B627" s="264"/>
      <c r="F627" s="264"/>
      <c r="G627" s="264"/>
      <c r="H627" s="264"/>
      <c r="M627" s="325"/>
      <c r="N627" s="326"/>
      <c r="O627" s="264"/>
      <c r="S627" s="293"/>
    </row>
    <row r="628">
      <c r="B628" s="264"/>
      <c r="F628" s="264"/>
      <c r="G628" s="264"/>
      <c r="H628" s="264"/>
      <c r="M628" s="325"/>
      <c r="N628" s="326"/>
      <c r="O628" s="264"/>
      <c r="S628" s="293"/>
    </row>
    <row r="629">
      <c r="B629" s="264"/>
      <c r="F629" s="264"/>
      <c r="G629" s="264"/>
      <c r="H629" s="264"/>
      <c r="M629" s="325"/>
      <c r="N629" s="326"/>
      <c r="O629" s="264"/>
      <c r="S629" s="293"/>
    </row>
    <row r="630">
      <c r="B630" s="264"/>
      <c r="F630" s="264"/>
      <c r="G630" s="264"/>
      <c r="H630" s="264"/>
      <c r="M630" s="325"/>
      <c r="N630" s="326"/>
      <c r="O630" s="264"/>
      <c r="S630" s="293"/>
    </row>
    <row r="631">
      <c r="B631" s="264"/>
      <c r="F631" s="264"/>
      <c r="G631" s="264"/>
      <c r="H631" s="264"/>
      <c r="M631" s="325"/>
      <c r="N631" s="326"/>
      <c r="O631" s="264"/>
      <c r="S631" s="293"/>
    </row>
    <row r="632">
      <c r="B632" s="264"/>
      <c r="F632" s="264"/>
      <c r="G632" s="264"/>
      <c r="H632" s="264"/>
      <c r="M632" s="325"/>
      <c r="N632" s="326"/>
      <c r="O632" s="264"/>
      <c r="S632" s="293"/>
    </row>
    <row r="633">
      <c r="B633" s="264"/>
      <c r="F633" s="264"/>
      <c r="G633" s="264"/>
      <c r="H633" s="264"/>
      <c r="M633" s="325"/>
      <c r="N633" s="326"/>
      <c r="O633" s="264"/>
      <c r="S633" s="293"/>
    </row>
    <row r="634">
      <c r="B634" s="264"/>
      <c r="F634" s="264"/>
      <c r="G634" s="264"/>
      <c r="H634" s="264"/>
      <c r="M634" s="325"/>
      <c r="N634" s="326"/>
      <c r="O634" s="264"/>
      <c r="S634" s="293"/>
    </row>
    <row r="635">
      <c r="B635" s="264"/>
      <c r="F635" s="264"/>
      <c r="G635" s="264"/>
      <c r="H635" s="264"/>
      <c r="M635" s="325"/>
      <c r="N635" s="326"/>
      <c r="O635" s="264"/>
      <c r="S635" s="293"/>
    </row>
    <row r="636">
      <c r="B636" s="264"/>
      <c r="F636" s="264"/>
      <c r="G636" s="264"/>
      <c r="H636" s="264"/>
      <c r="M636" s="325"/>
      <c r="N636" s="326"/>
      <c r="O636" s="264"/>
      <c r="S636" s="293"/>
    </row>
    <row r="637">
      <c r="B637" s="264"/>
      <c r="F637" s="264"/>
      <c r="G637" s="264"/>
      <c r="H637" s="264"/>
      <c r="M637" s="325"/>
      <c r="N637" s="326"/>
      <c r="O637" s="264"/>
      <c r="S637" s="293"/>
    </row>
    <row r="638">
      <c r="B638" s="264"/>
      <c r="F638" s="264"/>
      <c r="G638" s="264"/>
      <c r="H638" s="264"/>
      <c r="M638" s="325"/>
      <c r="N638" s="326"/>
      <c r="O638" s="264"/>
      <c r="S638" s="293"/>
    </row>
    <row r="639">
      <c r="B639" s="264"/>
      <c r="F639" s="264"/>
      <c r="G639" s="264"/>
      <c r="H639" s="264"/>
      <c r="M639" s="325"/>
      <c r="N639" s="326"/>
      <c r="O639" s="264"/>
      <c r="S639" s="293"/>
    </row>
    <row r="640">
      <c r="B640" s="264"/>
      <c r="F640" s="264"/>
      <c r="G640" s="264"/>
      <c r="H640" s="264"/>
      <c r="M640" s="325"/>
      <c r="N640" s="326"/>
      <c r="O640" s="264"/>
      <c r="S640" s="293"/>
    </row>
    <row r="641">
      <c r="B641" s="264"/>
      <c r="F641" s="264"/>
      <c r="G641" s="264"/>
      <c r="H641" s="264"/>
      <c r="M641" s="325"/>
      <c r="N641" s="326"/>
      <c r="O641" s="264"/>
      <c r="S641" s="293"/>
    </row>
    <row r="642">
      <c r="B642" s="264"/>
      <c r="F642" s="264"/>
      <c r="G642" s="264"/>
      <c r="H642" s="264"/>
      <c r="M642" s="325"/>
      <c r="N642" s="326"/>
      <c r="O642" s="264"/>
      <c r="S642" s="293"/>
    </row>
    <row r="643">
      <c r="B643" s="264"/>
      <c r="F643" s="264"/>
      <c r="G643" s="264"/>
      <c r="H643" s="264"/>
      <c r="M643" s="325"/>
      <c r="N643" s="326"/>
      <c r="O643" s="264"/>
      <c r="S643" s="293"/>
    </row>
    <row r="644">
      <c r="B644" s="264"/>
      <c r="F644" s="264"/>
      <c r="G644" s="264"/>
      <c r="H644" s="264"/>
      <c r="M644" s="325"/>
      <c r="N644" s="326"/>
      <c r="O644" s="264"/>
      <c r="S644" s="293"/>
    </row>
    <row r="645">
      <c r="B645" s="264"/>
      <c r="F645" s="264"/>
      <c r="G645" s="264"/>
      <c r="H645" s="264"/>
      <c r="M645" s="325"/>
      <c r="N645" s="326"/>
      <c r="O645" s="264"/>
      <c r="S645" s="293"/>
    </row>
    <row r="646">
      <c r="B646" s="264"/>
      <c r="F646" s="264"/>
      <c r="G646" s="264"/>
      <c r="H646" s="264"/>
      <c r="M646" s="325"/>
      <c r="N646" s="326"/>
      <c r="O646" s="264"/>
      <c r="S646" s="293"/>
    </row>
    <row r="647">
      <c r="B647" s="264"/>
      <c r="F647" s="264"/>
      <c r="G647" s="264"/>
      <c r="H647" s="264"/>
      <c r="M647" s="325"/>
      <c r="N647" s="326"/>
      <c r="O647" s="264"/>
      <c r="S647" s="293"/>
    </row>
    <row r="648">
      <c r="B648" s="264"/>
      <c r="F648" s="264"/>
      <c r="G648" s="264"/>
      <c r="H648" s="264"/>
      <c r="M648" s="325"/>
      <c r="N648" s="326"/>
      <c r="O648" s="264"/>
      <c r="S648" s="293"/>
    </row>
    <row r="649">
      <c r="B649" s="264"/>
      <c r="F649" s="264"/>
      <c r="G649" s="264"/>
      <c r="H649" s="264"/>
      <c r="M649" s="325"/>
      <c r="N649" s="326"/>
      <c r="O649" s="264"/>
      <c r="S649" s="293"/>
    </row>
    <row r="650">
      <c r="B650" s="264"/>
      <c r="F650" s="264"/>
      <c r="G650" s="264"/>
      <c r="H650" s="264"/>
      <c r="M650" s="325"/>
      <c r="N650" s="326"/>
      <c r="O650" s="264"/>
      <c r="S650" s="293"/>
    </row>
    <row r="651">
      <c r="B651" s="264"/>
      <c r="F651" s="264"/>
      <c r="G651" s="264"/>
      <c r="H651" s="264"/>
      <c r="M651" s="325"/>
      <c r="N651" s="326"/>
      <c r="O651" s="264"/>
      <c r="S651" s="293"/>
    </row>
    <row r="652">
      <c r="B652" s="264"/>
      <c r="F652" s="264"/>
      <c r="G652" s="264"/>
      <c r="H652" s="264"/>
      <c r="M652" s="325"/>
      <c r="N652" s="326"/>
      <c r="O652" s="264"/>
      <c r="S652" s="293"/>
    </row>
    <row r="653">
      <c r="B653" s="264"/>
      <c r="F653" s="264"/>
      <c r="G653" s="264"/>
      <c r="H653" s="264"/>
      <c r="M653" s="325"/>
      <c r="N653" s="326"/>
      <c r="O653" s="264"/>
      <c r="S653" s="293"/>
    </row>
    <row r="654">
      <c r="B654" s="264"/>
      <c r="F654" s="264"/>
      <c r="G654" s="264"/>
      <c r="H654" s="264"/>
      <c r="M654" s="325"/>
      <c r="N654" s="326"/>
      <c r="O654" s="264"/>
      <c r="S654" s="293"/>
    </row>
    <row r="655">
      <c r="B655" s="264"/>
      <c r="F655" s="264"/>
      <c r="G655" s="264"/>
      <c r="H655" s="264"/>
      <c r="M655" s="325"/>
      <c r="N655" s="326"/>
      <c r="O655" s="264"/>
      <c r="S655" s="293"/>
    </row>
    <row r="656">
      <c r="B656" s="264"/>
      <c r="F656" s="264"/>
      <c r="G656" s="264"/>
      <c r="H656" s="264"/>
      <c r="M656" s="325"/>
      <c r="N656" s="326"/>
      <c r="O656" s="264"/>
      <c r="S656" s="293"/>
    </row>
    <row r="657">
      <c r="B657" s="264"/>
      <c r="F657" s="264"/>
      <c r="G657" s="264"/>
      <c r="H657" s="264"/>
      <c r="M657" s="325"/>
      <c r="N657" s="326"/>
      <c r="O657" s="264"/>
      <c r="S657" s="293"/>
    </row>
    <row r="658">
      <c r="B658" s="264"/>
      <c r="F658" s="264"/>
      <c r="G658" s="264"/>
      <c r="H658" s="264"/>
      <c r="M658" s="325"/>
      <c r="N658" s="326"/>
      <c r="O658" s="264"/>
      <c r="S658" s="293"/>
    </row>
    <row r="659">
      <c r="B659" s="264"/>
      <c r="F659" s="264"/>
      <c r="G659" s="264"/>
      <c r="H659" s="264"/>
      <c r="M659" s="325"/>
      <c r="N659" s="326"/>
      <c r="O659" s="264"/>
      <c r="S659" s="293"/>
    </row>
    <row r="660">
      <c r="B660" s="264"/>
      <c r="F660" s="264"/>
      <c r="G660" s="264"/>
      <c r="H660" s="264"/>
      <c r="M660" s="325"/>
      <c r="N660" s="326"/>
      <c r="O660" s="264"/>
      <c r="S660" s="293"/>
    </row>
    <row r="661">
      <c r="B661" s="264"/>
      <c r="F661" s="264"/>
      <c r="G661" s="264"/>
      <c r="H661" s="264"/>
      <c r="M661" s="325"/>
      <c r="N661" s="326"/>
      <c r="O661" s="264"/>
      <c r="S661" s="293"/>
    </row>
    <row r="662">
      <c r="B662" s="264"/>
      <c r="F662" s="264"/>
      <c r="G662" s="264"/>
      <c r="H662" s="264"/>
      <c r="M662" s="325"/>
      <c r="N662" s="326"/>
      <c r="O662" s="264"/>
      <c r="S662" s="293"/>
    </row>
    <row r="663">
      <c r="B663" s="264"/>
      <c r="F663" s="264"/>
      <c r="G663" s="264"/>
      <c r="H663" s="264"/>
      <c r="M663" s="325"/>
      <c r="N663" s="326"/>
      <c r="O663" s="264"/>
      <c r="S663" s="293"/>
    </row>
    <row r="664">
      <c r="B664" s="264"/>
      <c r="F664" s="264"/>
      <c r="G664" s="264"/>
      <c r="H664" s="264"/>
      <c r="M664" s="325"/>
      <c r="N664" s="326"/>
      <c r="O664" s="264"/>
      <c r="S664" s="293"/>
    </row>
    <row r="665">
      <c r="B665" s="264"/>
      <c r="F665" s="264"/>
      <c r="G665" s="264"/>
      <c r="H665" s="264"/>
      <c r="M665" s="325"/>
      <c r="N665" s="326"/>
      <c r="O665" s="264"/>
      <c r="S665" s="293"/>
    </row>
    <row r="666">
      <c r="B666" s="264"/>
      <c r="F666" s="264"/>
      <c r="G666" s="264"/>
      <c r="H666" s="264"/>
      <c r="M666" s="325"/>
      <c r="N666" s="326"/>
      <c r="O666" s="264"/>
      <c r="S666" s="293"/>
    </row>
    <row r="667">
      <c r="B667" s="264"/>
      <c r="F667" s="264"/>
      <c r="G667" s="264"/>
      <c r="H667" s="264"/>
      <c r="M667" s="325"/>
      <c r="N667" s="326"/>
      <c r="O667" s="264"/>
      <c r="S667" s="293"/>
    </row>
    <row r="668">
      <c r="B668" s="264"/>
      <c r="F668" s="264"/>
      <c r="G668" s="264"/>
      <c r="H668" s="264"/>
      <c r="M668" s="325"/>
      <c r="N668" s="326"/>
      <c r="O668" s="264"/>
      <c r="S668" s="293"/>
    </row>
    <row r="669">
      <c r="B669" s="264"/>
      <c r="F669" s="264"/>
      <c r="G669" s="264"/>
      <c r="H669" s="264"/>
      <c r="M669" s="325"/>
      <c r="N669" s="326"/>
      <c r="O669" s="264"/>
      <c r="S669" s="293"/>
    </row>
    <row r="670">
      <c r="B670" s="264"/>
      <c r="F670" s="264"/>
      <c r="G670" s="264"/>
      <c r="H670" s="264"/>
      <c r="M670" s="325"/>
      <c r="N670" s="326"/>
      <c r="O670" s="264"/>
      <c r="S670" s="293"/>
    </row>
    <row r="671">
      <c r="B671" s="264"/>
      <c r="F671" s="264"/>
      <c r="G671" s="264"/>
      <c r="H671" s="264"/>
      <c r="M671" s="325"/>
      <c r="N671" s="326"/>
      <c r="O671" s="264"/>
      <c r="S671" s="293"/>
    </row>
    <row r="672">
      <c r="B672" s="264"/>
      <c r="F672" s="264"/>
      <c r="G672" s="264"/>
      <c r="H672" s="264"/>
      <c r="M672" s="325"/>
      <c r="N672" s="326"/>
      <c r="O672" s="264"/>
      <c r="S672" s="293"/>
    </row>
    <row r="673">
      <c r="B673" s="264"/>
      <c r="F673" s="264"/>
      <c r="G673" s="264"/>
      <c r="H673" s="264"/>
      <c r="M673" s="325"/>
      <c r="N673" s="326"/>
      <c r="O673" s="264"/>
      <c r="S673" s="293"/>
    </row>
    <row r="674">
      <c r="B674" s="264"/>
      <c r="F674" s="264"/>
      <c r="G674" s="264"/>
      <c r="H674" s="264"/>
      <c r="M674" s="325"/>
      <c r="N674" s="326"/>
      <c r="O674" s="264"/>
      <c r="S674" s="293"/>
    </row>
    <row r="675">
      <c r="B675" s="264"/>
      <c r="F675" s="264"/>
      <c r="G675" s="264"/>
      <c r="H675" s="264"/>
      <c r="M675" s="325"/>
      <c r="N675" s="326"/>
      <c r="O675" s="264"/>
      <c r="S675" s="293"/>
    </row>
    <row r="676">
      <c r="B676" s="264"/>
      <c r="F676" s="264"/>
      <c r="G676" s="264"/>
      <c r="H676" s="264"/>
      <c r="M676" s="325"/>
      <c r="N676" s="326"/>
      <c r="O676" s="264"/>
      <c r="S676" s="293"/>
    </row>
    <row r="677">
      <c r="B677" s="264"/>
      <c r="F677" s="264"/>
      <c r="G677" s="264"/>
      <c r="H677" s="264"/>
      <c r="M677" s="325"/>
      <c r="N677" s="326"/>
      <c r="O677" s="264"/>
      <c r="S677" s="293"/>
    </row>
    <row r="678">
      <c r="B678" s="264"/>
      <c r="F678" s="264"/>
      <c r="G678" s="264"/>
      <c r="H678" s="264"/>
      <c r="M678" s="325"/>
      <c r="N678" s="326"/>
      <c r="O678" s="264"/>
      <c r="S678" s="293"/>
    </row>
    <row r="679">
      <c r="B679" s="264"/>
      <c r="F679" s="264"/>
      <c r="G679" s="264"/>
      <c r="H679" s="264"/>
      <c r="M679" s="325"/>
      <c r="N679" s="326"/>
      <c r="O679" s="264"/>
      <c r="S679" s="293"/>
    </row>
    <row r="680">
      <c r="B680" s="264"/>
      <c r="F680" s="264"/>
      <c r="G680" s="264"/>
      <c r="H680" s="264"/>
      <c r="M680" s="325"/>
      <c r="N680" s="326"/>
      <c r="O680" s="264"/>
      <c r="S680" s="293"/>
    </row>
    <row r="681">
      <c r="B681" s="264"/>
      <c r="F681" s="264"/>
      <c r="G681" s="264"/>
      <c r="H681" s="264"/>
      <c r="M681" s="325"/>
      <c r="N681" s="326"/>
      <c r="O681" s="264"/>
      <c r="S681" s="293"/>
    </row>
    <row r="682">
      <c r="B682" s="264"/>
      <c r="F682" s="264"/>
      <c r="G682" s="264"/>
      <c r="H682" s="264"/>
      <c r="M682" s="325"/>
      <c r="N682" s="326"/>
      <c r="O682" s="264"/>
      <c r="S682" s="293"/>
    </row>
    <row r="683">
      <c r="B683" s="264"/>
      <c r="F683" s="264"/>
      <c r="G683" s="264"/>
      <c r="H683" s="264"/>
      <c r="M683" s="325"/>
      <c r="N683" s="326"/>
      <c r="O683" s="264"/>
      <c r="S683" s="293"/>
    </row>
    <row r="684">
      <c r="B684" s="264"/>
      <c r="F684" s="264"/>
      <c r="G684" s="264"/>
      <c r="H684" s="264"/>
      <c r="M684" s="325"/>
      <c r="N684" s="326"/>
      <c r="O684" s="264"/>
      <c r="S684" s="293"/>
    </row>
    <row r="685">
      <c r="B685" s="264"/>
      <c r="F685" s="264"/>
      <c r="G685" s="264"/>
      <c r="H685" s="264"/>
      <c r="M685" s="325"/>
      <c r="N685" s="326"/>
      <c r="O685" s="264"/>
      <c r="S685" s="293"/>
    </row>
    <row r="686">
      <c r="B686" s="264"/>
      <c r="F686" s="264"/>
      <c r="G686" s="264"/>
      <c r="H686" s="264"/>
      <c r="M686" s="325"/>
      <c r="N686" s="326"/>
      <c r="O686" s="264"/>
      <c r="S686" s="293"/>
    </row>
    <row r="687">
      <c r="B687" s="264"/>
      <c r="F687" s="264"/>
      <c r="G687" s="264"/>
      <c r="H687" s="264"/>
      <c r="M687" s="325"/>
      <c r="N687" s="326"/>
      <c r="O687" s="264"/>
      <c r="S687" s="293"/>
    </row>
    <row r="688">
      <c r="B688" s="264"/>
      <c r="F688" s="264"/>
      <c r="G688" s="264"/>
      <c r="H688" s="264"/>
      <c r="M688" s="325"/>
      <c r="N688" s="326"/>
      <c r="O688" s="264"/>
      <c r="S688" s="293"/>
    </row>
    <row r="689">
      <c r="B689" s="264"/>
      <c r="F689" s="264"/>
      <c r="G689" s="264"/>
      <c r="H689" s="264"/>
      <c r="M689" s="325"/>
      <c r="N689" s="326"/>
      <c r="O689" s="264"/>
      <c r="S689" s="293"/>
    </row>
    <row r="690">
      <c r="B690" s="264"/>
      <c r="F690" s="264"/>
      <c r="G690" s="264"/>
      <c r="H690" s="264"/>
      <c r="M690" s="325"/>
      <c r="N690" s="326"/>
      <c r="O690" s="264"/>
      <c r="S690" s="293"/>
    </row>
    <row r="691">
      <c r="B691" s="264"/>
      <c r="F691" s="264"/>
      <c r="G691" s="264"/>
      <c r="H691" s="264"/>
      <c r="M691" s="325"/>
      <c r="N691" s="326"/>
      <c r="O691" s="264"/>
      <c r="S691" s="293"/>
    </row>
    <row r="692">
      <c r="B692" s="264"/>
      <c r="F692" s="264"/>
      <c r="G692" s="264"/>
      <c r="H692" s="264"/>
      <c r="M692" s="325"/>
      <c r="N692" s="326"/>
      <c r="O692" s="264"/>
      <c r="S692" s="293"/>
    </row>
    <row r="693">
      <c r="B693" s="264"/>
      <c r="F693" s="264"/>
      <c r="G693" s="264"/>
      <c r="H693" s="264"/>
      <c r="M693" s="325"/>
      <c r="N693" s="326"/>
      <c r="O693" s="264"/>
      <c r="S693" s="293"/>
    </row>
    <row r="694">
      <c r="B694" s="264"/>
      <c r="F694" s="264"/>
      <c r="G694" s="264"/>
      <c r="H694" s="264"/>
      <c r="M694" s="325"/>
      <c r="N694" s="326"/>
      <c r="O694" s="264"/>
      <c r="S694" s="293"/>
    </row>
    <row r="695">
      <c r="B695" s="264"/>
      <c r="F695" s="264"/>
      <c r="G695" s="264"/>
      <c r="H695" s="264"/>
      <c r="M695" s="325"/>
      <c r="N695" s="326"/>
      <c r="O695" s="264"/>
      <c r="S695" s="293"/>
    </row>
    <row r="696">
      <c r="B696" s="264"/>
      <c r="F696" s="264"/>
      <c r="G696" s="264"/>
      <c r="H696" s="264"/>
      <c r="M696" s="325"/>
      <c r="N696" s="326"/>
      <c r="O696" s="264"/>
      <c r="S696" s="293"/>
    </row>
    <row r="697">
      <c r="B697" s="264"/>
      <c r="F697" s="264"/>
      <c r="G697" s="264"/>
      <c r="H697" s="264"/>
      <c r="M697" s="325"/>
      <c r="N697" s="326"/>
      <c r="O697" s="264"/>
      <c r="S697" s="293"/>
    </row>
    <row r="698">
      <c r="B698" s="264"/>
      <c r="F698" s="264"/>
      <c r="G698" s="264"/>
      <c r="H698" s="264"/>
      <c r="M698" s="325"/>
      <c r="N698" s="326"/>
      <c r="O698" s="264"/>
      <c r="S698" s="293"/>
    </row>
    <row r="699">
      <c r="B699" s="264"/>
      <c r="F699" s="264"/>
      <c r="G699" s="264"/>
      <c r="H699" s="264"/>
      <c r="M699" s="325"/>
      <c r="N699" s="326"/>
      <c r="O699" s="264"/>
      <c r="S699" s="293"/>
    </row>
    <row r="700">
      <c r="B700" s="264"/>
      <c r="F700" s="264"/>
      <c r="G700" s="264"/>
      <c r="H700" s="264"/>
      <c r="M700" s="325"/>
      <c r="N700" s="326"/>
      <c r="O700" s="264"/>
      <c r="S700" s="293"/>
    </row>
    <row r="701">
      <c r="B701" s="264"/>
      <c r="F701" s="264"/>
      <c r="G701" s="264"/>
      <c r="H701" s="264"/>
      <c r="M701" s="325"/>
      <c r="N701" s="326"/>
      <c r="O701" s="264"/>
      <c r="S701" s="293"/>
    </row>
    <row r="702">
      <c r="B702" s="264"/>
      <c r="F702" s="264"/>
      <c r="G702" s="264"/>
      <c r="H702" s="264"/>
      <c r="M702" s="325"/>
      <c r="N702" s="326"/>
      <c r="O702" s="264"/>
      <c r="S702" s="293"/>
    </row>
    <row r="703">
      <c r="B703" s="264"/>
      <c r="F703" s="264"/>
      <c r="G703" s="264"/>
      <c r="H703" s="264"/>
      <c r="M703" s="325"/>
      <c r="N703" s="326"/>
      <c r="O703" s="264"/>
      <c r="S703" s="293"/>
    </row>
    <row r="704">
      <c r="B704" s="264"/>
      <c r="F704" s="264"/>
      <c r="G704" s="264"/>
      <c r="H704" s="264"/>
      <c r="M704" s="325"/>
      <c r="N704" s="326"/>
      <c r="O704" s="264"/>
      <c r="S704" s="293"/>
    </row>
    <row r="705">
      <c r="B705" s="264"/>
      <c r="F705" s="264"/>
      <c r="G705" s="264"/>
      <c r="H705" s="264"/>
      <c r="M705" s="325"/>
      <c r="N705" s="326"/>
      <c r="O705" s="264"/>
      <c r="S705" s="293"/>
    </row>
    <row r="706">
      <c r="B706" s="264"/>
      <c r="F706" s="264"/>
      <c r="G706" s="264"/>
      <c r="H706" s="264"/>
      <c r="M706" s="325"/>
      <c r="N706" s="326"/>
      <c r="O706" s="264"/>
      <c r="S706" s="293"/>
    </row>
    <row r="707">
      <c r="B707" s="264"/>
      <c r="F707" s="264"/>
      <c r="G707" s="264"/>
      <c r="H707" s="264"/>
      <c r="M707" s="325"/>
      <c r="N707" s="326"/>
      <c r="O707" s="264"/>
      <c r="S707" s="293"/>
    </row>
    <row r="708">
      <c r="B708" s="264"/>
      <c r="F708" s="264"/>
      <c r="G708" s="264"/>
      <c r="H708" s="264"/>
      <c r="M708" s="325"/>
      <c r="N708" s="326"/>
      <c r="O708" s="264"/>
      <c r="S708" s="293"/>
    </row>
    <row r="709">
      <c r="B709" s="264"/>
      <c r="F709" s="264"/>
      <c r="G709" s="264"/>
      <c r="H709" s="264"/>
      <c r="M709" s="325"/>
      <c r="N709" s="326"/>
      <c r="O709" s="264"/>
      <c r="S709" s="293"/>
    </row>
    <row r="710">
      <c r="B710" s="264"/>
      <c r="F710" s="264"/>
      <c r="G710" s="264"/>
      <c r="H710" s="264"/>
      <c r="M710" s="325"/>
      <c r="N710" s="326"/>
      <c r="O710" s="264"/>
      <c r="S710" s="293"/>
    </row>
    <row r="711">
      <c r="B711" s="264"/>
      <c r="F711" s="264"/>
      <c r="G711" s="264"/>
      <c r="H711" s="264"/>
      <c r="M711" s="325"/>
      <c r="N711" s="326"/>
      <c r="O711" s="264"/>
      <c r="S711" s="293"/>
    </row>
    <row r="712">
      <c r="B712" s="264"/>
      <c r="F712" s="264"/>
      <c r="G712" s="264"/>
      <c r="H712" s="264"/>
      <c r="M712" s="325"/>
      <c r="N712" s="326"/>
      <c r="O712" s="264"/>
      <c r="S712" s="293"/>
    </row>
    <row r="713">
      <c r="B713" s="264"/>
      <c r="F713" s="264"/>
      <c r="G713" s="264"/>
      <c r="H713" s="264"/>
      <c r="M713" s="325"/>
      <c r="N713" s="326"/>
      <c r="O713" s="264"/>
      <c r="S713" s="293"/>
    </row>
    <row r="714">
      <c r="B714" s="264"/>
      <c r="F714" s="264"/>
      <c r="G714" s="264"/>
      <c r="H714" s="264"/>
      <c r="M714" s="325"/>
      <c r="N714" s="326"/>
      <c r="O714" s="264"/>
      <c r="S714" s="293"/>
    </row>
    <row r="715">
      <c r="B715" s="264"/>
      <c r="F715" s="264"/>
      <c r="G715" s="264"/>
      <c r="H715" s="264"/>
      <c r="M715" s="325"/>
      <c r="N715" s="326"/>
      <c r="O715" s="264"/>
      <c r="S715" s="293"/>
    </row>
    <row r="716">
      <c r="B716" s="264"/>
      <c r="F716" s="264"/>
      <c r="G716" s="264"/>
      <c r="H716" s="264"/>
      <c r="M716" s="325"/>
      <c r="N716" s="326"/>
      <c r="O716" s="264"/>
      <c r="S716" s="293"/>
    </row>
    <row r="717">
      <c r="B717" s="264"/>
      <c r="F717" s="264"/>
      <c r="G717" s="264"/>
      <c r="H717" s="264"/>
      <c r="M717" s="325"/>
      <c r="N717" s="326"/>
      <c r="O717" s="264"/>
      <c r="S717" s="293"/>
    </row>
    <row r="718">
      <c r="B718" s="264"/>
      <c r="F718" s="264"/>
      <c r="G718" s="264"/>
      <c r="H718" s="264"/>
      <c r="M718" s="325"/>
      <c r="N718" s="326"/>
      <c r="O718" s="264"/>
      <c r="S718" s="293"/>
    </row>
    <row r="719">
      <c r="B719" s="264"/>
      <c r="F719" s="264"/>
      <c r="G719" s="264"/>
      <c r="H719" s="264"/>
      <c r="M719" s="325"/>
      <c r="N719" s="326"/>
      <c r="O719" s="264"/>
      <c r="S719" s="293"/>
    </row>
    <row r="720">
      <c r="B720" s="264"/>
      <c r="F720" s="264"/>
      <c r="G720" s="264"/>
      <c r="H720" s="264"/>
      <c r="M720" s="325"/>
      <c r="N720" s="326"/>
      <c r="O720" s="264"/>
      <c r="S720" s="293"/>
    </row>
    <row r="721">
      <c r="B721" s="264"/>
      <c r="F721" s="264"/>
      <c r="G721" s="264"/>
      <c r="H721" s="264"/>
      <c r="M721" s="325"/>
      <c r="N721" s="326"/>
      <c r="O721" s="264"/>
      <c r="S721" s="293"/>
    </row>
    <row r="722">
      <c r="B722" s="264"/>
      <c r="F722" s="264"/>
      <c r="G722" s="264"/>
      <c r="H722" s="264"/>
      <c r="M722" s="325"/>
      <c r="N722" s="326"/>
      <c r="O722" s="264"/>
      <c r="S722" s="293"/>
    </row>
    <row r="723">
      <c r="B723" s="264"/>
      <c r="F723" s="264"/>
      <c r="G723" s="264"/>
      <c r="H723" s="264"/>
      <c r="M723" s="325"/>
      <c r="N723" s="326"/>
      <c r="O723" s="264"/>
      <c r="S723" s="293"/>
    </row>
    <row r="724">
      <c r="B724" s="264"/>
      <c r="F724" s="264"/>
      <c r="G724" s="264"/>
      <c r="H724" s="264"/>
      <c r="M724" s="325"/>
      <c r="N724" s="326"/>
      <c r="O724" s="264"/>
      <c r="S724" s="293"/>
    </row>
    <row r="725">
      <c r="B725" s="264"/>
      <c r="F725" s="264"/>
      <c r="G725" s="264"/>
      <c r="H725" s="264"/>
      <c r="M725" s="325"/>
      <c r="N725" s="326"/>
      <c r="O725" s="264"/>
      <c r="S725" s="293"/>
    </row>
    <row r="726">
      <c r="B726" s="264"/>
      <c r="F726" s="264"/>
      <c r="G726" s="264"/>
      <c r="H726" s="264"/>
      <c r="M726" s="325"/>
      <c r="N726" s="326"/>
      <c r="O726" s="264"/>
      <c r="S726" s="293"/>
    </row>
    <row r="727">
      <c r="B727" s="264"/>
      <c r="F727" s="264"/>
      <c r="G727" s="264"/>
      <c r="H727" s="264"/>
      <c r="M727" s="325"/>
      <c r="N727" s="326"/>
      <c r="O727" s="264"/>
      <c r="S727" s="293"/>
    </row>
    <row r="728">
      <c r="B728" s="264"/>
      <c r="F728" s="264"/>
      <c r="G728" s="264"/>
      <c r="H728" s="264"/>
      <c r="M728" s="325"/>
      <c r="N728" s="326"/>
      <c r="O728" s="264"/>
      <c r="S728" s="293"/>
    </row>
    <row r="729">
      <c r="B729" s="264"/>
      <c r="F729" s="264"/>
      <c r="G729" s="264"/>
      <c r="H729" s="264"/>
      <c r="M729" s="325"/>
      <c r="N729" s="326"/>
      <c r="O729" s="264"/>
      <c r="S729" s="293"/>
    </row>
    <row r="730">
      <c r="B730" s="264"/>
      <c r="F730" s="264"/>
      <c r="G730" s="264"/>
      <c r="H730" s="264"/>
      <c r="M730" s="325"/>
      <c r="N730" s="326"/>
      <c r="O730" s="264"/>
      <c r="S730" s="293"/>
    </row>
    <row r="731">
      <c r="B731" s="264"/>
      <c r="F731" s="264"/>
      <c r="G731" s="264"/>
      <c r="H731" s="264"/>
      <c r="M731" s="325"/>
      <c r="N731" s="326"/>
      <c r="O731" s="264"/>
      <c r="S731" s="293"/>
    </row>
    <row r="732">
      <c r="B732" s="264"/>
      <c r="F732" s="264"/>
      <c r="G732" s="264"/>
      <c r="H732" s="264"/>
      <c r="M732" s="325"/>
      <c r="N732" s="326"/>
      <c r="O732" s="264"/>
      <c r="S732" s="293"/>
    </row>
    <row r="733">
      <c r="B733" s="264"/>
      <c r="F733" s="264"/>
      <c r="G733" s="264"/>
      <c r="H733" s="264"/>
      <c r="M733" s="325"/>
      <c r="N733" s="326"/>
      <c r="O733" s="264"/>
      <c r="S733" s="293"/>
    </row>
    <row r="734">
      <c r="B734" s="264"/>
      <c r="F734" s="264"/>
      <c r="G734" s="264"/>
      <c r="H734" s="264"/>
      <c r="M734" s="325"/>
      <c r="N734" s="326"/>
      <c r="O734" s="264"/>
      <c r="S734" s="293"/>
    </row>
    <row r="735">
      <c r="B735" s="264"/>
      <c r="F735" s="264"/>
      <c r="G735" s="264"/>
      <c r="H735" s="264"/>
      <c r="M735" s="325"/>
      <c r="N735" s="326"/>
      <c r="O735" s="264"/>
      <c r="S735" s="293"/>
    </row>
    <row r="736">
      <c r="B736" s="264"/>
      <c r="F736" s="264"/>
      <c r="G736" s="264"/>
      <c r="H736" s="264"/>
      <c r="M736" s="325"/>
      <c r="N736" s="326"/>
      <c r="O736" s="264"/>
      <c r="S736" s="293"/>
    </row>
    <row r="737">
      <c r="B737" s="264"/>
      <c r="F737" s="264"/>
      <c r="G737" s="264"/>
      <c r="H737" s="264"/>
      <c r="M737" s="325"/>
      <c r="N737" s="326"/>
      <c r="O737" s="264"/>
      <c r="S737" s="293"/>
    </row>
    <row r="738">
      <c r="B738" s="264"/>
      <c r="F738" s="264"/>
      <c r="G738" s="264"/>
      <c r="H738" s="264"/>
      <c r="M738" s="325"/>
      <c r="N738" s="326"/>
      <c r="O738" s="264"/>
      <c r="S738" s="293"/>
    </row>
    <row r="739">
      <c r="B739" s="264"/>
      <c r="F739" s="264"/>
      <c r="G739" s="264"/>
      <c r="H739" s="264"/>
      <c r="M739" s="325"/>
      <c r="N739" s="326"/>
      <c r="O739" s="264"/>
      <c r="S739" s="293"/>
    </row>
    <row r="740">
      <c r="B740" s="264"/>
      <c r="F740" s="264"/>
      <c r="G740" s="264"/>
      <c r="H740" s="264"/>
      <c r="M740" s="325"/>
      <c r="N740" s="326"/>
      <c r="O740" s="264"/>
      <c r="S740" s="293"/>
    </row>
    <row r="741">
      <c r="B741" s="264"/>
      <c r="F741" s="264"/>
      <c r="G741" s="264"/>
      <c r="H741" s="264"/>
      <c r="M741" s="325"/>
      <c r="N741" s="326"/>
      <c r="O741" s="264"/>
      <c r="S741" s="293"/>
    </row>
    <row r="742">
      <c r="B742" s="264"/>
      <c r="F742" s="264"/>
      <c r="G742" s="264"/>
      <c r="H742" s="264"/>
      <c r="M742" s="325"/>
      <c r="N742" s="326"/>
      <c r="O742" s="264"/>
      <c r="S742" s="293"/>
    </row>
    <row r="743">
      <c r="B743" s="264"/>
      <c r="F743" s="264"/>
      <c r="G743" s="264"/>
      <c r="H743" s="264"/>
      <c r="M743" s="325"/>
      <c r="N743" s="326"/>
      <c r="O743" s="264"/>
      <c r="S743" s="293"/>
    </row>
    <row r="744">
      <c r="B744" s="264"/>
      <c r="F744" s="264"/>
      <c r="G744" s="264"/>
      <c r="H744" s="264"/>
      <c r="M744" s="325"/>
      <c r="N744" s="326"/>
      <c r="O744" s="264"/>
      <c r="S744" s="293"/>
    </row>
    <row r="745">
      <c r="B745" s="264"/>
      <c r="F745" s="264"/>
      <c r="G745" s="264"/>
      <c r="H745" s="264"/>
      <c r="M745" s="325"/>
      <c r="N745" s="326"/>
      <c r="O745" s="264"/>
      <c r="S745" s="293"/>
    </row>
    <row r="746">
      <c r="B746" s="264"/>
      <c r="F746" s="264"/>
      <c r="G746" s="264"/>
      <c r="H746" s="264"/>
      <c r="M746" s="325"/>
      <c r="N746" s="326"/>
      <c r="O746" s="264"/>
      <c r="S746" s="293"/>
    </row>
    <row r="747">
      <c r="B747" s="264"/>
      <c r="F747" s="264"/>
      <c r="G747" s="264"/>
      <c r="H747" s="264"/>
      <c r="M747" s="325"/>
      <c r="N747" s="326"/>
      <c r="O747" s="264"/>
      <c r="S747" s="293"/>
    </row>
    <row r="748">
      <c r="B748" s="264"/>
      <c r="F748" s="264"/>
      <c r="G748" s="264"/>
      <c r="H748" s="264"/>
      <c r="M748" s="325"/>
      <c r="N748" s="326"/>
      <c r="O748" s="264"/>
      <c r="S748" s="293"/>
    </row>
    <row r="749">
      <c r="B749" s="264"/>
      <c r="F749" s="264"/>
      <c r="G749" s="264"/>
      <c r="H749" s="264"/>
      <c r="M749" s="325"/>
      <c r="N749" s="326"/>
      <c r="O749" s="264"/>
      <c r="S749" s="293"/>
    </row>
    <row r="750">
      <c r="B750" s="264"/>
      <c r="F750" s="264"/>
      <c r="G750" s="264"/>
      <c r="H750" s="264"/>
      <c r="M750" s="325"/>
      <c r="N750" s="326"/>
      <c r="O750" s="264"/>
      <c r="S750" s="293"/>
    </row>
    <row r="751">
      <c r="B751" s="264"/>
      <c r="F751" s="264"/>
      <c r="G751" s="264"/>
      <c r="H751" s="264"/>
      <c r="M751" s="325"/>
      <c r="N751" s="326"/>
      <c r="O751" s="264"/>
      <c r="S751" s="293"/>
    </row>
    <row r="752">
      <c r="B752" s="264"/>
      <c r="F752" s="264"/>
      <c r="G752" s="264"/>
      <c r="H752" s="264"/>
      <c r="M752" s="325"/>
      <c r="N752" s="326"/>
      <c r="O752" s="264"/>
      <c r="S752" s="293"/>
    </row>
    <row r="753">
      <c r="B753" s="264"/>
      <c r="F753" s="264"/>
      <c r="G753" s="264"/>
      <c r="H753" s="264"/>
      <c r="M753" s="325"/>
      <c r="N753" s="326"/>
      <c r="O753" s="264"/>
      <c r="S753" s="293"/>
    </row>
    <row r="754">
      <c r="B754" s="264"/>
      <c r="F754" s="264"/>
      <c r="G754" s="264"/>
      <c r="H754" s="264"/>
      <c r="M754" s="325"/>
      <c r="N754" s="326"/>
      <c r="O754" s="264"/>
      <c r="S754" s="293"/>
    </row>
    <row r="755">
      <c r="B755" s="264"/>
      <c r="F755" s="264"/>
      <c r="G755" s="264"/>
      <c r="H755" s="264"/>
      <c r="M755" s="325"/>
      <c r="N755" s="326"/>
      <c r="O755" s="264"/>
      <c r="S755" s="293"/>
    </row>
    <row r="756">
      <c r="B756" s="264"/>
      <c r="F756" s="264"/>
      <c r="G756" s="264"/>
      <c r="H756" s="264"/>
      <c r="M756" s="325"/>
      <c r="N756" s="326"/>
      <c r="O756" s="264"/>
      <c r="S756" s="293"/>
    </row>
    <row r="757">
      <c r="B757" s="264"/>
      <c r="F757" s="264"/>
      <c r="G757" s="264"/>
      <c r="H757" s="264"/>
      <c r="M757" s="325"/>
      <c r="N757" s="326"/>
      <c r="O757" s="264"/>
      <c r="S757" s="293"/>
    </row>
    <row r="758">
      <c r="B758" s="264"/>
      <c r="F758" s="264"/>
      <c r="G758" s="264"/>
      <c r="H758" s="264"/>
      <c r="M758" s="325"/>
      <c r="N758" s="326"/>
      <c r="O758" s="264"/>
      <c r="S758" s="293"/>
    </row>
    <row r="759">
      <c r="B759" s="264"/>
      <c r="F759" s="264"/>
      <c r="G759" s="264"/>
      <c r="H759" s="264"/>
      <c r="M759" s="325"/>
      <c r="N759" s="326"/>
      <c r="O759" s="264"/>
      <c r="S759" s="293"/>
    </row>
    <row r="760">
      <c r="B760" s="264"/>
      <c r="F760" s="264"/>
      <c r="G760" s="264"/>
      <c r="H760" s="264"/>
      <c r="M760" s="325"/>
      <c r="N760" s="326"/>
      <c r="O760" s="264"/>
      <c r="S760" s="293"/>
    </row>
    <row r="761">
      <c r="B761" s="264"/>
      <c r="F761" s="264"/>
      <c r="G761" s="264"/>
      <c r="H761" s="264"/>
      <c r="M761" s="325"/>
      <c r="N761" s="326"/>
      <c r="O761" s="264"/>
      <c r="S761" s="293"/>
    </row>
    <row r="762">
      <c r="B762" s="264"/>
      <c r="F762" s="264"/>
      <c r="G762" s="264"/>
      <c r="H762" s="264"/>
      <c r="M762" s="325"/>
      <c r="N762" s="326"/>
      <c r="O762" s="264"/>
      <c r="S762" s="293"/>
    </row>
    <row r="763">
      <c r="B763" s="264"/>
      <c r="F763" s="264"/>
      <c r="G763" s="264"/>
      <c r="H763" s="264"/>
      <c r="M763" s="325"/>
      <c r="N763" s="326"/>
      <c r="O763" s="264"/>
      <c r="S763" s="293"/>
    </row>
    <row r="764">
      <c r="B764" s="264"/>
      <c r="F764" s="264"/>
      <c r="G764" s="264"/>
      <c r="H764" s="264"/>
      <c r="M764" s="325"/>
      <c r="N764" s="326"/>
      <c r="O764" s="264"/>
      <c r="S764" s="293"/>
    </row>
    <row r="765">
      <c r="B765" s="264"/>
      <c r="F765" s="264"/>
      <c r="G765" s="264"/>
      <c r="H765" s="264"/>
      <c r="M765" s="325"/>
      <c r="N765" s="326"/>
      <c r="O765" s="264"/>
      <c r="S765" s="293"/>
    </row>
    <row r="766">
      <c r="B766" s="264"/>
      <c r="F766" s="264"/>
      <c r="G766" s="264"/>
      <c r="H766" s="264"/>
      <c r="M766" s="325"/>
      <c r="N766" s="326"/>
      <c r="O766" s="264"/>
      <c r="S766" s="293"/>
    </row>
    <row r="767">
      <c r="B767" s="264"/>
      <c r="F767" s="264"/>
      <c r="G767" s="264"/>
      <c r="H767" s="264"/>
      <c r="M767" s="325"/>
      <c r="N767" s="326"/>
      <c r="O767" s="264"/>
      <c r="S767" s="293"/>
    </row>
    <row r="768">
      <c r="B768" s="264"/>
      <c r="F768" s="264"/>
      <c r="G768" s="264"/>
      <c r="H768" s="264"/>
      <c r="M768" s="325"/>
      <c r="N768" s="326"/>
      <c r="O768" s="264"/>
      <c r="S768" s="293"/>
    </row>
    <row r="769">
      <c r="B769" s="264"/>
      <c r="F769" s="264"/>
      <c r="G769" s="264"/>
      <c r="H769" s="264"/>
      <c r="M769" s="325"/>
      <c r="N769" s="326"/>
      <c r="O769" s="264"/>
      <c r="S769" s="293"/>
    </row>
    <row r="770">
      <c r="B770" s="264"/>
      <c r="F770" s="264"/>
      <c r="G770" s="264"/>
      <c r="H770" s="264"/>
      <c r="M770" s="325"/>
      <c r="N770" s="326"/>
      <c r="O770" s="264"/>
      <c r="S770" s="293"/>
    </row>
    <row r="771">
      <c r="B771" s="264"/>
      <c r="F771" s="264"/>
      <c r="G771" s="264"/>
      <c r="H771" s="264"/>
      <c r="M771" s="325"/>
      <c r="N771" s="326"/>
      <c r="O771" s="264"/>
      <c r="S771" s="293"/>
    </row>
    <row r="772">
      <c r="B772" s="264"/>
      <c r="F772" s="264"/>
      <c r="G772" s="264"/>
      <c r="H772" s="264"/>
      <c r="M772" s="325"/>
      <c r="N772" s="326"/>
      <c r="O772" s="264"/>
      <c r="S772" s="293"/>
    </row>
    <row r="773">
      <c r="B773" s="264"/>
      <c r="F773" s="264"/>
      <c r="G773" s="264"/>
      <c r="H773" s="264"/>
      <c r="M773" s="325"/>
      <c r="N773" s="326"/>
      <c r="O773" s="264"/>
      <c r="S773" s="293"/>
    </row>
    <row r="774">
      <c r="B774" s="264"/>
      <c r="F774" s="264"/>
      <c r="G774" s="264"/>
      <c r="H774" s="264"/>
      <c r="M774" s="325"/>
      <c r="N774" s="326"/>
      <c r="O774" s="264"/>
      <c r="S774" s="293"/>
    </row>
    <row r="775">
      <c r="B775" s="264"/>
      <c r="F775" s="264"/>
      <c r="G775" s="264"/>
      <c r="H775" s="264"/>
      <c r="M775" s="325"/>
      <c r="N775" s="326"/>
      <c r="O775" s="264"/>
      <c r="S775" s="293"/>
    </row>
    <row r="776">
      <c r="B776" s="264"/>
      <c r="F776" s="264"/>
      <c r="G776" s="264"/>
      <c r="H776" s="264"/>
      <c r="M776" s="325"/>
      <c r="N776" s="326"/>
      <c r="O776" s="264"/>
      <c r="S776" s="293"/>
    </row>
    <row r="777">
      <c r="B777" s="264"/>
      <c r="F777" s="264"/>
      <c r="G777" s="264"/>
      <c r="H777" s="264"/>
      <c r="M777" s="325"/>
      <c r="N777" s="326"/>
      <c r="O777" s="264"/>
      <c r="S777" s="293"/>
    </row>
    <row r="778">
      <c r="B778" s="264"/>
      <c r="F778" s="264"/>
      <c r="G778" s="264"/>
      <c r="H778" s="264"/>
      <c r="M778" s="325"/>
      <c r="N778" s="326"/>
      <c r="O778" s="264"/>
      <c r="S778" s="293"/>
    </row>
    <row r="779">
      <c r="B779" s="264"/>
      <c r="F779" s="264"/>
      <c r="G779" s="264"/>
      <c r="H779" s="264"/>
      <c r="M779" s="325"/>
      <c r="N779" s="326"/>
      <c r="O779" s="264"/>
      <c r="S779" s="293"/>
    </row>
    <row r="780">
      <c r="B780" s="264"/>
      <c r="F780" s="264"/>
      <c r="G780" s="264"/>
      <c r="H780" s="264"/>
      <c r="M780" s="325"/>
      <c r="N780" s="326"/>
      <c r="O780" s="264"/>
      <c r="S780" s="293"/>
    </row>
    <row r="781">
      <c r="B781" s="264"/>
      <c r="F781" s="264"/>
      <c r="G781" s="264"/>
      <c r="H781" s="264"/>
      <c r="M781" s="325"/>
      <c r="N781" s="326"/>
      <c r="O781" s="264"/>
      <c r="S781" s="293"/>
    </row>
    <row r="782">
      <c r="B782" s="264"/>
      <c r="F782" s="264"/>
      <c r="G782" s="264"/>
      <c r="H782" s="264"/>
      <c r="M782" s="325"/>
      <c r="N782" s="326"/>
      <c r="O782" s="264"/>
      <c r="S782" s="293"/>
    </row>
    <row r="783">
      <c r="B783" s="264"/>
      <c r="F783" s="264"/>
      <c r="G783" s="264"/>
      <c r="H783" s="264"/>
      <c r="M783" s="325"/>
      <c r="N783" s="326"/>
      <c r="O783" s="264"/>
      <c r="S783" s="293"/>
    </row>
    <row r="784">
      <c r="B784" s="264"/>
      <c r="F784" s="264"/>
      <c r="G784" s="264"/>
      <c r="H784" s="264"/>
      <c r="M784" s="325"/>
      <c r="N784" s="326"/>
      <c r="O784" s="264"/>
      <c r="S784" s="293"/>
    </row>
    <row r="785">
      <c r="B785" s="264"/>
      <c r="F785" s="264"/>
      <c r="G785" s="264"/>
      <c r="H785" s="264"/>
      <c r="M785" s="325"/>
      <c r="N785" s="326"/>
      <c r="O785" s="264"/>
      <c r="S785" s="293"/>
    </row>
    <row r="786">
      <c r="B786" s="264"/>
      <c r="F786" s="264"/>
      <c r="G786" s="264"/>
      <c r="H786" s="264"/>
      <c r="M786" s="325"/>
      <c r="N786" s="326"/>
      <c r="O786" s="264"/>
      <c r="S786" s="293"/>
    </row>
    <row r="787">
      <c r="B787" s="264"/>
      <c r="F787" s="264"/>
      <c r="G787" s="264"/>
      <c r="H787" s="264"/>
      <c r="M787" s="325"/>
      <c r="N787" s="326"/>
      <c r="O787" s="264"/>
      <c r="S787" s="293"/>
    </row>
    <row r="788">
      <c r="B788" s="264"/>
      <c r="F788" s="264"/>
      <c r="G788" s="264"/>
      <c r="H788" s="264"/>
      <c r="M788" s="325"/>
      <c r="N788" s="326"/>
      <c r="O788" s="264"/>
      <c r="S788" s="293"/>
    </row>
    <row r="789">
      <c r="B789" s="264"/>
      <c r="F789" s="264"/>
      <c r="G789" s="264"/>
      <c r="H789" s="264"/>
      <c r="M789" s="325"/>
      <c r="N789" s="326"/>
      <c r="O789" s="264"/>
      <c r="S789" s="293"/>
    </row>
    <row r="790">
      <c r="B790" s="264"/>
      <c r="F790" s="264"/>
      <c r="G790" s="264"/>
      <c r="H790" s="264"/>
      <c r="M790" s="325"/>
      <c r="N790" s="326"/>
      <c r="O790" s="264"/>
      <c r="S790" s="293"/>
    </row>
    <row r="791">
      <c r="B791" s="264"/>
      <c r="F791" s="264"/>
      <c r="G791" s="264"/>
      <c r="H791" s="264"/>
      <c r="M791" s="325"/>
      <c r="N791" s="326"/>
      <c r="O791" s="264"/>
      <c r="S791" s="293"/>
    </row>
    <row r="792">
      <c r="B792" s="264"/>
      <c r="F792" s="264"/>
      <c r="G792" s="264"/>
      <c r="H792" s="264"/>
      <c r="M792" s="325"/>
      <c r="N792" s="326"/>
      <c r="O792" s="264"/>
      <c r="S792" s="293"/>
    </row>
    <row r="793">
      <c r="B793" s="264"/>
      <c r="F793" s="264"/>
      <c r="G793" s="264"/>
      <c r="H793" s="264"/>
      <c r="M793" s="325"/>
      <c r="N793" s="326"/>
      <c r="O793" s="264"/>
      <c r="S793" s="293"/>
    </row>
    <row r="794">
      <c r="B794" s="264"/>
      <c r="F794" s="264"/>
      <c r="G794" s="264"/>
      <c r="H794" s="264"/>
      <c r="M794" s="325"/>
      <c r="N794" s="326"/>
      <c r="O794" s="264"/>
      <c r="S794" s="293"/>
    </row>
    <row r="795">
      <c r="B795" s="264"/>
      <c r="F795" s="264"/>
      <c r="G795" s="264"/>
      <c r="H795" s="264"/>
      <c r="M795" s="325"/>
      <c r="N795" s="326"/>
      <c r="O795" s="264"/>
      <c r="S795" s="293"/>
    </row>
    <row r="796">
      <c r="B796" s="264"/>
      <c r="F796" s="264"/>
      <c r="G796" s="264"/>
      <c r="H796" s="264"/>
      <c r="M796" s="325"/>
      <c r="N796" s="326"/>
      <c r="O796" s="264"/>
      <c r="S796" s="293"/>
    </row>
    <row r="797">
      <c r="B797" s="264"/>
      <c r="F797" s="264"/>
      <c r="G797" s="264"/>
      <c r="H797" s="264"/>
      <c r="M797" s="325"/>
      <c r="N797" s="326"/>
      <c r="O797" s="264"/>
      <c r="S797" s="293"/>
    </row>
    <row r="798">
      <c r="B798" s="264"/>
      <c r="F798" s="264"/>
      <c r="G798" s="264"/>
      <c r="H798" s="264"/>
      <c r="M798" s="325"/>
      <c r="N798" s="326"/>
      <c r="O798" s="264"/>
      <c r="S798" s="293"/>
    </row>
    <row r="799">
      <c r="B799" s="264"/>
      <c r="F799" s="264"/>
      <c r="G799" s="264"/>
      <c r="H799" s="264"/>
      <c r="M799" s="325"/>
      <c r="N799" s="326"/>
      <c r="O799" s="264"/>
      <c r="S799" s="293"/>
    </row>
    <row r="800">
      <c r="B800" s="264"/>
      <c r="F800" s="264"/>
      <c r="G800" s="264"/>
      <c r="H800" s="264"/>
      <c r="M800" s="325"/>
      <c r="N800" s="326"/>
      <c r="O800" s="264"/>
      <c r="S800" s="293"/>
    </row>
    <row r="801">
      <c r="B801" s="264"/>
      <c r="F801" s="264"/>
      <c r="G801" s="264"/>
      <c r="H801" s="264"/>
      <c r="M801" s="325"/>
      <c r="N801" s="326"/>
      <c r="O801" s="264"/>
      <c r="S801" s="293"/>
    </row>
    <row r="802">
      <c r="B802" s="264"/>
      <c r="F802" s="264"/>
      <c r="G802" s="264"/>
      <c r="H802" s="264"/>
      <c r="M802" s="325"/>
      <c r="N802" s="326"/>
      <c r="O802" s="264"/>
      <c r="S802" s="293"/>
    </row>
    <row r="803">
      <c r="B803" s="264"/>
      <c r="F803" s="264"/>
      <c r="G803" s="264"/>
      <c r="H803" s="264"/>
      <c r="M803" s="325"/>
      <c r="N803" s="326"/>
      <c r="O803" s="264"/>
      <c r="S803" s="293"/>
    </row>
    <row r="804">
      <c r="B804" s="264"/>
      <c r="F804" s="264"/>
      <c r="G804" s="264"/>
      <c r="H804" s="264"/>
      <c r="M804" s="325"/>
      <c r="N804" s="326"/>
      <c r="O804" s="264"/>
      <c r="S804" s="293"/>
    </row>
    <row r="805">
      <c r="B805" s="264"/>
      <c r="F805" s="264"/>
      <c r="G805" s="264"/>
      <c r="H805" s="264"/>
      <c r="M805" s="325"/>
      <c r="N805" s="326"/>
      <c r="O805" s="264"/>
      <c r="S805" s="293"/>
    </row>
    <row r="806">
      <c r="B806" s="264"/>
      <c r="F806" s="264"/>
      <c r="G806" s="264"/>
      <c r="H806" s="264"/>
      <c r="M806" s="325"/>
      <c r="N806" s="326"/>
      <c r="O806" s="264"/>
      <c r="S806" s="293"/>
    </row>
    <row r="807">
      <c r="B807" s="264"/>
      <c r="F807" s="264"/>
      <c r="G807" s="264"/>
      <c r="H807" s="264"/>
      <c r="M807" s="325"/>
      <c r="N807" s="326"/>
      <c r="O807" s="264"/>
      <c r="S807" s="293"/>
    </row>
    <row r="808">
      <c r="B808" s="264"/>
      <c r="F808" s="264"/>
      <c r="G808" s="264"/>
      <c r="H808" s="264"/>
      <c r="M808" s="325"/>
      <c r="N808" s="326"/>
      <c r="O808" s="264"/>
      <c r="S808" s="293"/>
    </row>
    <row r="809">
      <c r="B809" s="264"/>
      <c r="F809" s="264"/>
      <c r="G809" s="264"/>
      <c r="H809" s="264"/>
      <c r="M809" s="325"/>
      <c r="N809" s="326"/>
      <c r="O809" s="264"/>
      <c r="S809" s="293"/>
    </row>
    <row r="810">
      <c r="B810" s="264"/>
      <c r="F810" s="264"/>
      <c r="G810" s="264"/>
      <c r="H810" s="264"/>
      <c r="M810" s="325"/>
      <c r="N810" s="326"/>
      <c r="O810" s="264"/>
      <c r="S810" s="293"/>
    </row>
    <row r="811">
      <c r="B811" s="264"/>
      <c r="F811" s="264"/>
      <c r="G811" s="264"/>
      <c r="H811" s="264"/>
      <c r="M811" s="325"/>
      <c r="N811" s="326"/>
      <c r="O811" s="264"/>
      <c r="S811" s="293"/>
    </row>
    <row r="812">
      <c r="B812" s="264"/>
      <c r="F812" s="264"/>
      <c r="G812" s="264"/>
      <c r="H812" s="264"/>
      <c r="M812" s="325"/>
      <c r="N812" s="326"/>
      <c r="O812" s="264"/>
      <c r="S812" s="293"/>
    </row>
    <row r="813">
      <c r="B813" s="264"/>
      <c r="F813" s="264"/>
      <c r="G813" s="264"/>
      <c r="H813" s="264"/>
      <c r="M813" s="325"/>
      <c r="N813" s="326"/>
      <c r="O813" s="264"/>
      <c r="S813" s="293"/>
    </row>
    <row r="814">
      <c r="B814" s="264"/>
      <c r="F814" s="264"/>
      <c r="G814" s="264"/>
      <c r="H814" s="264"/>
      <c r="M814" s="325"/>
      <c r="N814" s="326"/>
      <c r="O814" s="264"/>
      <c r="S814" s="293"/>
    </row>
    <row r="815">
      <c r="B815" s="264"/>
      <c r="F815" s="264"/>
      <c r="G815" s="264"/>
      <c r="H815" s="264"/>
      <c r="M815" s="325"/>
      <c r="N815" s="326"/>
      <c r="O815" s="264"/>
      <c r="S815" s="293"/>
    </row>
    <row r="816">
      <c r="B816" s="264"/>
      <c r="F816" s="264"/>
      <c r="G816" s="264"/>
      <c r="H816" s="264"/>
      <c r="M816" s="325"/>
      <c r="N816" s="326"/>
      <c r="O816" s="264"/>
      <c r="S816" s="293"/>
    </row>
    <row r="817">
      <c r="B817" s="264"/>
      <c r="F817" s="264"/>
      <c r="G817" s="264"/>
      <c r="H817" s="264"/>
      <c r="M817" s="325"/>
      <c r="N817" s="326"/>
      <c r="O817" s="264"/>
      <c r="S817" s="293"/>
    </row>
    <row r="818">
      <c r="B818" s="264"/>
      <c r="F818" s="264"/>
      <c r="G818" s="264"/>
      <c r="H818" s="264"/>
      <c r="M818" s="325"/>
      <c r="N818" s="326"/>
      <c r="O818" s="264"/>
      <c r="S818" s="293"/>
    </row>
    <row r="819">
      <c r="B819" s="264"/>
      <c r="F819" s="264"/>
      <c r="G819" s="264"/>
      <c r="H819" s="264"/>
      <c r="M819" s="325"/>
      <c r="N819" s="326"/>
      <c r="O819" s="264"/>
      <c r="S819" s="293"/>
    </row>
    <row r="820">
      <c r="B820" s="264"/>
      <c r="F820" s="264"/>
      <c r="G820" s="264"/>
      <c r="H820" s="264"/>
      <c r="M820" s="325"/>
      <c r="N820" s="326"/>
      <c r="O820" s="264"/>
      <c r="S820" s="293"/>
    </row>
    <row r="821">
      <c r="B821" s="264"/>
      <c r="F821" s="264"/>
      <c r="G821" s="264"/>
      <c r="H821" s="264"/>
      <c r="M821" s="325"/>
      <c r="N821" s="326"/>
      <c r="O821" s="264"/>
      <c r="S821" s="293"/>
    </row>
    <row r="822">
      <c r="B822" s="264"/>
      <c r="F822" s="264"/>
      <c r="G822" s="264"/>
      <c r="H822" s="264"/>
      <c r="M822" s="325"/>
      <c r="N822" s="326"/>
      <c r="O822" s="264"/>
      <c r="S822" s="293"/>
    </row>
    <row r="823">
      <c r="B823" s="264"/>
      <c r="F823" s="264"/>
      <c r="G823" s="264"/>
      <c r="H823" s="264"/>
      <c r="M823" s="325"/>
      <c r="N823" s="326"/>
      <c r="O823" s="264"/>
      <c r="S823" s="293"/>
    </row>
    <row r="824">
      <c r="B824" s="264"/>
      <c r="F824" s="264"/>
      <c r="G824" s="264"/>
      <c r="H824" s="264"/>
      <c r="M824" s="325"/>
      <c r="N824" s="326"/>
      <c r="O824" s="264"/>
      <c r="S824" s="293"/>
    </row>
    <row r="825">
      <c r="B825" s="264"/>
      <c r="F825" s="264"/>
      <c r="G825" s="264"/>
      <c r="H825" s="264"/>
      <c r="M825" s="325"/>
      <c r="N825" s="326"/>
      <c r="O825" s="264"/>
      <c r="S825" s="293"/>
    </row>
    <row r="826">
      <c r="B826" s="264"/>
      <c r="F826" s="264"/>
      <c r="G826" s="264"/>
      <c r="H826" s="264"/>
      <c r="M826" s="325"/>
      <c r="N826" s="326"/>
      <c r="O826" s="264"/>
      <c r="S826" s="293"/>
    </row>
    <row r="827">
      <c r="B827" s="264"/>
      <c r="F827" s="264"/>
      <c r="G827" s="264"/>
      <c r="H827" s="264"/>
      <c r="M827" s="325"/>
      <c r="N827" s="326"/>
      <c r="O827" s="264"/>
      <c r="S827" s="293"/>
    </row>
    <row r="828">
      <c r="B828" s="264"/>
      <c r="F828" s="264"/>
      <c r="G828" s="264"/>
      <c r="H828" s="264"/>
      <c r="M828" s="325"/>
      <c r="N828" s="326"/>
      <c r="O828" s="264"/>
      <c r="S828" s="293"/>
    </row>
    <row r="829">
      <c r="B829" s="264"/>
      <c r="F829" s="264"/>
      <c r="G829" s="264"/>
      <c r="H829" s="264"/>
      <c r="M829" s="325"/>
      <c r="N829" s="326"/>
      <c r="O829" s="264"/>
      <c r="S829" s="293"/>
    </row>
    <row r="830">
      <c r="B830" s="264"/>
      <c r="F830" s="264"/>
      <c r="G830" s="264"/>
      <c r="H830" s="264"/>
      <c r="M830" s="325"/>
      <c r="N830" s="326"/>
      <c r="O830" s="264"/>
      <c r="S830" s="293"/>
    </row>
    <row r="831">
      <c r="B831" s="264"/>
      <c r="F831" s="264"/>
      <c r="G831" s="264"/>
      <c r="H831" s="264"/>
      <c r="M831" s="325"/>
      <c r="N831" s="326"/>
      <c r="O831" s="264"/>
      <c r="S831" s="293"/>
    </row>
    <row r="832">
      <c r="B832" s="264"/>
      <c r="F832" s="264"/>
      <c r="G832" s="264"/>
      <c r="H832" s="264"/>
      <c r="M832" s="325"/>
      <c r="N832" s="326"/>
      <c r="O832" s="264"/>
      <c r="S832" s="293"/>
    </row>
    <row r="833">
      <c r="B833" s="264"/>
      <c r="F833" s="264"/>
      <c r="G833" s="264"/>
      <c r="H833" s="264"/>
      <c r="M833" s="325"/>
      <c r="N833" s="326"/>
      <c r="O833" s="264"/>
      <c r="S833" s="293"/>
    </row>
    <row r="834">
      <c r="B834" s="264"/>
      <c r="F834" s="264"/>
      <c r="G834" s="264"/>
      <c r="H834" s="264"/>
      <c r="M834" s="325"/>
      <c r="N834" s="326"/>
      <c r="O834" s="264"/>
      <c r="S834" s="293"/>
    </row>
    <row r="835">
      <c r="B835" s="264"/>
      <c r="F835" s="264"/>
      <c r="G835" s="264"/>
      <c r="H835" s="264"/>
      <c r="M835" s="325"/>
      <c r="N835" s="326"/>
      <c r="O835" s="264"/>
      <c r="S835" s="293"/>
    </row>
    <row r="836">
      <c r="B836" s="264"/>
      <c r="F836" s="264"/>
      <c r="G836" s="264"/>
      <c r="H836" s="264"/>
      <c r="M836" s="325"/>
      <c r="N836" s="326"/>
      <c r="O836" s="264"/>
      <c r="S836" s="293"/>
    </row>
    <row r="837">
      <c r="B837" s="264"/>
      <c r="F837" s="264"/>
      <c r="G837" s="264"/>
      <c r="H837" s="264"/>
      <c r="M837" s="325"/>
      <c r="N837" s="326"/>
      <c r="O837" s="264"/>
      <c r="S837" s="293"/>
    </row>
    <row r="838">
      <c r="B838" s="264"/>
      <c r="F838" s="264"/>
      <c r="G838" s="264"/>
      <c r="H838" s="264"/>
      <c r="M838" s="325"/>
      <c r="N838" s="326"/>
      <c r="O838" s="264"/>
      <c r="S838" s="293"/>
    </row>
    <row r="839">
      <c r="B839" s="264"/>
      <c r="F839" s="264"/>
      <c r="G839" s="264"/>
      <c r="H839" s="264"/>
      <c r="M839" s="325"/>
      <c r="N839" s="326"/>
      <c r="O839" s="264"/>
      <c r="S839" s="293"/>
    </row>
    <row r="840">
      <c r="B840" s="264"/>
      <c r="F840" s="264"/>
      <c r="G840" s="264"/>
      <c r="H840" s="264"/>
      <c r="M840" s="325"/>
      <c r="N840" s="326"/>
      <c r="O840" s="264"/>
      <c r="S840" s="293"/>
    </row>
    <row r="841">
      <c r="B841" s="264"/>
      <c r="F841" s="264"/>
      <c r="G841" s="264"/>
      <c r="H841" s="264"/>
      <c r="M841" s="325"/>
      <c r="N841" s="326"/>
      <c r="O841" s="264"/>
      <c r="S841" s="293"/>
    </row>
    <row r="842">
      <c r="B842" s="264"/>
      <c r="F842" s="264"/>
      <c r="G842" s="264"/>
      <c r="H842" s="264"/>
      <c r="M842" s="325"/>
      <c r="N842" s="326"/>
      <c r="O842" s="264"/>
      <c r="S842" s="293"/>
    </row>
    <row r="843">
      <c r="B843" s="264"/>
      <c r="F843" s="264"/>
      <c r="G843" s="264"/>
      <c r="H843" s="264"/>
      <c r="M843" s="325"/>
      <c r="N843" s="326"/>
      <c r="O843" s="264"/>
      <c r="S843" s="293"/>
    </row>
    <row r="844">
      <c r="B844" s="264"/>
      <c r="F844" s="264"/>
      <c r="G844" s="264"/>
      <c r="H844" s="264"/>
      <c r="M844" s="325"/>
      <c r="N844" s="326"/>
      <c r="O844" s="264"/>
      <c r="S844" s="293"/>
    </row>
    <row r="845">
      <c r="B845" s="264"/>
      <c r="F845" s="264"/>
      <c r="G845" s="264"/>
      <c r="H845" s="264"/>
      <c r="M845" s="325"/>
      <c r="N845" s="326"/>
      <c r="O845" s="264"/>
      <c r="S845" s="293"/>
    </row>
    <row r="846">
      <c r="B846" s="264"/>
      <c r="F846" s="264"/>
      <c r="G846" s="264"/>
      <c r="H846" s="264"/>
      <c r="M846" s="325"/>
      <c r="N846" s="326"/>
      <c r="O846" s="264"/>
      <c r="S846" s="293"/>
    </row>
    <row r="847">
      <c r="B847" s="264"/>
      <c r="F847" s="264"/>
      <c r="G847" s="264"/>
      <c r="H847" s="264"/>
      <c r="M847" s="325"/>
      <c r="N847" s="326"/>
      <c r="O847" s="264"/>
      <c r="S847" s="293"/>
    </row>
    <row r="848">
      <c r="B848" s="264"/>
      <c r="F848" s="264"/>
      <c r="G848" s="264"/>
      <c r="H848" s="264"/>
      <c r="M848" s="325"/>
      <c r="N848" s="326"/>
      <c r="O848" s="264"/>
      <c r="S848" s="293"/>
    </row>
    <row r="849">
      <c r="B849" s="264"/>
      <c r="F849" s="264"/>
      <c r="G849" s="264"/>
      <c r="H849" s="264"/>
      <c r="M849" s="325"/>
      <c r="N849" s="326"/>
      <c r="O849" s="264"/>
      <c r="S849" s="293"/>
    </row>
    <row r="850">
      <c r="B850" s="264"/>
      <c r="F850" s="264"/>
      <c r="G850" s="264"/>
      <c r="H850" s="264"/>
      <c r="M850" s="325"/>
      <c r="N850" s="326"/>
      <c r="O850" s="264"/>
      <c r="S850" s="293"/>
    </row>
    <row r="851">
      <c r="B851" s="264"/>
      <c r="F851" s="264"/>
      <c r="G851" s="264"/>
      <c r="H851" s="264"/>
      <c r="M851" s="325"/>
      <c r="N851" s="326"/>
      <c r="O851" s="264"/>
      <c r="S851" s="293"/>
    </row>
    <row r="852">
      <c r="B852" s="264"/>
      <c r="F852" s="264"/>
      <c r="G852" s="264"/>
      <c r="H852" s="264"/>
      <c r="M852" s="325"/>
      <c r="N852" s="326"/>
      <c r="O852" s="264"/>
      <c r="S852" s="293"/>
    </row>
    <row r="853">
      <c r="B853" s="264"/>
      <c r="F853" s="264"/>
      <c r="G853" s="264"/>
      <c r="H853" s="264"/>
      <c r="M853" s="325"/>
      <c r="N853" s="326"/>
      <c r="O853" s="264"/>
      <c r="S853" s="293"/>
    </row>
    <row r="854">
      <c r="B854" s="264"/>
      <c r="F854" s="264"/>
      <c r="G854" s="264"/>
      <c r="H854" s="264"/>
      <c r="M854" s="325"/>
      <c r="N854" s="326"/>
      <c r="O854" s="264"/>
      <c r="S854" s="293"/>
    </row>
    <row r="855">
      <c r="B855" s="264"/>
      <c r="F855" s="264"/>
      <c r="G855" s="264"/>
      <c r="H855" s="264"/>
      <c r="M855" s="325"/>
      <c r="N855" s="326"/>
      <c r="O855" s="264"/>
      <c r="S855" s="293"/>
    </row>
    <row r="856">
      <c r="B856" s="264"/>
      <c r="F856" s="264"/>
      <c r="G856" s="264"/>
      <c r="H856" s="264"/>
      <c r="M856" s="325"/>
      <c r="N856" s="326"/>
      <c r="O856" s="264"/>
      <c r="S856" s="293"/>
    </row>
    <row r="857">
      <c r="B857" s="264"/>
      <c r="F857" s="264"/>
      <c r="G857" s="264"/>
      <c r="H857" s="264"/>
      <c r="M857" s="325"/>
      <c r="N857" s="326"/>
      <c r="O857" s="264"/>
      <c r="S857" s="293"/>
    </row>
    <row r="858">
      <c r="B858" s="264"/>
      <c r="F858" s="264"/>
      <c r="G858" s="264"/>
      <c r="H858" s="264"/>
      <c r="M858" s="325"/>
      <c r="N858" s="326"/>
      <c r="O858" s="264"/>
      <c r="S858" s="293"/>
    </row>
    <row r="859">
      <c r="B859" s="264"/>
      <c r="F859" s="264"/>
      <c r="G859" s="264"/>
      <c r="H859" s="264"/>
      <c r="M859" s="325"/>
      <c r="N859" s="326"/>
      <c r="O859" s="264"/>
      <c r="S859" s="293"/>
    </row>
    <row r="860">
      <c r="B860" s="264"/>
      <c r="F860" s="264"/>
      <c r="G860" s="264"/>
      <c r="H860" s="264"/>
      <c r="M860" s="325"/>
      <c r="N860" s="326"/>
      <c r="O860" s="264"/>
      <c r="S860" s="293"/>
    </row>
    <row r="861">
      <c r="B861" s="264"/>
      <c r="F861" s="264"/>
      <c r="G861" s="264"/>
      <c r="H861" s="264"/>
      <c r="M861" s="325"/>
      <c r="N861" s="326"/>
      <c r="O861" s="264"/>
      <c r="S861" s="293"/>
    </row>
    <row r="862">
      <c r="B862" s="264"/>
      <c r="F862" s="264"/>
      <c r="G862" s="264"/>
      <c r="H862" s="264"/>
      <c r="M862" s="325"/>
      <c r="N862" s="326"/>
      <c r="O862" s="264"/>
      <c r="S862" s="293"/>
    </row>
    <row r="863">
      <c r="B863" s="264"/>
      <c r="F863" s="264"/>
      <c r="G863" s="264"/>
      <c r="H863" s="264"/>
      <c r="M863" s="325"/>
      <c r="N863" s="326"/>
      <c r="O863" s="264"/>
      <c r="S863" s="293"/>
    </row>
    <row r="864">
      <c r="B864" s="264"/>
      <c r="F864" s="264"/>
      <c r="G864" s="264"/>
      <c r="H864" s="264"/>
      <c r="M864" s="325"/>
      <c r="N864" s="326"/>
      <c r="O864" s="264"/>
      <c r="S864" s="293"/>
    </row>
    <row r="865">
      <c r="B865" s="264"/>
      <c r="F865" s="264"/>
      <c r="G865" s="264"/>
      <c r="H865" s="264"/>
      <c r="M865" s="325"/>
      <c r="N865" s="326"/>
      <c r="O865" s="264"/>
      <c r="S865" s="293"/>
    </row>
    <row r="866">
      <c r="B866" s="264"/>
      <c r="F866" s="264"/>
      <c r="G866" s="264"/>
      <c r="H866" s="264"/>
      <c r="M866" s="325"/>
      <c r="N866" s="326"/>
      <c r="O866" s="264"/>
      <c r="S866" s="293"/>
    </row>
    <row r="867">
      <c r="B867" s="264"/>
      <c r="F867" s="264"/>
      <c r="G867" s="264"/>
      <c r="H867" s="264"/>
      <c r="M867" s="325"/>
      <c r="N867" s="326"/>
      <c r="O867" s="264"/>
      <c r="S867" s="293"/>
    </row>
    <row r="868">
      <c r="B868" s="264"/>
      <c r="F868" s="264"/>
      <c r="G868" s="264"/>
      <c r="H868" s="264"/>
      <c r="M868" s="325"/>
      <c r="N868" s="326"/>
      <c r="O868" s="264"/>
      <c r="S868" s="293"/>
    </row>
    <row r="869">
      <c r="B869" s="264"/>
      <c r="F869" s="264"/>
      <c r="G869" s="264"/>
      <c r="H869" s="264"/>
      <c r="M869" s="325"/>
      <c r="N869" s="326"/>
      <c r="O869" s="264"/>
      <c r="S869" s="293"/>
    </row>
    <row r="870">
      <c r="B870" s="264"/>
      <c r="F870" s="264"/>
      <c r="G870" s="264"/>
      <c r="H870" s="264"/>
      <c r="M870" s="325"/>
      <c r="N870" s="326"/>
      <c r="O870" s="264"/>
      <c r="S870" s="293"/>
    </row>
    <row r="871">
      <c r="B871" s="264"/>
      <c r="F871" s="264"/>
      <c r="G871" s="264"/>
      <c r="H871" s="264"/>
      <c r="M871" s="325"/>
      <c r="N871" s="326"/>
      <c r="O871" s="264"/>
      <c r="S871" s="293"/>
    </row>
    <row r="872">
      <c r="B872" s="264"/>
      <c r="F872" s="264"/>
      <c r="G872" s="264"/>
      <c r="H872" s="264"/>
      <c r="M872" s="325"/>
      <c r="N872" s="326"/>
      <c r="O872" s="264"/>
      <c r="S872" s="293"/>
    </row>
    <row r="873">
      <c r="B873" s="264"/>
      <c r="F873" s="264"/>
      <c r="G873" s="264"/>
      <c r="H873" s="264"/>
      <c r="M873" s="325"/>
      <c r="N873" s="326"/>
      <c r="O873" s="264"/>
      <c r="S873" s="293"/>
    </row>
    <row r="874">
      <c r="B874" s="264"/>
      <c r="F874" s="264"/>
      <c r="G874" s="264"/>
      <c r="H874" s="264"/>
      <c r="M874" s="325"/>
      <c r="N874" s="326"/>
      <c r="O874" s="264"/>
      <c r="S874" s="293"/>
    </row>
    <row r="875">
      <c r="B875" s="264"/>
      <c r="F875" s="264"/>
      <c r="G875" s="264"/>
      <c r="H875" s="264"/>
      <c r="M875" s="325"/>
      <c r="N875" s="326"/>
      <c r="O875" s="264"/>
      <c r="S875" s="293"/>
    </row>
    <row r="876">
      <c r="B876" s="264"/>
      <c r="F876" s="264"/>
      <c r="G876" s="264"/>
      <c r="H876" s="264"/>
      <c r="M876" s="325"/>
      <c r="N876" s="326"/>
      <c r="O876" s="264"/>
      <c r="S876" s="293"/>
    </row>
    <row r="877">
      <c r="B877" s="264"/>
      <c r="F877" s="264"/>
      <c r="G877" s="264"/>
      <c r="H877" s="264"/>
      <c r="M877" s="325"/>
      <c r="N877" s="326"/>
      <c r="O877" s="264"/>
      <c r="S877" s="293"/>
    </row>
    <row r="878">
      <c r="B878" s="264"/>
      <c r="F878" s="264"/>
      <c r="G878" s="264"/>
      <c r="H878" s="264"/>
      <c r="M878" s="325"/>
      <c r="N878" s="326"/>
      <c r="O878" s="264"/>
      <c r="S878" s="293"/>
    </row>
    <row r="879">
      <c r="B879" s="264"/>
      <c r="F879" s="264"/>
      <c r="G879" s="264"/>
      <c r="H879" s="264"/>
      <c r="M879" s="325"/>
      <c r="N879" s="326"/>
      <c r="O879" s="264"/>
      <c r="S879" s="293"/>
    </row>
    <row r="880">
      <c r="B880" s="264"/>
      <c r="F880" s="264"/>
      <c r="G880" s="264"/>
      <c r="H880" s="264"/>
      <c r="M880" s="325"/>
      <c r="N880" s="326"/>
      <c r="O880" s="264"/>
      <c r="S880" s="293"/>
    </row>
    <row r="881">
      <c r="B881" s="264"/>
      <c r="F881" s="264"/>
      <c r="G881" s="264"/>
      <c r="H881" s="264"/>
      <c r="M881" s="325"/>
      <c r="N881" s="326"/>
      <c r="O881" s="264"/>
      <c r="S881" s="293"/>
    </row>
    <row r="882">
      <c r="B882" s="264"/>
      <c r="F882" s="264"/>
      <c r="G882" s="264"/>
      <c r="H882" s="264"/>
      <c r="M882" s="325"/>
      <c r="N882" s="326"/>
      <c r="O882" s="264"/>
      <c r="S882" s="293"/>
    </row>
    <row r="883">
      <c r="B883" s="264"/>
      <c r="F883" s="264"/>
      <c r="G883" s="264"/>
      <c r="H883" s="264"/>
      <c r="M883" s="325"/>
      <c r="N883" s="326"/>
      <c r="O883" s="264"/>
      <c r="S883" s="293"/>
    </row>
    <row r="884">
      <c r="B884" s="264"/>
      <c r="F884" s="264"/>
      <c r="G884" s="264"/>
      <c r="H884" s="264"/>
      <c r="M884" s="325"/>
      <c r="N884" s="326"/>
      <c r="O884" s="264"/>
      <c r="S884" s="293"/>
    </row>
    <row r="885">
      <c r="B885" s="264"/>
      <c r="F885" s="264"/>
      <c r="G885" s="264"/>
      <c r="H885" s="264"/>
      <c r="M885" s="325"/>
      <c r="N885" s="326"/>
      <c r="O885" s="264"/>
      <c r="S885" s="293"/>
    </row>
    <row r="886">
      <c r="B886" s="264"/>
      <c r="F886" s="264"/>
      <c r="G886" s="264"/>
      <c r="H886" s="264"/>
      <c r="M886" s="325"/>
      <c r="N886" s="326"/>
      <c r="O886" s="264"/>
      <c r="S886" s="293"/>
    </row>
    <row r="887">
      <c r="B887" s="264"/>
      <c r="F887" s="264"/>
      <c r="G887" s="264"/>
      <c r="H887" s="264"/>
      <c r="M887" s="325"/>
      <c r="N887" s="326"/>
      <c r="O887" s="264"/>
      <c r="S887" s="293"/>
    </row>
    <row r="888">
      <c r="B888" s="264"/>
      <c r="F888" s="264"/>
      <c r="G888" s="264"/>
      <c r="H888" s="264"/>
      <c r="M888" s="325"/>
      <c r="N888" s="326"/>
      <c r="O888" s="264"/>
      <c r="S888" s="293"/>
    </row>
    <row r="889">
      <c r="B889" s="264"/>
      <c r="F889" s="264"/>
      <c r="G889" s="264"/>
      <c r="H889" s="264"/>
      <c r="M889" s="325"/>
      <c r="N889" s="326"/>
      <c r="O889" s="264"/>
      <c r="S889" s="293"/>
    </row>
    <row r="890">
      <c r="B890" s="264"/>
      <c r="F890" s="264"/>
      <c r="G890" s="264"/>
      <c r="H890" s="264"/>
      <c r="M890" s="325"/>
      <c r="N890" s="326"/>
      <c r="O890" s="264"/>
      <c r="S890" s="293"/>
    </row>
    <row r="891">
      <c r="B891" s="264"/>
      <c r="F891" s="264"/>
      <c r="G891" s="264"/>
      <c r="H891" s="264"/>
      <c r="M891" s="325"/>
      <c r="N891" s="326"/>
      <c r="O891" s="264"/>
      <c r="S891" s="293"/>
    </row>
    <row r="892">
      <c r="B892" s="264"/>
      <c r="F892" s="264"/>
      <c r="G892" s="264"/>
      <c r="H892" s="264"/>
      <c r="M892" s="325"/>
      <c r="N892" s="326"/>
      <c r="O892" s="264"/>
      <c r="S892" s="293"/>
    </row>
    <row r="893">
      <c r="B893" s="264"/>
      <c r="F893" s="264"/>
      <c r="G893" s="264"/>
      <c r="H893" s="264"/>
      <c r="M893" s="325"/>
      <c r="N893" s="326"/>
      <c r="O893" s="264"/>
      <c r="S893" s="293"/>
    </row>
    <row r="894">
      <c r="B894" s="264"/>
      <c r="F894" s="264"/>
      <c r="G894" s="264"/>
      <c r="H894" s="264"/>
      <c r="M894" s="325"/>
      <c r="N894" s="326"/>
      <c r="O894" s="264"/>
      <c r="S894" s="293"/>
    </row>
    <row r="895">
      <c r="B895" s="264"/>
      <c r="F895" s="264"/>
      <c r="G895" s="264"/>
      <c r="H895" s="264"/>
      <c r="M895" s="325"/>
      <c r="N895" s="326"/>
      <c r="O895" s="264"/>
      <c r="S895" s="293"/>
    </row>
    <row r="896">
      <c r="B896" s="264"/>
      <c r="F896" s="264"/>
      <c r="G896" s="264"/>
      <c r="H896" s="264"/>
      <c r="M896" s="325"/>
      <c r="N896" s="326"/>
      <c r="O896" s="264"/>
      <c r="S896" s="293"/>
    </row>
    <row r="897">
      <c r="B897" s="264"/>
      <c r="F897" s="264"/>
      <c r="G897" s="264"/>
      <c r="H897" s="264"/>
      <c r="M897" s="325"/>
      <c r="N897" s="326"/>
      <c r="O897" s="264"/>
      <c r="S897" s="293"/>
    </row>
    <row r="898">
      <c r="B898" s="264"/>
      <c r="F898" s="264"/>
      <c r="G898" s="264"/>
      <c r="H898" s="264"/>
      <c r="M898" s="325"/>
      <c r="N898" s="326"/>
      <c r="O898" s="264"/>
      <c r="S898" s="293"/>
    </row>
    <row r="899">
      <c r="B899" s="264"/>
      <c r="F899" s="264"/>
      <c r="G899" s="264"/>
      <c r="H899" s="264"/>
      <c r="M899" s="325"/>
      <c r="N899" s="326"/>
      <c r="O899" s="264"/>
      <c r="S899" s="293"/>
    </row>
    <row r="900">
      <c r="B900" s="264"/>
      <c r="F900" s="264"/>
      <c r="G900" s="264"/>
      <c r="H900" s="264"/>
      <c r="M900" s="325"/>
      <c r="N900" s="326"/>
      <c r="O900" s="264"/>
      <c r="S900" s="293"/>
    </row>
    <row r="901">
      <c r="B901" s="264"/>
      <c r="F901" s="264"/>
      <c r="G901" s="264"/>
      <c r="H901" s="264"/>
      <c r="M901" s="325"/>
      <c r="N901" s="326"/>
      <c r="O901" s="264"/>
      <c r="S901" s="293"/>
    </row>
    <row r="902">
      <c r="B902" s="264"/>
      <c r="F902" s="264"/>
      <c r="G902" s="264"/>
      <c r="H902" s="264"/>
      <c r="M902" s="325"/>
      <c r="N902" s="326"/>
      <c r="O902" s="264"/>
      <c r="S902" s="293"/>
    </row>
    <row r="903">
      <c r="B903" s="264"/>
      <c r="F903" s="264"/>
      <c r="G903" s="264"/>
      <c r="H903" s="264"/>
      <c r="M903" s="325"/>
      <c r="N903" s="326"/>
      <c r="O903" s="264"/>
      <c r="S903" s="293"/>
    </row>
    <row r="904">
      <c r="B904" s="264"/>
      <c r="F904" s="264"/>
      <c r="G904" s="264"/>
      <c r="H904" s="264"/>
      <c r="M904" s="325"/>
      <c r="N904" s="326"/>
      <c r="O904" s="264"/>
      <c r="S904" s="293"/>
    </row>
    <row r="905">
      <c r="B905" s="264"/>
      <c r="F905" s="264"/>
      <c r="G905" s="264"/>
      <c r="H905" s="264"/>
      <c r="M905" s="325"/>
      <c r="N905" s="326"/>
      <c r="O905" s="264"/>
      <c r="S905" s="293"/>
    </row>
    <row r="906">
      <c r="B906" s="264"/>
      <c r="F906" s="264"/>
      <c r="G906" s="264"/>
      <c r="H906" s="264"/>
      <c r="M906" s="325"/>
      <c r="N906" s="326"/>
      <c r="O906" s="264"/>
      <c r="S906" s="293"/>
    </row>
    <row r="907">
      <c r="B907" s="264"/>
      <c r="F907" s="264"/>
      <c r="G907" s="264"/>
      <c r="H907" s="264"/>
      <c r="M907" s="325"/>
      <c r="N907" s="326"/>
      <c r="O907" s="264"/>
      <c r="S907" s="293"/>
    </row>
    <row r="908">
      <c r="B908" s="264"/>
      <c r="F908" s="264"/>
      <c r="G908" s="264"/>
      <c r="H908" s="264"/>
      <c r="M908" s="325"/>
      <c r="N908" s="326"/>
      <c r="O908" s="264"/>
      <c r="S908" s="293"/>
    </row>
    <row r="909">
      <c r="B909" s="264"/>
      <c r="F909" s="264"/>
      <c r="G909" s="264"/>
      <c r="H909" s="264"/>
      <c r="M909" s="325"/>
      <c r="N909" s="326"/>
      <c r="O909" s="264"/>
      <c r="S909" s="293"/>
    </row>
    <row r="910">
      <c r="B910" s="264"/>
      <c r="F910" s="264"/>
      <c r="G910" s="264"/>
      <c r="H910" s="264"/>
      <c r="M910" s="325"/>
      <c r="N910" s="326"/>
      <c r="O910" s="264"/>
      <c r="S910" s="293"/>
    </row>
    <row r="911">
      <c r="B911" s="264"/>
      <c r="F911" s="264"/>
      <c r="G911" s="264"/>
      <c r="H911" s="264"/>
      <c r="M911" s="325"/>
      <c r="N911" s="326"/>
      <c r="O911" s="264"/>
      <c r="S911" s="293"/>
    </row>
    <row r="912">
      <c r="B912" s="264"/>
      <c r="F912" s="264"/>
      <c r="G912" s="264"/>
      <c r="H912" s="264"/>
      <c r="M912" s="325"/>
      <c r="N912" s="326"/>
      <c r="O912" s="264"/>
      <c r="S912" s="293"/>
    </row>
    <row r="913">
      <c r="B913" s="264"/>
      <c r="F913" s="264"/>
      <c r="G913" s="264"/>
      <c r="H913" s="264"/>
      <c r="M913" s="325"/>
      <c r="N913" s="326"/>
      <c r="O913" s="264"/>
      <c r="S913" s="293"/>
    </row>
    <row r="914">
      <c r="B914" s="264"/>
      <c r="F914" s="264"/>
      <c r="G914" s="264"/>
      <c r="H914" s="264"/>
      <c r="M914" s="325"/>
      <c r="N914" s="326"/>
      <c r="O914" s="264"/>
      <c r="S914" s="293"/>
    </row>
    <row r="915">
      <c r="B915" s="264"/>
      <c r="F915" s="264"/>
      <c r="G915" s="264"/>
      <c r="H915" s="264"/>
      <c r="M915" s="325"/>
      <c r="N915" s="326"/>
      <c r="O915" s="264"/>
      <c r="S915" s="293"/>
    </row>
    <row r="916">
      <c r="B916" s="264"/>
      <c r="F916" s="264"/>
      <c r="G916" s="264"/>
      <c r="H916" s="264"/>
      <c r="M916" s="325"/>
      <c r="N916" s="326"/>
      <c r="O916" s="264"/>
      <c r="S916" s="293"/>
    </row>
    <row r="917">
      <c r="B917" s="264"/>
      <c r="F917" s="264"/>
      <c r="G917" s="264"/>
      <c r="H917" s="264"/>
      <c r="M917" s="325"/>
      <c r="N917" s="326"/>
      <c r="O917" s="264"/>
      <c r="S917" s="293"/>
    </row>
    <row r="918">
      <c r="B918" s="264"/>
      <c r="F918" s="264"/>
      <c r="G918" s="264"/>
      <c r="H918" s="264"/>
      <c r="M918" s="325"/>
      <c r="N918" s="326"/>
      <c r="O918" s="264"/>
      <c r="S918" s="293"/>
    </row>
    <row r="919">
      <c r="B919" s="264"/>
      <c r="F919" s="264"/>
      <c r="G919" s="264"/>
      <c r="H919" s="264"/>
      <c r="M919" s="325"/>
      <c r="N919" s="326"/>
      <c r="O919" s="264"/>
      <c r="S919" s="293"/>
    </row>
    <row r="920">
      <c r="B920" s="264"/>
      <c r="F920" s="264"/>
      <c r="G920" s="264"/>
      <c r="H920" s="264"/>
      <c r="M920" s="325"/>
      <c r="N920" s="326"/>
      <c r="O920" s="264"/>
      <c r="S920" s="293"/>
    </row>
    <row r="921">
      <c r="B921" s="264"/>
      <c r="F921" s="264"/>
      <c r="G921" s="264"/>
      <c r="H921" s="264"/>
      <c r="M921" s="325"/>
      <c r="N921" s="326"/>
      <c r="O921" s="264"/>
      <c r="S921" s="293"/>
    </row>
    <row r="922">
      <c r="B922" s="264"/>
      <c r="F922" s="264"/>
      <c r="G922" s="264"/>
      <c r="H922" s="264"/>
      <c r="M922" s="325"/>
      <c r="N922" s="326"/>
      <c r="O922" s="264"/>
      <c r="S922" s="293"/>
    </row>
    <row r="923">
      <c r="B923" s="264"/>
      <c r="F923" s="264"/>
      <c r="G923" s="264"/>
      <c r="H923" s="264"/>
      <c r="M923" s="325"/>
      <c r="N923" s="326"/>
      <c r="O923" s="264"/>
      <c r="S923" s="293"/>
    </row>
    <row r="924">
      <c r="B924" s="264"/>
      <c r="F924" s="264"/>
      <c r="G924" s="264"/>
      <c r="H924" s="264"/>
      <c r="M924" s="325"/>
      <c r="N924" s="326"/>
      <c r="O924" s="264"/>
      <c r="S924" s="293"/>
    </row>
    <row r="925">
      <c r="B925" s="264"/>
      <c r="F925" s="264"/>
      <c r="G925" s="264"/>
      <c r="H925" s="264"/>
      <c r="M925" s="325"/>
      <c r="N925" s="326"/>
      <c r="O925" s="264"/>
      <c r="S925" s="293"/>
    </row>
    <row r="926">
      <c r="B926" s="264"/>
      <c r="F926" s="264"/>
      <c r="G926" s="264"/>
      <c r="H926" s="264"/>
      <c r="M926" s="325"/>
      <c r="N926" s="326"/>
      <c r="O926" s="264"/>
      <c r="S926" s="293"/>
    </row>
    <row r="927">
      <c r="B927" s="264"/>
      <c r="F927" s="264"/>
      <c r="G927" s="264"/>
      <c r="H927" s="264"/>
      <c r="M927" s="325"/>
      <c r="N927" s="326"/>
      <c r="O927" s="264"/>
      <c r="S927" s="293"/>
    </row>
    <row r="928">
      <c r="B928" s="264"/>
      <c r="F928" s="264"/>
      <c r="G928" s="264"/>
      <c r="H928" s="264"/>
      <c r="M928" s="325"/>
      <c r="N928" s="326"/>
      <c r="O928" s="264"/>
      <c r="S928" s="293"/>
    </row>
    <row r="929">
      <c r="B929" s="264"/>
      <c r="F929" s="264"/>
      <c r="G929" s="264"/>
      <c r="H929" s="264"/>
      <c r="M929" s="325"/>
      <c r="N929" s="326"/>
      <c r="O929" s="264"/>
      <c r="S929" s="293"/>
    </row>
    <row r="930">
      <c r="B930" s="264"/>
      <c r="F930" s="264"/>
      <c r="G930" s="264"/>
      <c r="H930" s="264"/>
      <c r="M930" s="325"/>
      <c r="N930" s="326"/>
      <c r="O930" s="264"/>
      <c r="S930" s="293"/>
    </row>
    <row r="931">
      <c r="B931" s="264"/>
      <c r="F931" s="264"/>
      <c r="G931" s="264"/>
      <c r="H931" s="264"/>
      <c r="M931" s="325"/>
      <c r="N931" s="326"/>
      <c r="O931" s="264"/>
      <c r="S931" s="293"/>
    </row>
    <row r="932">
      <c r="B932" s="264"/>
      <c r="F932" s="264"/>
      <c r="G932" s="264"/>
      <c r="H932" s="264"/>
      <c r="M932" s="325"/>
      <c r="N932" s="326"/>
      <c r="O932" s="264"/>
      <c r="S932" s="293"/>
    </row>
    <row r="933">
      <c r="B933" s="264"/>
      <c r="F933" s="264"/>
      <c r="G933" s="264"/>
      <c r="H933" s="264"/>
      <c r="M933" s="325"/>
      <c r="N933" s="326"/>
      <c r="O933" s="264"/>
      <c r="S933" s="293"/>
    </row>
    <row r="934">
      <c r="B934" s="264"/>
      <c r="F934" s="264"/>
      <c r="G934" s="264"/>
      <c r="H934" s="264"/>
      <c r="M934" s="325"/>
      <c r="N934" s="326"/>
      <c r="O934" s="264"/>
      <c r="S934" s="293"/>
    </row>
    <row r="935">
      <c r="B935" s="264"/>
      <c r="F935" s="264"/>
      <c r="G935" s="264"/>
      <c r="H935" s="264"/>
      <c r="M935" s="325"/>
      <c r="N935" s="326"/>
      <c r="O935" s="264"/>
      <c r="S935" s="293"/>
    </row>
    <row r="936">
      <c r="B936" s="264"/>
      <c r="F936" s="264"/>
      <c r="G936" s="264"/>
      <c r="H936" s="264"/>
      <c r="M936" s="325"/>
      <c r="N936" s="326"/>
      <c r="O936" s="264"/>
      <c r="S936" s="293"/>
    </row>
    <row r="937">
      <c r="B937" s="264"/>
      <c r="F937" s="264"/>
      <c r="G937" s="264"/>
      <c r="H937" s="264"/>
      <c r="M937" s="325"/>
      <c r="N937" s="326"/>
      <c r="O937" s="264"/>
      <c r="S937" s="293"/>
    </row>
    <row r="938">
      <c r="B938" s="264"/>
      <c r="F938" s="264"/>
      <c r="G938" s="264"/>
      <c r="H938" s="264"/>
      <c r="M938" s="325"/>
      <c r="N938" s="326"/>
      <c r="O938" s="264"/>
      <c r="S938" s="293"/>
    </row>
    <row r="939">
      <c r="B939" s="264"/>
      <c r="F939" s="264"/>
      <c r="G939" s="264"/>
      <c r="H939" s="264"/>
      <c r="M939" s="325"/>
      <c r="N939" s="326"/>
      <c r="O939" s="264"/>
      <c r="S939" s="293"/>
    </row>
    <row r="940">
      <c r="B940" s="264"/>
      <c r="F940" s="264"/>
      <c r="G940" s="264"/>
      <c r="H940" s="264"/>
      <c r="M940" s="325"/>
      <c r="N940" s="326"/>
      <c r="O940" s="264"/>
      <c r="S940" s="293"/>
    </row>
    <row r="941">
      <c r="B941" s="264"/>
      <c r="F941" s="264"/>
      <c r="G941" s="264"/>
      <c r="H941" s="264"/>
      <c r="M941" s="325"/>
      <c r="N941" s="326"/>
      <c r="O941" s="264"/>
      <c r="S941" s="293"/>
    </row>
    <row r="942">
      <c r="B942" s="264"/>
      <c r="F942" s="264"/>
      <c r="G942" s="264"/>
      <c r="H942" s="264"/>
      <c r="M942" s="325"/>
      <c r="N942" s="326"/>
      <c r="O942" s="264"/>
      <c r="S942" s="293"/>
    </row>
    <row r="943">
      <c r="B943" s="264"/>
      <c r="F943" s="264"/>
      <c r="G943" s="264"/>
      <c r="H943" s="264"/>
      <c r="M943" s="325"/>
      <c r="N943" s="326"/>
      <c r="O943" s="264"/>
      <c r="S943" s="293"/>
    </row>
    <row r="944">
      <c r="B944" s="264"/>
      <c r="F944" s="264"/>
      <c r="G944" s="264"/>
      <c r="H944" s="264"/>
      <c r="M944" s="325"/>
      <c r="N944" s="326"/>
      <c r="O944" s="264"/>
      <c r="S944" s="293"/>
    </row>
    <row r="945">
      <c r="B945" s="264"/>
      <c r="F945" s="264"/>
      <c r="G945" s="264"/>
      <c r="H945" s="264"/>
      <c r="M945" s="325"/>
      <c r="N945" s="326"/>
      <c r="O945" s="264"/>
      <c r="S945" s="293"/>
    </row>
    <row r="946">
      <c r="B946" s="264"/>
      <c r="F946" s="264"/>
      <c r="G946" s="264"/>
      <c r="H946" s="264"/>
      <c r="M946" s="325"/>
      <c r="N946" s="326"/>
      <c r="O946" s="264"/>
      <c r="S946" s="293"/>
    </row>
    <row r="947">
      <c r="B947" s="264"/>
      <c r="F947" s="264"/>
      <c r="G947" s="264"/>
      <c r="H947" s="264"/>
      <c r="M947" s="325"/>
      <c r="N947" s="326"/>
      <c r="O947" s="264"/>
      <c r="S947" s="293"/>
    </row>
    <row r="948">
      <c r="B948" s="264"/>
      <c r="F948" s="264"/>
      <c r="G948" s="264"/>
      <c r="H948" s="264"/>
      <c r="M948" s="325"/>
      <c r="N948" s="326"/>
      <c r="O948" s="264"/>
      <c r="S948" s="293"/>
    </row>
    <row r="949">
      <c r="B949" s="264"/>
      <c r="F949" s="264"/>
      <c r="G949" s="264"/>
      <c r="H949" s="264"/>
      <c r="M949" s="325"/>
      <c r="N949" s="326"/>
      <c r="O949" s="264"/>
      <c r="S949" s="293"/>
    </row>
    <row r="950">
      <c r="B950" s="264"/>
      <c r="F950" s="264"/>
      <c r="G950" s="264"/>
      <c r="H950" s="264"/>
      <c r="M950" s="325"/>
      <c r="N950" s="326"/>
      <c r="O950" s="264"/>
      <c r="S950" s="293"/>
    </row>
    <row r="951">
      <c r="B951" s="264"/>
      <c r="F951" s="264"/>
      <c r="G951" s="264"/>
      <c r="H951" s="264"/>
      <c r="M951" s="325"/>
      <c r="N951" s="326"/>
      <c r="O951" s="264"/>
      <c r="S951" s="293"/>
    </row>
    <row r="952">
      <c r="B952" s="264"/>
      <c r="F952" s="264"/>
      <c r="G952" s="264"/>
      <c r="H952" s="264"/>
      <c r="M952" s="325"/>
      <c r="N952" s="326"/>
      <c r="O952" s="264"/>
      <c r="S952" s="293"/>
    </row>
    <row r="953">
      <c r="B953" s="264"/>
      <c r="F953" s="264"/>
      <c r="G953" s="264"/>
      <c r="H953" s="264"/>
      <c r="M953" s="325"/>
      <c r="N953" s="326"/>
      <c r="O953" s="264"/>
      <c r="S953" s="293"/>
    </row>
    <row r="954">
      <c r="B954" s="264"/>
      <c r="F954" s="264"/>
      <c r="G954" s="264"/>
      <c r="H954" s="264"/>
      <c r="M954" s="325"/>
      <c r="N954" s="326"/>
      <c r="O954" s="264"/>
      <c r="S954" s="293"/>
    </row>
    <row r="955">
      <c r="B955" s="264"/>
      <c r="F955" s="264"/>
      <c r="G955" s="264"/>
      <c r="H955" s="264"/>
      <c r="M955" s="325"/>
      <c r="N955" s="326"/>
      <c r="O955" s="264"/>
      <c r="S955" s="293"/>
    </row>
    <row r="956">
      <c r="B956" s="264"/>
      <c r="F956" s="264"/>
      <c r="G956" s="264"/>
      <c r="H956" s="264"/>
      <c r="M956" s="325"/>
      <c r="N956" s="326"/>
      <c r="O956" s="264"/>
      <c r="S956" s="293"/>
    </row>
    <row r="957">
      <c r="B957" s="264"/>
      <c r="F957" s="264"/>
      <c r="G957" s="264"/>
      <c r="H957" s="264"/>
      <c r="M957" s="325"/>
      <c r="N957" s="326"/>
      <c r="O957" s="264"/>
      <c r="S957" s="293"/>
    </row>
    <row r="958">
      <c r="B958" s="264"/>
      <c r="F958" s="264"/>
      <c r="G958" s="264"/>
      <c r="H958" s="264"/>
      <c r="M958" s="325"/>
      <c r="N958" s="326"/>
      <c r="O958" s="264"/>
      <c r="S958" s="293"/>
    </row>
    <row r="959">
      <c r="B959" s="264"/>
      <c r="F959" s="264"/>
      <c r="G959" s="264"/>
      <c r="H959" s="264"/>
      <c r="M959" s="325"/>
      <c r="N959" s="326"/>
      <c r="O959" s="264"/>
      <c r="S959" s="293"/>
    </row>
    <row r="960">
      <c r="B960" s="264"/>
      <c r="F960" s="264"/>
      <c r="G960" s="264"/>
      <c r="H960" s="264"/>
      <c r="M960" s="325"/>
      <c r="N960" s="326"/>
      <c r="O960" s="264"/>
      <c r="S960" s="293"/>
    </row>
    <row r="961">
      <c r="B961" s="264"/>
      <c r="F961" s="264"/>
      <c r="G961" s="264"/>
      <c r="H961" s="264"/>
      <c r="M961" s="325"/>
      <c r="N961" s="326"/>
      <c r="O961" s="264"/>
      <c r="S961" s="293"/>
    </row>
    <row r="962">
      <c r="B962" s="264"/>
      <c r="F962" s="264"/>
      <c r="G962" s="264"/>
      <c r="H962" s="264"/>
      <c r="M962" s="325"/>
      <c r="N962" s="326"/>
      <c r="O962" s="264"/>
      <c r="S962" s="293"/>
    </row>
    <row r="963">
      <c r="B963" s="264"/>
      <c r="F963" s="264"/>
      <c r="G963" s="264"/>
      <c r="H963" s="264"/>
      <c r="M963" s="325"/>
      <c r="N963" s="326"/>
      <c r="O963" s="264"/>
      <c r="S963" s="293"/>
    </row>
    <row r="964">
      <c r="B964" s="264"/>
      <c r="F964" s="264"/>
      <c r="G964" s="264"/>
      <c r="H964" s="264"/>
      <c r="M964" s="325"/>
      <c r="N964" s="326"/>
      <c r="O964" s="264"/>
      <c r="S964" s="293"/>
    </row>
    <row r="965">
      <c r="B965" s="264"/>
      <c r="F965" s="264"/>
      <c r="G965" s="264"/>
      <c r="H965" s="264"/>
      <c r="M965" s="325"/>
      <c r="N965" s="326"/>
      <c r="O965" s="264"/>
      <c r="S965" s="293"/>
    </row>
    <row r="966">
      <c r="B966" s="264"/>
      <c r="F966" s="264"/>
      <c r="G966" s="264"/>
      <c r="H966" s="264"/>
      <c r="M966" s="325"/>
      <c r="N966" s="326"/>
      <c r="O966" s="264"/>
      <c r="S966" s="293"/>
    </row>
    <row r="967">
      <c r="B967" s="264"/>
      <c r="F967" s="264"/>
      <c r="G967" s="264"/>
      <c r="H967" s="264"/>
      <c r="M967" s="325"/>
      <c r="N967" s="326"/>
      <c r="O967" s="264"/>
      <c r="S967" s="293"/>
    </row>
    <row r="968">
      <c r="B968" s="264"/>
      <c r="F968" s="264"/>
      <c r="G968" s="264"/>
      <c r="H968" s="264"/>
      <c r="M968" s="325"/>
      <c r="N968" s="326"/>
      <c r="O968" s="264"/>
      <c r="S968" s="293"/>
    </row>
    <row r="969">
      <c r="B969" s="264"/>
      <c r="F969" s="264"/>
      <c r="G969" s="264"/>
      <c r="H969" s="264"/>
      <c r="M969" s="325"/>
      <c r="N969" s="326"/>
      <c r="O969" s="264"/>
      <c r="S969" s="293"/>
    </row>
    <row r="970">
      <c r="B970" s="264"/>
      <c r="F970" s="264"/>
      <c r="G970" s="264"/>
      <c r="H970" s="264"/>
      <c r="M970" s="325"/>
      <c r="N970" s="326"/>
      <c r="O970" s="264"/>
      <c r="S970" s="293"/>
    </row>
    <row r="971">
      <c r="B971" s="264"/>
      <c r="F971" s="264"/>
      <c r="G971" s="264"/>
      <c r="H971" s="264"/>
      <c r="M971" s="325"/>
      <c r="N971" s="326"/>
      <c r="O971" s="264"/>
      <c r="S971" s="293"/>
    </row>
    <row r="972">
      <c r="B972" s="264"/>
      <c r="F972" s="264"/>
      <c r="G972" s="264"/>
      <c r="H972" s="264"/>
      <c r="M972" s="325"/>
      <c r="N972" s="326"/>
      <c r="O972" s="264"/>
      <c r="S972" s="293"/>
    </row>
    <row r="973">
      <c r="B973" s="264"/>
      <c r="F973" s="264"/>
      <c r="G973" s="264"/>
      <c r="H973" s="264"/>
      <c r="M973" s="325"/>
      <c r="N973" s="326"/>
      <c r="O973" s="264"/>
      <c r="S973" s="293"/>
    </row>
    <row r="974">
      <c r="B974" s="264"/>
      <c r="F974" s="264"/>
      <c r="G974" s="264"/>
      <c r="H974" s="264"/>
      <c r="M974" s="325"/>
      <c r="N974" s="326"/>
      <c r="O974" s="264"/>
      <c r="S974" s="293"/>
    </row>
    <row r="975">
      <c r="B975" s="264"/>
      <c r="F975" s="264"/>
      <c r="G975" s="264"/>
      <c r="H975" s="264"/>
      <c r="M975" s="325"/>
      <c r="N975" s="326"/>
      <c r="O975" s="264"/>
      <c r="S975" s="293"/>
    </row>
    <row r="976">
      <c r="B976" s="264"/>
      <c r="F976" s="264"/>
      <c r="G976" s="264"/>
      <c r="H976" s="264"/>
      <c r="M976" s="325"/>
      <c r="N976" s="326"/>
      <c r="O976" s="264"/>
      <c r="S976" s="293"/>
    </row>
    <row r="977">
      <c r="B977" s="264"/>
      <c r="F977" s="264"/>
      <c r="G977" s="264"/>
      <c r="H977" s="264"/>
      <c r="M977" s="325"/>
      <c r="N977" s="326"/>
      <c r="O977" s="264"/>
      <c r="S977" s="293"/>
    </row>
    <row r="978">
      <c r="B978" s="264"/>
      <c r="F978" s="264"/>
      <c r="G978" s="264"/>
      <c r="H978" s="264"/>
      <c r="M978" s="325"/>
      <c r="N978" s="326"/>
      <c r="O978" s="264"/>
      <c r="S978" s="293"/>
    </row>
    <row r="979">
      <c r="B979" s="264"/>
      <c r="F979" s="264"/>
      <c r="G979" s="264"/>
      <c r="H979" s="264"/>
      <c r="M979" s="325"/>
      <c r="N979" s="326"/>
      <c r="O979" s="264"/>
      <c r="S979" s="293"/>
    </row>
    <row r="980">
      <c r="B980" s="264"/>
      <c r="F980" s="264"/>
      <c r="G980" s="264"/>
      <c r="H980" s="264"/>
      <c r="M980" s="325"/>
      <c r="N980" s="326"/>
      <c r="O980" s="264"/>
      <c r="S980" s="293"/>
    </row>
    <row r="981">
      <c r="B981" s="264"/>
      <c r="F981" s="264"/>
      <c r="G981" s="264"/>
      <c r="H981" s="264"/>
      <c r="M981" s="325"/>
      <c r="N981" s="326"/>
      <c r="O981" s="264"/>
      <c r="S981" s="293"/>
    </row>
    <row r="982">
      <c r="B982" s="264"/>
      <c r="F982" s="264"/>
      <c r="G982" s="264"/>
      <c r="H982" s="264"/>
      <c r="M982" s="325"/>
      <c r="N982" s="326"/>
      <c r="O982" s="264"/>
      <c r="S982" s="293"/>
    </row>
    <row r="983">
      <c r="B983" s="264"/>
      <c r="F983" s="264"/>
      <c r="G983" s="264"/>
      <c r="H983" s="264"/>
      <c r="M983" s="325"/>
      <c r="N983" s="326"/>
      <c r="O983" s="264"/>
      <c r="S983" s="293"/>
    </row>
    <row r="984">
      <c r="B984" s="264"/>
      <c r="F984" s="264"/>
      <c r="G984" s="264"/>
      <c r="H984" s="264"/>
      <c r="M984" s="325"/>
      <c r="N984" s="326"/>
      <c r="O984" s="264"/>
      <c r="S984" s="293"/>
    </row>
    <row r="985">
      <c r="B985" s="264"/>
      <c r="F985" s="264"/>
      <c r="G985" s="264"/>
      <c r="H985" s="264"/>
      <c r="M985" s="325"/>
      <c r="N985" s="326"/>
      <c r="O985" s="264"/>
      <c r="S985" s="293"/>
    </row>
    <row r="986">
      <c r="B986" s="264"/>
      <c r="F986" s="264"/>
      <c r="G986" s="264"/>
      <c r="H986" s="264"/>
      <c r="M986" s="325"/>
      <c r="N986" s="326"/>
      <c r="O986" s="264"/>
      <c r="S986" s="293"/>
    </row>
    <row r="987">
      <c r="B987" s="264"/>
      <c r="F987" s="264"/>
      <c r="G987" s="264"/>
      <c r="H987" s="264"/>
      <c r="M987" s="325"/>
      <c r="N987" s="326"/>
      <c r="O987" s="264"/>
      <c r="S987" s="293"/>
    </row>
    <row r="988">
      <c r="B988" s="264"/>
      <c r="F988" s="264"/>
      <c r="G988" s="264"/>
      <c r="H988" s="264"/>
      <c r="M988" s="325"/>
      <c r="N988" s="326"/>
      <c r="O988" s="264"/>
      <c r="S988" s="293"/>
    </row>
    <row r="989">
      <c r="B989" s="264"/>
      <c r="F989" s="264"/>
      <c r="G989" s="264"/>
      <c r="H989" s="264"/>
      <c r="M989" s="325"/>
      <c r="N989" s="326"/>
      <c r="O989" s="264"/>
      <c r="S989" s="293"/>
    </row>
    <row r="990">
      <c r="B990" s="264"/>
      <c r="F990" s="264"/>
      <c r="G990" s="264"/>
      <c r="H990" s="264"/>
      <c r="M990" s="325"/>
      <c r="N990" s="326"/>
      <c r="O990" s="264"/>
      <c r="S990" s="293"/>
    </row>
    <row r="991">
      <c r="B991" s="264"/>
      <c r="F991" s="264"/>
      <c r="G991" s="264"/>
      <c r="H991" s="264"/>
      <c r="M991" s="325"/>
      <c r="N991" s="326"/>
      <c r="O991" s="264"/>
      <c r="S991" s="293"/>
    </row>
    <row r="992">
      <c r="B992" s="264"/>
      <c r="F992" s="264"/>
      <c r="G992" s="264"/>
      <c r="H992" s="264"/>
      <c r="M992" s="325"/>
      <c r="N992" s="326"/>
      <c r="O992" s="264"/>
      <c r="S992" s="293"/>
    </row>
    <row r="993">
      <c r="B993" s="264"/>
      <c r="F993" s="264"/>
      <c r="G993" s="264"/>
      <c r="H993" s="264"/>
      <c r="M993" s="325"/>
      <c r="N993" s="326"/>
      <c r="O993" s="264"/>
      <c r="S993" s="293"/>
    </row>
    <row r="994">
      <c r="B994" s="264"/>
      <c r="F994" s="264"/>
      <c r="G994" s="264"/>
      <c r="H994" s="264"/>
      <c r="M994" s="325"/>
      <c r="N994" s="326"/>
      <c r="O994" s="264"/>
      <c r="S994" s="293"/>
    </row>
    <row r="995">
      <c r="B995" s="264"/>
      <c r="F995" s="264"/>
      <c r="G995" s="264"/>
      <c r="H995" s="264"/>
      <c r="M995" s="325"/>
      <c r="N995" s="326"/>
      <c r="O995" s="264"/>
      <c r="S995" s="293"/>
    </row>
    <row r="996">
      <c r="B996" s="264"/>
      <c r="F996" s="264"/>
      <c r="G996" s="264"/>
      <c r="H996" s="264"/>
      <c r="M996" s="325"/>
      <c r="N996" s="326"/>
      <c r="O996" s="264"/>
      <c r="S996" s="293"/>
    </row>
    <row r="997">
      <c r="B997" s="264"/>
      <c r="F997" s="264"/>
      <c r="G997" s="264"/>
      <c r="H997" s="264"/>
      <c r="M997" s="325"/>
      <c r="N997" s="326"/>
      <c r="O997" s="264"/>
      <c r="S997" s="293"/>
    </row>
    <row r="998">
      <c r="B998" s="264"/>
      <c r="F998" s="264"/>
      <c r="G998" s="264"/>
      <c r="H998" s="264"/>
      <c r="M998" s="325"/>
      <c r="N998" s="326"/>
      <c r="O998" s="264"/>
      <c r="S998" s="293"/>
    </row>
    <row r="999">
      <c r="B999" s="264"/>
      <c r="F999" s="264"/>
      <c r="G999" s="264"/>
      <c r="H999" s="264"/>
      <c r="M999" s="325"/>
      <c r="N999" s="326"/>
      <c r="O999" s="264"/>
      <c r="S999" s="293"/>
    </row>
    <row r="1000">
      <c r="B1000" s="264"/>
      <c r="F1000" s="264"/>
      <c r="G1000" s="264"/>
      <c r="H1000" s="264"/>
      <c r="M1000" s="325"/>
      <c r="N1000" s="326"/>
      <c r="O1000" s="264"/>
      <c r="S1000" s="293"/>
    </row>
    <row r="1001">
      <c r="B1001" s="264"/>
      <c r="F1001" s="264"/>
      <c r="G1001" s="264"/>
      <c r="H1001" s="264"/>
      <c r="M1001" s="325"/>
      <c r="N1001" s="326"/>
      <c r="O1001" s="264"/>
      <c r="S1001" s="293"/>
    </row>
    <row r="1002">
      <c r="B1002" s="264"/>
      <c r="F1002" s="264"/>
      <c r="G1002" s="264"/>
      <c r="H1002" s="264"/>
      <c r="M1002" s="325"/>
      <c r="N1002" s="326"/>
      <c r="O1002" s="264"/>
      <c r="S1002" s="293"/>
    </row>
    <row r="1003">
      <c r="B1003" s="264"/>
      <c r="F1003" s="264"/>
      <c r="G1003" s="264"/>
      <c r="H1003" s="264"/>
      <c r="M1003" s="325"/>
      <c r="N1003" s="326"/>
      <c r="O1003" s="264"/>
      <c r="S1003" s="293"/>
    </row>
    <row r="1004">
      <c r="B1004" s="264"/>
      <c r="F1004" s="264"/>
      <c r="G1004" s="264"/>
      <c r="H1004" s="264"/>
      <c r="M1004" s="325"/>
      <c r="N1004" s="326"/>
      <c r="O1004" s="264"/>
      <c r="S1004" s="293"/>
    </row>
    <row r="1005">
      <c r="B1005" s="264"/>
      <c r="F1005" s="264"/>
      <c r="G1005" s="264"/>
      <c r="H1005" s="264"/>
      <c r="M1005" s="325"/>
      <c r="N1005" s="326"/>
      <c r="O1005" s="264"/>
      <c r="S1005" s="293"/>
    </row>
    <row r="1006">
      <c r="B1006" s="264"/>
      <c r="F1006" s="264"/>
      <c r="G1006" s="264"/>
      <c r="H1006" s="264"/>
      <c r="M1006" s="325"/>
      <c r="N1006" s="326"/>
      <c r="O1006" s="264"/>
      <c r="S1006" s="293"/>
    </row>
    <row r="1007">
      <c r="B1007" s="264"/>
      <c r="F1007" s="264"/>
      <c r="G1007" s="264"/>
      <c r="H1007" s="264"/>
      <c r="M1007" s="325"/>
      <c r="N1007" s="326"/>
      <c r="O1007" s="264"/>
      <c r="S1007" s="293"/>
    </row>
    <row r="1008">
      <c r="B1008" s="264"/>
      <c r="F1008" s="264"/>
      <c r="G1008" s="264"/>
      <c r="H1008" s="264"/>
      <c r="M1008" s="325"/>
      <c r="N1008" s="326"/>
      <c r="O1008" s="264"/>
      <c r="S1008" s="293"/>
    </row>
    <row r="1009">
      <c r="B1009" s="264"/>
      <c r="F1009" s="264"/>
      <c r="G1009" s="264"/>
      <c r="H1009" s="264"/>
      <c r="M1009" s="325"/>
      <c r="N1009" s="326"/>
      <c r="O1009" s="264"/>
      <c r="S1009" s="293"/>
    </row>
    <row r="1010">
      <c r="B1010" s="264"/>
      <c r="F1010" s="264"/>
      <c r="G1010" s="264"/>
      <c r="H1010" s="264"/>
      <c r="M1010" s="325"/>
      <c r="N1010" s="326"/>
      <c r="O1010" s="264"/>
      <c r="S1010" s="293"/>
    </row>
    <row r="1011">
      <c r="B1011" s="264"/>
      <c r="F1011" s="264"/>
      <c r="G1011" s="264"/>
      <c r="H1011" s="264"/>
      <c r="M1011" s="325"/>
      <c r="N1011" s="326"/>
      <c r="O1011" s="264"/>
      <c r="S1011" s="293"/>
    </row>
    <row r="1012">
      <c r="B1012" s="264"/>
      <c r="F1012" s="264"/>
      <c r="G1012" s="264"/>
      <c r="H1012" s="264"/>
      <c r="M1012" s="325"/>
      <c r="N1012" s="326"/>
      <c r="O1012" s="264"/>
      <c r="S1012" s="293"/>
    </row>
    <row r="1013">
      <c r="B1013" s="264"/>
      <c r="F1013" s="264"/>
      <c r="G1013" s="264"/>
      <c r="H1013" s="264"/>
      <c r="M1013" s="325"/>
      <c r="N1013" s="326"/>
      <c r="O1013" s="264"/>
      <c r="S1013" s="293"/>
    </row>
    <row r="1014">
      <c r="B1014" s="264"/>
      <c r="F1014" s="264"/>
      <c r="G1014" s="264"/>
      <c r="H1014" s="264"/>
      <c r="M1014" s="325"/>
      <c r="N1014" s="326"/>
      <c r="O1014" s="264"/>
      <c r="S1014" s="293"/>
    </row>
    <row r="1015">
      <c r="B1015" s="264"/>
      <c r="F1015" s="264"/>
      <c r="G1015" s="264"/>
      <c r="H1015" s="264"/>
      <c r="M1015" s="325"/>
      <c r="N1015" s="326"/>
      <c r="O1015" s="264"/>
      <c r="S1015" s="293"/>
    </row>
    <row r="1016">
      <c r="B1016" s="264"/>
      <c r="F1016" s="264"/>
      <c r="G1016" s="264"/>
      <c r="H1016" s="264"/>
      <c r="M1016" s="325"/>
      <c r="N1016" s="326"/>
      <c r="O1016" s="264"/>
      <c r="S1016" s="293"/>
    </row>
    <row r="1017">
      <c r="B1017" s="264"/>
      <c r="F1017" s="264"/>
      <c r="G1017" s="264"/>
      <c r="H1017" s="264"/>
      <c r="M1017" s="325"/>
      <c r="N1017" s="326"/>
      <c r="O1017" s="264"/>
      <c r="S1017" s="293"/>
    </row>
    <row r="1018">
      <c r="B1018" s="264"/>
      <c r="F1018" s="264"/>
      <c r="G1018" s="264"/>
      <c r="H1018" s="264"/>
      <c r="M1018" s="325"/>
      <c r="N1018" s="326"/>
      <c r="O1018" s="264"/>
      <c r="S1018" s="293"/>
    </row>
    <row r="1019">
      <c r="B1019" s="264"/>
      <c r="F1019" s="264"/>
      <c r="G1019" s="264"/>
      <c r="H1019" s="264"/>
      <c r="M1019" s="325"/>
      <c r="N1019" s="326"/>
      <c r="O1019" s="264"/>
      <c r="S1019" s="293"/>
    </row>
    <row r="1020">
      <c r="B1020" s="264"/>
      <c r="F1020" s="264"/>
      <c r="G1020" s="264"/>
      <c r="H1020" s="264"/>
      <c r="M1020" s="325"/>
      <c r="N1020" s="326"/>
      <c r="O1020" s="264"/>
      <c r="S1020" s="293"/>
    </row>
  </sheetData>
  <mergeCells count="7">
    <mergeCell ref="A1:M1"/>
    <mergeCell ref="A2:M2"/>
    <mergeCell ref="A3:A4"/>
    <mergeCell ref="B3:C3"/>
    <mergeCell ref="D3:L3"/>
    <mergeCell ref="M3:M4"/>
    <mergeCell ref="N3:S3"/>
  </mergeCells>
  <conditionalFormatting sqref="N5:R54">
    <cfRule type="cellIs" dxfId="4" priority="1" operator="equal">
      <formula>"Y"</formula>
    </cfRule>
  </conditionalFormatting>
  <conditionalFormatting sqref="N5:R54">
    <cfRule type="cellIs" dxfId="1" priority="2" operator="equal">
      <formula>"T"</formula>
    </cfRule>
  </conditionalFormatting>
  <conditionalFormatting sqref="Q5:Q6 R6">
    <cfRule type="containsText" dxfId="1" priority="3" operator="containsText" text="T">
      <formula>NOT(ISERROR(SEARCH(("T"),(Q5))))</formula>
    </cfRule>
  </conditionalFormatting>
  <conditionalFormatting sqref="Q5:Q6 R6">
    <cfRule type="containsText" dxfId="3" priority="4" operator="containsText" text="Y">
      <formula>NOT(ISERROR(SEARCH(("Y"),(Q5))))</formula>
    </cfRule>
  </conditionalFormatting>
  <conditionalFormatting sqref="Q5:Q6 R6">
    <cfRule type="containsText" dxfId="2" priority="5" operator="containsText" text="T">
      <formula>NOT(ISERROR(SEARCH(("T"),(Q5))))</formula>
    </cfRule>
  </conditionalFormatting>
  <dataValidations>
    <dataValidation type="list" allowBlank="1" showErrorMessage="1" sqref="N5:R54">
      <formula1>"Y,T"</formula1>
    </dataValidation>
  </dataValidations>
  <printOptions horizontalCentered="1"/>
  <pageMargins bottom="0.3937007874015748" footer="0.0" header="0.0" left="0.3937007874015748" right="0.3937007874015748" top="0.3937007874015748"/>
  <pageSetup fitToHeight="0" paperSize="9" orientation="landscape"/>
  <headerFooter>
    <oddHeader>&amp;RLampiran 2</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pane ySplit="5.0" topLeftCell="A6" activePane="bottomLeft" state="frozen"/>
      <selection activeCell="B7" sqref="B7" pane="bottomLeft"/>
    </sheetView>
  </sheetViews>
  <sheetFormatPr customHeight="1" defaultColWidth="11.22" defaultRowHeight="15.0"/>
  <cols>
    <col customWidth="1" min="1" max="1" width="6.89"/>
    <col customWidth="1" min="2" max="2" width="25.0"/>
    <col customWidth="1" min="3" max="3" width="17.67"/>
    <col customWidth="1" min="4" max="5" width="23.22"/>
    <col customWidth="1" min="6" max="6" width="21.44"/>
    <col customWidth="1" min="7" max="7" width="23.22"/>
    <col customWidth="1" min="8" max="8" width="22.0"/>
    <col customWidth="1" min="9" max="9" width="27.44"/>
    <col customWidth="1" min="10" max="10" width="19.0"/>
    <col customWidth="1" min="11" max="11" width="15.11"/>
    <col customWidth="1" min="12" max="15" width="12.56"/>
    <col customWidth="1" min="16" max="16" width="32.11"/>
    <col customWidth="1" min="17" max="17" width="44.11"/>
    <col customWidth="1" min="18" max="22" width="13.22"/>
    <col customWidth="1" min="23" max="23" width="37.78"/>
    <col customWidth="1" min="24" max="28" width="11.0"/>
  </cols>
  <sheetData>
    <row r="1" ht="84.0" customHeight="1">
      <c r="A1" s="4" t="s">
        <v>985</v>
      </c>
    </row>
    <row r="2" ht="32.25" customHeight="1">
      <c r="A2" s="327" t="s">
        <v>986</v>
      </c>
      <c r="B2" s="328"/>
      <c r="C2" s="329"/>
      <c r="D2" s="329"/>
      <c r="E2" s="328"/>
      <c r="F2" s="4"/>
      <c r="G2" s="326"/>
      <c r="H2" s="293"/>
      <c r="I2" s="293"/>
      <c r="J2" s="293"/>
      <c r="K2" s="326"/>
      <c r="L2" s="330"/>
      <c r="M2" s="330"/>
      <c r="N2" s="330"/>
      <c r="O2" s="330"/>
      <c r="P2" s="330"/>
      <c r="Q2" s="330"/>
      <c r="R2" s="330"/>
      <c r="S2" s="330"/>
      <c r="T2" s="330"/>
      <c r="U2" s="330"/>
      <c r="V2" s="330"/>
      <c r="W2" s="330"/>
    </row>
    <row r="3" ht="37.5" customHeight="1">
      <c r="A3" s="331" t="s">
        <v>286</v>
      </c>
      <c r="B3" s="332" t="s">
        <v>290</v>
      </c>
      <c r="C3" s="63"/>
      <c r="D3" s="333" t="s">
        <v>987</v>
      </c>
      <c r="E3" s="62"/>
      <c r="F3" s="63"/>
      <c r="G3" s="334" t="s">
        <v>988</v>
      </c>
      <c r="H3" s="334" t="s">
        <v>989</v>
      </c>
      <c r="I3" s="334" t="s">
        <v>990</v>
      </c>
      <c r="J3" s="334" t="s">
        <v>991</v>
      </c>
      <c r="K3" s="334" t="s">
        <v>992</v>
      </c>
      <c r="L3" s="335" t="s">
        <v>993</v>
      </c>
      <c r="M3" s="62"/>
      <c r="N3" s="62"/>
      <c r="O3" s="62"/>
      <c r="P3" s="63"/>
      <c r="Q3" s="334" t="s">
        <v>297</v>
      </c>
      <c r="R3" s="336" t="s">
        <v>291</v>
      </c>
      <c r="S3" s="62"/>
      <c r="T3" s="62"/>
      <c r="U3" s="62"/>
      <c r="V3" s="63"/>
      <c r="W3" s="337" t="s">
        <v>297</v>
      </c>
    </row>
    <row r="4">
      <c r="A4" s="210"/>
      <c r="B4" s="338" t="s">
        <v>287</v>
      </c>
      <c r="C4" s="338" t="s">
        <v>293</v>
      </c>
      <c r="D4" s="339" t="s">
        <v>994</v>
      </c>
      <c r="E4" s="339" t="s">
        <v>995</v>
      </c>
      <c r="F4" s="339" t="s">
        <v>996</v>
      </c>
      <c r="G4" s="210"/>
      <c r="H4" s="210"/>
      <c r="I4" s="210"/>
      <c r="J4" s="210"/>
      <c r="K4" s="210"/>
      <c r="L4" s="340" t="s">
        <v>997</v>
      </c>
      <c r="M4" s="340" t="s">
        <v>998</v>
      </c>
      <c r="N4" s="340" t="s">
        <v>294</v>
      </c>
      <c r="O4" s="340" t="s">
        <v>295</v>
      </c>
      <c r="P4" s="340" t="s">
        <v>296</v>
      </c>
      <c r="Q4" s="210"/>
      <c r="R4" s="341" t="s">
        <v>997</v>
      </c>
      <c r="S4" s="341" t="s">
        <v>998</v>
      </c>
      <c r="T4" s="341" t="s">
        <v>294</v>
      </c>
      <c r="U4" s="341" t="s">
        <v>295</v>
      </c>
      <c r="V4" s="341" t="s">
        <v>296</v>
      </c>
      <c r="W4" s="210"/>
    </row>
    <row r="5" ht="15.75" customHeight="1">
      <c r="A5" s="342">
        <v>1.0</v>
      </c>
      <c r="B5" s="338">
        <f t="shared" ref="B5:F5" si="1">A5+1</f>
        <v>2</v>
      </c>
      <c r="C5" s="338">
        <f t="shared" si="1"/>
        <v>3</v>
      </c>
      <c r="D5" s="339">
        <f t="shared" si="1"/>
        <v>4</v>
      </c>
      <c r="E5" s="339">
        <f t="shared" si="1"/>
        <v>5</v>
      </c>
      <c r="F5" s="339">
        <f t="shared" si="1"/>
        <v>6</v>
      </c>
      <c r="G5" s="340"/>
      <c r="H5" s="340">
        <f t="shared" ref="H5:I5" si="2">G5+1</f>
        <v>1</v>
      </c>
      <c r="I5" s="340">
        <f t="shared" si="2"/>
        <v>2</v>
      </c>
      <c r="J5" s="340">
        <v>11.0</v>
      </c>
      <c r="K5" s="340">
        <v>12.0</v>
      </c>
      <c r="L5" s="340">
        <f t="shared" ref="L5:W5" si="3">K5+1</f>
        <v>13</v>
      </c>
      <c r="M5" s="340">
        <f t="shared" si="3"/>
        <v>14</v>
      </c>
      <c r="N5" s="340">
        <f t="shared" si="3"/>
        <v>15</v>
      </c>
      <c r="O5" s="340">
        <f t="shared" si="3"/>
        <v>16</v>
      </c>
      <c r="P5" s="340">
        <f t="shared" si="3"/>
        <v>17</v>
      </c>
      <c r="Q5" s="340">
        <f t="shared" si="3"/>
        <v>18</v>
      </c>
      <c r="R5" s="341">
        <f t="shared" si="3"/>
        <v>19</v>
      </c>
      <c r="S5" s="341">
        <f t="shared" si="3"/>
        <v>20</v>
      </c>
      <c r="T5" s="341">
        <f t="shared" si="3"/>
        <v>21</v>
      </c>
      <c r="U5" s="341">
        <f t="shared" si="3"/>
        <v>22</v>
      </c>
      <c r="V5" s="341">
        <f t="shared" si="3"/>
        <v>23</v>
      </c>
      <c r="W5" s="341">
        <f t="shared" si="3"/>
        <v>24</v>
      </c>
    </row>
    <row r="6">
      <c r="A6" s="343" t="s">
        <v>999</v>
      </c>
      <c r="B6" s="344"/>
      <c r="C6" s="344"/>
      <c r="D6" s="344"/>
      <c r="E6" s="344"/>
      <c r="F6" s="344"/>
      <c r="G6" s="344"/>
      <c r="H6" s="344"/>
      <c r="I6" s="344"/>
      <c r="J6" s="344"/>
      <c r="K6" s="344"/>
      <c r="L6" s="344"/>
      <c r="M6" s="344"/>
      <c r="N6" s="344"/>
      <c r="O6" s="344"/>
      <c r="P6" s="344"/>
      <c r="Q6" s="344"/>
      <c r="R6" s="344"/>
      <c r="S6" s="344"/>
      <c r="T6" s="344"/>
      <c r="U6" s="344"/>
      <c r="V6" s="345"/>
      <c r="W6" s="346"/>
      <c r="X6" s="347"/>
      <c r="Y6" s="347"/>
      <c r="Z6" s="347"/>
      <c r="AA6" s="347"/>
      <c r="AB6" s="347"/>
    </row>
    <row r="7" ht="93.0" customHeight="1">
      <c r="A7" s="348">
        <v>1.0</v>
      </c>
      <c r="B7" s="349" t="s">
        <v>327</v>
      </c>
      <c r="C7" s="350" t="s">
        <v>301</v>
      </c>
      <c r="D7" s="349" t="s">
        <v>1000</v>
      </c>
      <c r="E7" s="349" t="s">
        <v>1001</v>
      </c>
      <c r="F7" s="350" t="s">
        <v>301</v>
      </c>
      <c r="G7" s="82" t="s">
        <v>1002</v>
      </c>
      <c r="H7" s="82" t="s">
        <v>1003</v>
      </c>
      <c r="I7" s="94" t="s">
        <v>1004</v>
      </c>
      <c r="J7" s="351" t="s">
        <v>1005</v>
      </c>
      <c r="K7" s="352">
        <v>0.7</v>
      </c>
      <c r="L7" s="353" t="s">
        <v>271</v>
      </c>
      <c r="M7" s="83" t="s">
        <v>301</v>
      </c>
      <c r="N7" s="83" t="s">
        <v>301</v>
      </c>
      <c r="O7" s="83" t="s">
        <v>301</v>
      </c>
      <c r="P7" s="83" t="s">
        <v>301</v>
      </c>
      <c r="Q7" s="94"/>
      <c r="R7" s="353" t="s">
        <v>271</v>
      </c>
      <c r="S7" s="83" t="s">
        <v>301</v>
      </c>
      <c r="T7" s="83" t="s">
        <v>301</v>
      </c>
      <c r="U7" s="83" t="s">
        <v>301</v>
      </c>
      <c r="V7" s="83" t="s">
        <v>301</v>
      </c>
      <c r="W7" s="94" t="s">
        <v>1006</v>
      </c>
      <c r="X7" s="185"/>
      <c r="Y7" s="185"/>
      <c r="Z7" s="8" t="s">
        <v>1007</v>
      </c>
      <c r="AA7" s="8" t="s">
        <v>1008</v>
      </c>
      <c r="AB7" s="185"/>
    </row>
    <row r="8" ht="79.5" customHeight="1">
      <c r="A8" s="82">
        <v>2.0</v>
      </c>
      <c r="B8" s="349" t="s">
        <v>327</v>
      </c>
      <c r="C8" s="350" t="s">
        <v>301</v>
      </c>
      <c r="D8" s="349" t="s">
        <v>1000</v>
      </c>
      <c r="E8" s="349" t="s">
        <v>1001</v>
      </c>
      <c r="F8" s="350" t="s">
        <v>301</v>
      </c>
      <c r="G8" s="82" t="s">
        <v>1002</v>
      </c>
      <c r="H8" s="82" t="s">
        <v>1003</v>
      </c>
      <c r="I8" s="354" t="s">
        <v>1004</v>
      </c>
      <c r="J8" s="351" t="s">
        <v>1009</v>
      </c>
      <c r="K8" s="352">
        <v>0.65</v>
      </c>
      <c r="L8" s="353" t="s">
        <v>271</v>
      </c>
      <c r="M8" s="83" t="s">
        <v>301</v>
      </c>
      <c r="N8" s="83" t="s">
        <v>301</v>
      </c>
      <c r="O8" s="83" t="s">
        <v>301</v>
      </c>
      <c r="P8" s="355" t="s">
        <v>301</v>
      </c>
      <c r="Q8" s="94"/>
      <c r="R8" s="353" t="s">
        <v>271</v>
      </c>
      <c r="S8" s="83" t="s">
        <v>301</v>
      </c>
      <c r="T8" s="83" t="s">
        <v>301</v>
      </c>
      <c r="U8" s="83" t="s">
        <v>301</v>
      </c>
      <c r="V8" s="355" t="s">
        <v>301</v>
      </c>
      <c r="W8" s="94" t="s">
        <v>1010</v>
      </c>
      <c r="X8" s="8" t="s">
        <v>1011</v>
      </c>
      <c r="Y8" s="8" t="s">
        <v>1011</v>
      </c>
      <c r="Z8" s="8" t="s">
        <v>1012</v>
      </c>
      <c r="AA8" s="8" t="s">
        <v>1013</v>
      </c>
      <c r="AB8" s="185"/>
    </row>
    <row r="9" ht="65.25" customHeight="1">
      <c r="A9" s="82">
        <v>3.0</v>
      </c>
      <c r="B9" s="349" t="s">
        <v>327</v>
      </c>
      <c r="C9" s="350" t="s">
        <v>301</v>
      </c>
      <c r="D9" s="349" t="s">
        <v>1000</v>
      </c>
      <c r="E9" s="349" t="s">
        <v>1001</v>
      </c>
      <c r="F9" s="350" t="s">
        <v>301</v>
      </c>
      <c r="G9" s="82" t="s">
        <v>1002</v>
      </c>
      <c r="H9" s="82" t="s">
        <v>1003</v>
      </c>
      <c r="I9" s="94" t="s">
        <v>1004</v>
      </c>
      <c r="J9" s="94" t="s">
        <v>1014</v>
      </c>
      <c r="K9" s="352">
        <v>0.7</v>
      </c>
      <c r="L9" s="83" t="s">
        <v>301</v>
      </c>
      <c r="M9" s="83" t="s">
        <v>301</v>
      </c>
      <c r="N9" s="83" t="s">
        <v>301</v>
      </c>
      <c r="O9" s="83" t="s">
        <v>301</v>
      </c>
      <c r="P9" s="83" t="s">
        <v>301</v>
      </c>
      <c r="Q9" s="94"/>
      <c r="R9" s="83" t="s">
        <v>301</v>
      </c>
      <c r="S9" s="83" t="s">
        <v>301</v>
      </c>
      <c r="T9" s="83" t="s">
        <v>301</v>
      </c>
      <c r="U9" s="83" t="s">
        <v>301</v>
      </c>
      <c r="V9" s="83" t="s">
        <v>301</v>
      </c>
      <c r="W9" s="94" t="s">
        <v>1015</v>
      </c>
      <c r="X9" s="185"/>
      <c r="Y9" s="185"/>
      <c r="Z9" s="8" t="s">
        <v>1016</v>
      </c>
      <c r="AA9" s="8" t="s">
        <v>1017</v>
      </c>
      <c r="AB9" s="185"/>
    </row>
    <row r="10" ht="67.5" customHeight="1">
      <c r="A10" s="82">
        <v>4.0</v>
      </c>
      <c r="B10" s="349" t="s">
        <v>327</v>
      </c>
      <c r="C10" s="350" t="s">
        <v>301</v>
      </c>
      <c r="D10" s="349" t="s">
        <v>1000</v>
      </c>
      <c r="E10" s="349" t="s">
        <v>1001</v>
      </c>
      <c r="F10" s="350" t="s">
        <v>301</v>
      </c>
      <c r="G10" s="82" t="s">
        <v>1018</v>
      </c>
      <c r="H10" s="82" t="s">
        <v>1003</v>
      </c>
      <c r="I10" s="94" t="s">
        <v>1019</v>
      </c>
      <c r="J10" s="351" t="s">
        <v>1020</v>
      </c>
      <c r="K10" s="352">
        <v>0.7</v>
      </c>
      <c r="L10" s="83" t="s">
        <v>301</v>
      </c>
      <c r="M10" s="83" t="s">
        <v>301</v>
      </c>
      <c r="N10" s="83" t="s">
        <v>301</v>
      </c>
      <c r="O10" s="83" t="s">
        <v>301</v>
      </c>
      <c r="P10" s="355" t="s">
        <v>301</v>
      </c>
      <c r="Q10" s="8"/>
      <c r="R10" s="83" t="s">
        <v>301</v>
      </c>
      <c r="S10" s="83" t="s">
        <v>301</v>
      </c>
      <c r="T10" s="83" t="s">
        <v>301</v>
      </c>
      <c r="U10" s="83" t="s">
        <v>301</v>
      </c>
      <c r="V10" s="355" t="s">
        <v>301</v>
      </c>
      <c r="W10" s="8" t="s">
        <v>1021</v>
      </c>
      <c r="X10" s="8" t="s">
        <v>1022</v>
      </c>
      <c r="Y10" s="8" t="s">
        <v>1023</v>
      </c>
      <c r="Z10" s="8" t="s">
        <v>1024</v>
      </c>
      <c r="AA10" s="8" t="s">
        <v>1021</v>
      </c>
      <c r="AB10" s="185"/>
    </row>
    <row r="11" ht="73.5" customHeight="1">
      <c r="A11" s="348">
        <v>5.0</v>
      </c>
      <c r="B11" s="349" t="s">
        <v>327</v>
      </c>
      <c r="C11" s="350" t="s">
        <v>301</v>
      </c>
      <c r="D11" s="349" t="s">
        <v>1000</v>
      </c>
      <c r="E11" s="349" t="s">
        <v>1001</v>
      </c>
      <c r="F11" s="350" t="s">
        <v>301</v>
      </c>
      <c r="G11" s="82" t="s">
        <v>1025</v>
      </c>
      <c r="H11" s="82" t="s">
        <v>1026</v>
      </c>
      <c r="I11" s="94" t="s">
        <v>1027</v>
      </c>
      <c r="J11" s="351" t="s">
        <v>1028</v>
      </c>
      <c r="K11" s="352">
        <v>0.7</v>
      </c>
      <c r="L11" s="83" t="s">
        <v>301</v>
      </c>
      <c r="M11" s="83" t="s">
        <v>301</v>
      </c>
      <c r="N11" s="83" t="s">
        <v>301</v>
      </c>
      <c r="O11" s="83" t="s">
        <v>301</v>
      </c>
      <c r="P11" s="355" t="s">
        <v>301</v>
      </c>
      <c r="Q11" s="94"/>
      <c r="R11" s="83" t="s">
        <v>301</v>
      </c>
      <c r="S11" s="83" t="s">
        <v>301</v>
      </c>
      <c r="T11" s="83" t="s">
        <v>301</v>
      </c>
      <c r="U11" s="83" t="s">
        <v>301</v>
      </c>
      <c r="V11" s="355" t="s">
        <v>301</v>
      </c>
      <c r="W11" s="94" t="s">
        <v>1029</v>
      </c>
      <c r="X11" s="356" t="s">
        <v>1030</v>
      </c>
      <c r="Y11" s="356" t="s">
        <v>1030</v>
      </c>
      <c r="Z11" s="8" t="s">
        <v>1031</v>
      </c>
      <c r="AA11" s="8" t="s">
        <v>1032</v>
      </c>
      <c r="AB11" s="185"/>
    </row>
    <row r="12" ht="57.75" customHeight="1">
      <c r="A12" s="82">
        <v>6.0</v>
      </c>
      <c r="B12" s="349" t="s">
        <v>327</v>
      </c>
      <c r="C12" s="350" t="s">
        <v>301</v>
      </c>
      <c r="D12" s="349" t="s">
        <v>1000</v>
      </c>
      <c r="E12" s="349" t="s">
        <v>1001</v>
      </c>
      <c r="F12" s="350" t="s">
        <v>301</v>
      </c>
      <c r="G12" s="82" t="s">
        <v>1025</v>
      </c>
      <c r="H12" s="82" t="s">
        <v>1026</v>
      </c>
      <c r="I12" s="94" t="s">
        <v>1027</v>
      </c>
      <c r="J12" s="94" t="s">
        <v>1033</v>
      </c>
      <c r="K12" s="357">
        <v>0.7</v>
      </c>
      <c r="L12" s="83" t="s">
        <v>301</v>
      </c>
      <c r="M12" s="353" t="s">
        <v>271</v>
      </c>
      <c r="N12" s="353" t="s">
        <v>271</v>
      </c>
      <c r="O12" s="83" t="s">
        <v>301</v>
      </c>
      <c r="P12" s="355" t="s">
        <v>301</v>
      </c>
      <c r="Q12" s="94"/>
      <c r="R12" s="83" t="s">
        <v>301</v>
      </c>
      <c r="S12" s="353" t="s">
        <v>271</v>
      </c>
      <c r="T12" s="353" t="s">
        <v>271</v>
      </c>
      <c r="U12" s="83" t="s">
        <v>301</v>
      </c>
      <c r="V12" s="355" t="s">
        <v>301</v>
      </c>
      <c r="W12" s="94" t="s">
        <v>1034</v>
      </c>
      <c r="X12" s="94" t="s">
        <v>1035</v>
      </c>
      <c r="Y12" s="94" t="s">
        <v>1035</v>
      </c>
      <c r="Z12" s="358"/>
      <c r="AA12" s="8" t="s">
        <v>1036</v>
      </c>
      <c r="AB12" s="185"/>
    </row>
    <row r="13" ht="46.5" customHeight="1">
      <c r="A13" s="82">
        <v>7.0</v>
      </c>
      <c r="B13" s="349" t="s">
        <v>327</v>
      </c>
      <c r="C13" s="350" t="s">
        <v>301</v>
      </c>
      <c r="D13" s="349" t="s">
        <v>1000</v>
      </c>
      <c r="E13" s="349" t="s">
        <v>1001</v>
      </c>
      <c r="F13" s="350" t="s">
        <v>301</v>
      </c>
      <c r="G13" s="82" t="s">
        <v>1037</v>
      </c>
      <c r="H13" s="82" t="s">
        <v>1003</v>
      </c>
      <c r="I13" s="94" t="s">
        <v>1038</v>
      </c>
      <c r="J13" s="94" t="s">
        <v>1039</v>
      </c>
      <c r="K13" s="352">
        <v>0.85</v>
      </c>
      <c r="L13" s="83" t="s">
        <v>301</v>
      </c>
      <c r="M13" s="83" t="s">
        <v>301</v>
      </c>
      <c r="N13" s="83" t="s">
        <v>301</v>
      </c>
      <c r="O13" s="83" t="s">
        <v>301</v>
      </c>
      <c r="P13" s="83" t="s">
        <v>301</v>
      </c>
      <c r="Q13" s="94"/>
      <c r="R13" s="83" t="s">
        <v>301</v>
      </c>
      <c r="S13" s="83" t="s">
        <v>301</v>
      </c>
      <c r="T13" s="83" t="s">
        <v>301</v>
      </c>
      <c r="U13" s="83" t="s">
        <v>301</v>
      </c>
      <c r="V13" s="83" t="s">
        <v>301</v>
      </c>
      <c r="W13" s="94" t="s">
        <v>1040</v>
      </c>
      <c r="X13" s="185"/>
      <c r="Y13" s="185"/>
      <c r="Z13" s="358"/>
      <c r="AA13" s="8" t="s">
        <v>1041</v>
      </c>
      <c r="AB13" s="185"/>
    </row>
    <row r="14" ht="52.5" customHeight="1">
      <c r="A14" s="82">
        <v>8.0</v>
      </c>
      <c r="B14" s="349" t="s">
        <v>327</v>
      </c>
      <c r="C14" s="350" t="s">
        <v>301</v>
      </c>
      <c r="D14" s="349" t="s">
        <v>1000</v>
      </c>
      <c r="E14" s="349" t="s">
        <v>1001</v>
      </c>
      <c r="F14" s="350" t="s">
        <v>301</v>
      </c>
      <c r="G14" s="82" t="s">
        <v>1042</v>
      </c>
      <c r="H14" s="82" t="s">
        <v>1003</v>
      </c>
      <c r="I14" s="94" t="s">
        <v>1043</v>
      </c>
      <c r="J14" s="94" t="s">
        <v>1044</v>
      </c>
      <c r="K14" s="352">
        <v>0.85</v>
      </c>
      <c r="L14" s="83" t="s">
        <v>301</v>
      </c>
      <c r="M14" s="83" t="s">
        <v>301</v>
      </c>
      <c r="N14" s="83" t="s">
        <v>301</v>
      </c>
      <c r="O14" s="83" t="s">
        <v>301</v>
      </c>
      <c r="P14" s="83" t="s">
        <v>301</v>
      </c>
      <c r="Q14" s="94"/>
      <c r="R14" s="83" t="s">
        <v>301</v>
      </c>
      <c r="S14" s="83" t="s">
        <v>301</v>
      </c>
      <c r="T14" s="83" t="s">
        <v>301</v>
      </c>
      <c r="U14" s="83" t="s">
        <v>301</v>
      </c>
      <c r="V14" s="83" t="s">
        <v>301</v>
      </c>
      <c r="W14" s="94" t="s">
        <v>1040</v>
      </c>
      <c r="X14" s="185"/>
      <c r="Y14" s="185"/>
      <c r="Z14" s="358"/>
      <c r="AA14" s="8" t="s">
        <v>1041</v>
      </c>
      <c r="AB14" s="185"/>
    </row>
    <row r="15" ht="48.75" customHeight="1">
      <c r="A15" s="348">
        <v>9.0</v>
      </c>
      <c r="B15" s="349" t="s">
        <v>327</v>
      </c>
      <c r="C15" s="350" t="s">
        <v>301</v>
      </c>
      <c r="D15" s="349" t="s">
        <v>1000</v>
      </c>
      <c r="E15" s="349" t="s">
        <v>1045</v>
      </c>
      <c r="F15" s="350" t="s">
        <v>301</v>
      </c>
      <c r="G15" s="359" t="s">
        <v>1002</v>
      </c>
      <c r="H15" s="359" t="s">
        <v>1003</v>
      </c>
      <c r="I15" s="354" t="s">
        <v>1046</v>
      </c>
      <c r="J15" s="94" t="s">
        <v>1047</v>
      </c>
      <c r="K15" s="352">
        <v>0.7</v>
      </c>
      <c r="L15" s="83" t="s">
        <v>301</v>
      </c>
      <c r="M15" s="83" t="s">
        <v>301</v>
      </c>
      <c r="N15" s="83" t="s">
        <v>301</v>
      </c>
      <c r="O15" s="83" t="s">
        <v>301</v>
      </c>
      <c r="P15" s="355" t="s">
        <v>301</v>
      </c>
      <c r="Q15" s="94"/>
      <c r="R15" s="83" t="s">
        <v>301</v>
      </c>
      <c r="S15" s="83" t="s">
        <v>301</v>
      </c>
      <c r="T15" s="83" t="s">
        <v>301</v>
      </c>
      <c r="U15" s="83" t="s">
        <v>301</v>
      </c>
      <c r="V15" s="355" t="s">
        <v>301</v>
      </c>
      <c r="W15" s="94" t="s">
        <v>1040</v>
      </c>
      <c r="X15" s="8" t="s">
        <v>1048</v>
      </c>
      <c r="Y15" s="8" t="s">
        <v>1048</v>
      </c>
      <c r="Z15" s="358"/>
      <c r="AA15" s="8" t="s">
        <v>1041</v>
      </c>
      <c r="AB15" s="185"/>
    </row>
    <row r="16">
      <c r="A16" s="360">
        <v>10.0</v>
      </c>
      <c r="B16" s="361" t="s">
        <v>327</v>
      </c>
      <c r="C16" s="362" t="s">
        <v>301</v>
      </c>
      <c r="D16" s="361" t="s">
        <v>1000</v>
      </c>
      <c r="E16" s="361" t="s">
        <v>1049</v>
      </c>
      <c r="F16" s="362" t="s">
        <v>301</v>
      </c>
      <c r="G16" s="360" t="s">
        <v>1050</v>
      </c>
      <c r="H16" s="360" t="s">
        <v>1026</v>
      </c>
      <c r="I16" s="363" t="s">
        <v>1051</v>
      </c>
      <c r="J16" s="363" t="s">
        <v>1052</v>
      </c>
      <c r="K16" s="364">
        <v>0.65</v>
      </c>
      <c r="L16" s="365" t="s">
        <v>301</v>
      </c>
      <c r="M16" s="366" t="s">
        <v>271</v>
      </c>
      <c r="N16" s="366" t="s">
        <v>271</v>
      </c>
      <c r="O16" s="365" t="s">
        <v>301</v>
      </c>
      <c r="P16" s="355" t="s">
        <v>301</v>
      </c>
      <c r="Q16" s="367"/>
      <c r="R16" s="365" t="s">
        <v>301</v>
      </c>
      <c r="S16" s="366" t="s">
        <v>271</v>
      </c>
      <c r="T16" s="366" t="s">
        <v>271</v>
      </c>
      <c r="U16" s="365" t="s">
        <v>301</v>
      </c>
      <c r="V16" s="355" t="s">
        <v>301</v>
      </c>
      <c r="W16" s="367" t="s">
        <v>1053</v>
      </c>
      <c r="X16" s="368" t="s">
        <v>1054</v>
      </c>
      <c r="Y16" s="368" t="s">
        <v>1054</v>
      </c>
      <c r="Z16" s="358"/>
      <c r="AA16" s="367" t="s">
        <v>1053</v>
      </c>
      <c r="AB16" s="185"/>
    </row>
    <row r="17">
      <c r="A17" s="360">
        <v>11.0</v>
      </c>
      <c r="B17" s="363" t="s">
        <v>327</v>
      </c>
      <c r="C17" s="362" t="s">
        <v>301</v>
      </c>
      <c r="D17" s="361" t="s">
        <v>1000</v>
      </c>
      <c r="E17" s="361" t="s">
        <v>1049</v>
      </c>
      <c r="F17" s="362" t="s">
        <v>301</v>
      </c>
      <c r="G17" s="360" t="s">
        <v>1050</v>
      </c>
      <c r="H17" s="360" t="s">
        <v>1026</v>
      </c>
      <c r="I17" s="363" t="s">
        <v>1051</v>
      </c>
      <c r="J17" s="363" t="s">
        <v>1055</v>
      </c>
      <c r="K17" s="364">
        <v>0.65</v>
      </c>
      <c r="L17" s="365" t="s">
        <v>301</v>
      </c>
      <c r="M17" s="365" t="s">
        <v>301</v>
      </c>
      <c r="N17" s="366" t="s">
        <v>271</v>
      </c>
      <c r="O17" s="365" t="s">
        <v>301</v>
      </c>
      <c r="P17" s="355" t="s">
        <v>301</v>
      </c>
      <c r="Q17" s="367"/>
      <c r="R17" s="365" t="s">
        <v>301</v>
      </c>
      <c r="S17" s="365" t="s">
        <v>301</v>
      </c>
      <c r="T17" s="366" t="s">
        <v>271</v>
      </c>
      <c r="U17" s="365" t="s">
        <v>301</v>
      </c>
      <c r="V17" s="355" t="s">
        <v>301</v>
      </c>
      <c r="W17" s="367" t="s">
        <v>1056</v>
      </c>
      <c r="X17" s="8" t="s">
        <v>1057</v>
      </c>
      <c r="Y17" s="8" t="s">
        <v>1057</v>
      </c>
      <c r="Z17" s="358"/>
      <c r="AA17" s="367" t="s">
        <v>1056</v>
      </c>
      <c r="AB17" s="185"/>
    </row>
    <row r="18">
      <c r="A18" s="82">
        <v>12.0</v>
      </c>
      <c r="B18" s="94" t="s">
        <v>327</v>
      </c>
      <c r="C18" s="350" t="s">
        <v>301</v>
      </c>
      <c r="D18" s="349" t="s">
        <v>1058</v>
      </c>
      <c r="E18" s="349" t="s">
        <v>1059</v>
      </c>
      <c r="F18" s="369" t="s">
        <v>301</v>
      </c>
      <c r="G18" s="82" t="s">
        <v>1060</v>
      </c>
      <c r="H18" s="82" t="s">
        <v>1061</v>
      </c>
      <c r="I18" s="94" t="s">
        <v>1062</v>
      </c>
      <c r="J18" s="94" t="s">
        <v>1063</v>
      </c>
      <c r="K18" s="82">
        <v>84.0</v>
      </c>
      <c r="L18" s="83" t="s">
        <v>301</v>
      </c>
      <c r="M18" s="83" t="s">
        <v>301</v>
      </c>
      <c r="N18" s="83" t="s">
        <v>301</v>
      </c>
      <c r="O18" s="83" t="s">
        <v>301</v>
      </c>
      <c r="P18" s="83" t="s">
        <v>301</v>
      </c>
      <c r="Q18" s="8"/>
      <c r="R18" s="83" t="s">
        <v>301</v>
      </c>
      <c r="S18" s="83" t="s">
        <v>301</v>
      </c>
      <c r="T18" s="83" t="s">
        <v>301</v>
      </c>
      <c r="U18" s="83" t="s">
        <v>301</v>
      </c>
      <c r="V18" s="83" t="s">
        <v>301</v>
      </c>
      <c r="W18" s="8" t="s">
        <v>1064</v>
      </c>
      <c r="X18" s="185"/>
      <c r="Y18" s="185"/>
      <c r="Z18" s="358"/>
      <c r="AA18" s="8" t="s">
        <v>1064</v>
      </c>
      <c r="AB18" s="185"/>
    </row>
    <row r="19">
      <c r="A19" s="348">
        <v>13.0</v>
      </c>
      <c r="B19" s="94" t="s">
        <v>327</v>
      </c>
      <c r="C19" s="350" t="s">
        <v>301</v>
      </c>
      <c r="D19" s="349" t="s">
        <v>1058</v>
      </c>
      <c r="E19" s="349" t="s">
        <v>1059</v>
      </c>
      <c r="F19" s="369" t="s">
        <v>301</v>
      </c>
      <c r="G19" s="359" t="s">
        <v>1060</v>
      </c>
      <c r="H19" s="359" t="s">
        <v>1061</v>
      </c>
      <c r="I19" s="94" t="s">
        <v>1062</v>
      </c>
      <c r="J19" s="94" t="s">
        <v>1065</v>
      </c>
      <c r="K19" s="82">
        <v>75.0</v>
      </c>
      <c r="L19" s="82" t="s">
        <v>301</v>
      </c>
      <c r="M19" s="82" t="s">
        <v>301</v>
      </c>
      <c r="N19" s="82" t="s">
        <v>301</v>
      </c>
      <c r="O19" s="82" t="s">
        <v>301</v>
      </c>
      <c r="P19" s="83" t="s">
        <v>301</v>
      </c>
      <c r="Q19" s="8"/>
      <c r="R19" s="82" t="s">
        <v>301</v>
      </c>
      <c r="S19" s="82" t="s">
        <v>301</v>
      </c>
      <c r="T19" s="82" t="s">
        <v>301</v>
      </c>
      <c r="U19" s="82" t="s">
        <v>301</v>
      </c>
      <c r="V19" s="83" t="s">
        <v>301</v>
      </c>
      <c r="W19" s="8" t="s">
        <v>1066</v>
      </c>
      <c r="X19" s="185"/>
      <c r="Y19" s="185"/>
      <c r="Z19" s="358"/>
      <c r="AA19" s="8" t="s">
        <v>1066</v>
      </c>
      <c r="AB19" s="185"/>
    </row>
    <row r="20">
      <c r="A20" s="82">
        <v>14.0</v>
      </c>
      <c r="B20" s="94" t="s">
        <v>327</v>
      </c>
      <c r="C20" s="350" t="s">
        <v>301</v>
      </c>
      <c r="D20" s="349" t="s">
        <v>1058</v>
      </c>
      <c r="E20" s="349" t="s">
        <v>1059</v>
      </c>
      <c r="F20" s="369" t="s">
        <v>301</v>
      </c>
      <c r="G20" s="82" t="s">
        <v>1060</v>
      </c>
      <c r="H20" s="82" t="s">
        <v>1061</v>
      </c>
      <c r="I20" s="94" t="s">
        <v>1062</v>
      </c>
      <c r="J20" s="94" t="s">
        <v>1067</v>
      </c>
      <c r="K20" s="352">
        <v>0.01</v>
      </c>
      <c r="L20" s="82" t="s">
        <v>301</v>
      </c>
      <c r="M20" s="82" t="s">
        <v>301</v>
      </c>
      <c r="N20" s="82" t="s">
        <v>301</v>
      </c>
      <c r="O20" s="82" t="s">
        <v>301</v>
      </c>
      <c r="P20" s="83" t="s">
        <v>301</v>
      </c>
      <c r="Q20" s="8"/>
      <c r="R20" s="82" t="s">
        <v>301</v>
      </c>
      <c r="S20" s="82" t="s">
        <v>301</v>
      </c>
      <c r="T20" s="82" t="s">
        <v>301</v>
      </c>
      <c r="U20" s="82" t="s">
        <v>301</v>
      </c>
      <c r="V20" s="83" t="s">
        <v>301</v>
      </c>
      <c r="W20" s="8" t="s">
        <v>1068</v>
      </c>
      <c r="X20" s="185"/>
      <c r="Y20" s="185"/>
      <c r="Z20" s="358"/>
      <c r="AA20" s="8" t="s">
        <v>1068</v>
      </c>
      <c r="AB20" s="185"/>
    </row>
    <row r="21">
      <c r="A21" s="82">
        <v>15.0</v>
      </c>
      <c r="B21" s="349" t="s">
        <v>327</v>
      </c>
      <c r="C21" s="350" t="s">
        <v>301</v>
      </c>
      <c r="D21" s="349" t="s">
        <v>1058</v>
      </c>
      <c r="E21" s="349" t="s">
        <v>1059</v>
      </c>
      <c r="F21" s="369" t="s">
        <v>301</v>
      </c>
      <c r="G21" s="82" t="s">
        <v>1060</v>
      </c>
      <c r="H21" s="82" t="s">
        <v>1061</v>
      </c>
      <c r="I21" s="94" t="s">
        <v>1062</v>
      </c>
      <c r="J21" s="94" t="s">
        <v>1069</v>
      </c>
      <c r="K21" s="82">
        <v>88.0</v>
      </c>
      <c r="L21" s="82" t="s">
        <v>301</v>
      </c>
      <c r="M21" s="82" t="s">
        <v>301</v>
      </c>
      <c r="N21" s="82" t="s">
        <v>301</v>
      </c>
      <c r="O21" s="82" t="s">
        <v>301</v>
      </c>
      <c r="P21" s="83" t="s">
        <v>301</v>
      </c>
      <c r="Q21" s="8"/>
      <c r="R21" s="82" t="s">
        <v>301</v>
      </c>
      <c r="S21" s="82" t="s">
        <v>301</v>
      </c>
      <c r="T21" s="82" t="s">
        <v>301</v>
      </c>
      <c r="U21" s="82" t="s">
        <v>301</v>
      </c>
      <c r="V21" s="83" t="s">
        <v>301</v>
      </c>
      <c r="W21" s="8" t="s">
        <v>1070</v>
      </c>
      <c r="X21" s="185"/>
      <c r="Y21" s="185"/>
      <c r="Z21" s="358"/>
      <c r="AA21" s="8" t="s">
        <v>1070</v>
      </c>
      <c r="AB21" s="185"/>
    </row>
    <row r="22">
      <c r="A22" s="82">
        <v>16.0</v>
      </c>
      <c r="B22" s="349" t="s">
        <v>327</v>
      </c>
      <c r="C22" s="350" t="s">
        <v>301</v>
      </c>
      <c r="D22" s="349" t="s">
        <v>1058</v>
      </c>
      <c r="E22" s="349" t="s">
        <v>1059</v>
      </c>
      <c r="F22" s="369" t="s">
        <v>301</v>
      </c>
      <c r="G22" s="82" t="s">
        <v>1060</v>
      </c>
      <c r="H22" s="82" t="s">
        <v>1061</v>
      </c>
      <c r="I22" s="94" t="s">
        <v>1062</v>
      </c>
      <c r="J22" s="94" t="s">
        <v>1071</v>
      </c>
      <c r="K22" s="370">
        <v>3.8</v>
      </c>
      <c r="L22" s="82" t="s">
        <v>301</v>
      </c>
      <c r="M22" s="82" t="s">
        <v>301</v>
      </c>
      <c r="N22" s="82" t="s">
        <v>301</v>
      </c>
      <c r="O22" s="82" t="s">
        <v>301</v>
      </c>
      <c r="P22" s="83" t="s">
        <v>301</v>
      </c>
      <c r="Q22" s="8"/>
      <c r="R22" s="82" t="s">
        <v>301</v>
      </c>
      <c r="S22" s="82" t="s">
        <v>301</v>
      </c>
      <c r="T22" s="82" t="s">
        <v>301</v>
      </c>
      <c r="U22" s="82" t="s">
        <v>301</v>
      </c>
      <c r="V22" s="83" t="s">
        <v>301</v>
      </c>
      <c r="W22" s="8" t="s">
        <v>1072</v>
      </c>
      <c r="X22" s="185"/>
      <c r="Y22" s="185"/>
      <c r="Z22" s="358"/>
      <c r="AA22" s="8" t="s">
        <v>1072</v>
      </c>
      <c r="AB22" s="185"/>
    </row>
    <row r="23">
      <c r="A23" s="348">
        <v>17.0</v>
      </c>
      <c r="B23" s="349" t="s">
        <v>327</v>
      </c>
      <c r="C23" s="350" t="s">
        <v>301</v>
      </c>
      <c r="D23" s="349" t="s">
        <v>1058</v>
      </c>
      <c r="E23" s="349" t="s">
        <v>1059</v>
      </c>
      <c r="F23" s="369" t="s">
        <v>301</v>
      </c>
      <c r="G23" s="82" t="s">
        <v>1060</v>
      </c>
      <c r="H23" s="82" t="s">
        <v>1061</v>
      </c>
      <c r="I23" s="94" t="s">
        <v>1062</v>
      </c>
      <c r="J23" s="94" t="s">
        <v>1073</v>
      </c>
      <c r="K23" s="370">
        <v>3.8</v>
      </c>
      <c r="L23" s="82" t="s">
        <v>301</v>
      </c>
      <c r="M23" s="82" t="s">
        <v>301</v>
      </c>
      <c r="N23" s="82" t="s">
        <v>301</v>
      </c>
      <c r="O23" s="82" t="s">
        <v>301</v>
      </c>
      <c r="P23" s="83" t="s">
        <v>301</v>
      </c>
      <c r="Q23" s="8"/>
      <c r="R23" s="82" t="s">
        <v>301</v>
      </c>
      <c r="S23" s="82" t="s">
        <v>301</v>
      </c>
      <c r="T23" s="82" t="s">
        <v>301</v>
      </c>
      <c r="U23" s="82" t="s">
        <v>301</v>
      </c>
      <c r="V23" s="83" t="s">
        <v>301</v>
      </c>
      <c r="W23" s="8" t="s">
        <v>1074</v>
      </c>
      <c r="X23" s="185"/>
      <c r="Y23" s="185"/>
      <c r="Z23" s="358"/>
      <c r="AA23" s="8" t="s">
        <v>1074</v>
      </c>
      <c r="AB23" s="185"/>
    </row>
    <row r="24">
      <c r="A24" s="82">
        <v>18.0</v>
      </c>
      <c r="B24" s="349" t="s">
        <v>327</v>
      </c>
      <c r="C24" s="350" t="s">
        <v>301</v>
      </c>
      <c r="D24" s="349" t="s">
        <v>1058</v>
      </c>
      <c r="E24" s="349" t="s">
        <v>1059</v>
      </c>
      <c r="F24" s="369" t="s">
        <v>301</v>
      </c>
      <c r="G24" s="82" t="s">
        <v>1060</v>
      </c>
      <c r="H24" s="82" t="s">
        <v>1061</v>
      </c>
      <c r="I24" s="94" t="s">
        <v>1062</v>
      </c>
      <c r="J24" s="94" t="s">
        <v>1075</v>
      </c>
      <c r="K24" s="352">
        <v>0.7</v>
      </c>
      <c r="L24" s="82" t="s">
        <v>301</v>
      </c>
      <c r="M24" s="82" t="s">
        <v>301</v>
      </c>
      <c r="N24" s="82" t="s">
        <v>301</v>
      </c>
      <c r="O24" s="82" t="s">
        <v>301</v>
      </c>
      <c r="P24" s="83" t="s">
        <v>301</v>
      </c>
      <c r="Q24" s="8"/>
      <c r="R24" s="82" t="s">
        <v>301</v>
      </c>
      <c r="S24" s="82" t="s">
        <v>301</v>
      </c>
      <c r="T24" s="82" t="s">
        <v>301</v>
      </c>
      <c r="U24" s="82" t="s">
        <v>301</v>
      </c>
      <c r="V24" s="83" t="s">
        <v>301</v>
      </c>
      <c r="W24" s="8" t="s">
        <v>1076</v>
      </c>
      <c r="X24" s="185"/>
      <c r="Y24" s="185"/>
      <c r="Z24" s="358"/>
      <c r="AA24" s="8" t="s">
        <v>1076</v>
      </c>
      <c r="AB24" s="185"/>
    </row>
    <row r="25">
      <c r="A25" s="82">
        <v>19.0</v>
      </c>
      <c r="B25" s="349" t="s">
        <v>327</v>
      </c>
      <c r="C25" s="350" t="s">
        <v>301</v>
      </c>
      <c r="D25" s="349" t="s">
        <v>1058</v>
      </c>
      <c r="E25" s="349" t="s">
        <v>1059</v>
      </c>
      <c r="F25" s="369" t="s">
        <v>301</v>
      </c>
      <c r="G25" s="82" t="s">
        <v>1060</v>
      </c>
      <c r="H25" s="82" t="s">
        <v>1061</v>
      </c>
      <c r="I25" s="94" t="s">
        <v>1062</v>
      </c>
      <c r="J25" s="94" t="s">
        <v>1077</v>
      </c>
      <c r="K25" s="352">
        <v>0.3</v>
      </c>
      <c r="L25" s="82" t="s">
        <v>301</v>
      </c>
      <c r="M25" s="82" t="s">
        <v>301</v>
      </c>
      <c r="N25" s="82" t="s">
        <v>301</v>
      </c>
      <c r="O25" s="82" t="s">
        <v>301</v>
      </c>
      <c r="P25" s="83" t="s">
        <v>301</v>
      </c>
      <c r="Q25" s="8"/>
      <c r="R25" s="82" t="s">
        <v>301</v>
      </c>
      <c r="S25" s="82" t="s">
        <v>301</v>
      </c>
      <c r="T25" s="82" t="s">
        <v>301</v>
      </c>
      <c r="U25" s="82" t="s">
        <v>301</v>
      </c>
      <c r="V25" s="83" t="s">
        <v>301</v>
      </c>
      <c r="W25" s="8" t="s">
        <v>1078</v>
      </c>
      <c r="X25" s="185"/>
      <c r="Y25" s="185"/>
      <c r="Z25" s="358"/>
      <c r="AA25" s="8" t="s">
        <v>1078</v>
      </c>
      <c r="AB25" s="185"/>
    </row>
    <row r="26">
      <c r="A26" s="82">
        <v>20.0</v>
      </c>
      <c r="B26" s="349" t="s">
        <v>327</v>
      </c>
      <c r="C26" s="350" t="s">
        <v>301</v>
      </c>
      <c r="D26" s="349" t="s">
        <v>1058</v>
      </c>
      <c r="E26" s="349" t="s">
        <v>1059</v>
      </c>
      <c r="F26" s="369" t="s">
        <v>301</v>
      </c>
      <c r="G26" s="82" t="s">
        <v>1060</v>
      </c>
      <c r="H26" s="82" t="s">
        <v>1061</v>
      </c>
      <c r="I26" s="94" t="s">
        <v>1062</v>
      </c>
      <c r="J26" s="94" t="s">
        <v>1079</v>
      </c>
      <c r="K26" s="82">
        <v>80.0</v>
      </c>
      <c r="L26" s="82" t="s">
        <v>301</v>
      </c>
      <c r="M26" s="82" t="s">
        <v>301</v>
      </c>
      <c r="N26" s="82" t="s">
        <v>301</v>
      </c>
      <c r="O26" s="82" t="s">
        <v>301</v>
      </c>
      <c r="P26" s="83" t="s">
        <v>301</v>
      </c>
      <c r="Q26" s="8"/>
      <c r="R26" s="82" t="s">
        <v>301</v>
      </c>
      <c r="S26" s="82" t="s">
        <v>301</v>
      </c>
      <c r="T26" s="82" t="s">
        <v>301</v>
      </c>
      <c r="U26" s="82" t="s">
        <v>301</v>
      </c>
      <c r="V26" s="83" t="s">
        <v>301</v>
      </c>
      <c r="W26" s="8" t="s">
        <v>1080</v>
      </c>
      <c r="X26" s="185"/>
      <c r="Y26" s="185"/>
      <c r="Z26" s="358"/>
      <c r="AA26" s="8" t="s">
        <v>1080</v>
      </c>
      <c r="AB26" s="185"/>
    </row>
    <row r="27">
      <c r="A27" s="348">
        <v>21.0</v>
      </c>
      <c r="B27" s="349" t="s">
        <v>327</v>
      </c>
      <c r="C27" s="350" t="s">
        <v>301</v>
      </c>
      <c r="D27" s="349" t="s">
        <v>1058</v>
      </c>
      <c r="E27" s="349" t="s">
        <v>1059</v>
      </c>
      <c r="F27" s="369" t="s">
        <v>301</v>
      </c>
      <c r="G27" s="82" t="s">
        <v>1060</v>
      </c>
      <c r="H27" s="82" t="s">
        <v>1061</v>
      </c>
      <c r="I27" s="94" t="s">
        <v>1062</v>
      </c>
      <c r="J27" s="94" t="s">
        <v>1081</v>
      </c>
      <c r="K27" s="82">
        <v>80.0</v>
      </c>
      <c r="L27" s="82" t="s">
        <v>301</v>
      </c>
      <c r="M27" s="82" t="s">
        <v>301</v>
      </c>
      <c r="N27" s="82" t="s">
        <v>301</v>
      </c>
      <c r="O27" s="82" t="s">
        <v>301</v>
      </c>
      <c r="P27" s="83" t="s">
        <v>301</v>
      </c>
      <c r="Q27" s="358"/>
      <c r="R27" s="82" t="s">
        <v>301</v>
      </c>
      <c r="S27" s="82" t="s">
        <v>301</v>
      </c>
      <c r="T27" s="82" t="s">
        <v>301</v>
      </c>
      <c r="U27" s="82" t="s">
        <v>301</v>
      </c>
      <c r="V27" s="83" t="s">
        <v>301</v>
      </c>
      <c r="W27" s="358" t="s">
        <v>1082</v>
      </c>
      <c r="X27" s="185"/>
      <c r="Y27" s="185"/>
      <c r="Z27" s="358"/>
      <c r="AA27" s="358" t="s">
        <v>1082</v>
      </c>
      <c r="AB27" s="185"/>
    </row>
    <row r="28" ht="39.0" customHeight="1">
      <c r="A28" s="343" t="s">
        <v>1083</v>
      </c>
      <c r="B28" s="344"/>
      <c r="C28" s="344"/>
      <c r="D28" s="344"/>
      <c r="E28" s="344"/>
      <c r="F28" s="344"/>
      <c r="G28" s="344"/>
      <c r="H28" s="344"/>
      <c r="I28" s="344"/>
      <c r="J28" s="344"/>
      <c r="K28" s="344"/>
      <c r="L28" s="344"/>
      <c r="M28" s="344"/>
      <c r="N28" s="344"/>
      <c r="O28" s="344"/>
      <c r="P28" s="344"/>
      <c r="Q28" s="344"/>
      <c r="R28" s="344"/>
      <c r="S28" s="344"/>
      <c r="T28" s="344"/>
      <c r="U28" s="344"/>
      <c r="V28" s="345"/>
      <c r="W28" s="371"/>
      <c r="X28" s="372"/>
      <c r="Y28" s="372"/>
      <c r="Z28" s="372"/>
      <c r="AA28" s="372"/>
      <c r="AB28" s="372"/>
    </row>
    <row r="29">
      <c r="A29" s="373">
        <v>1.0</v>
      </c>
      <c r="B29" s="374" t="s">
        <v>323</v>
      </c>
      <c r="C29" s="375" t="s">
        <v>301</v>
      </c>
      <c r="D29" s="376" t="s">
        <v>1084</v>
      </c>
      <c r="E29" s="374" t="s">
        <v>1085</v>
      </c>
      <c r="F29" s="377" t="s">
        <v>301</v>
      </c>
      <c r="G29" s="378" t="s">
        <v>1086</v>
      </c>
      <c r="H29" s="378" t="s">
        <v>1087</v>
      </c>
      <c r="I29" s="378" t="s">
        <v>1088</v>
      </c>
      <c r="J29" s="378" t="s">
        <v>1089</v>
      </c>
      <c r="K29" s="373" t="s">
        <v>1090</v>
      </c>
      <c r="L29" s="379" t="s">
        <v>301</v>
      </c>
      <c r="M29" s="373" t="s">
        <v>301</v>
      </c>
      <c r="N29" s="373" t="s">
        <v>301</v>
      </c>
      <c r="O29" s="373" t="s">
        <v>301</v>
      </c>
      <c r="P29" s="373" t="s">
        <v>301</v>
      </c>
      <c r="Q29" s="380" t="s">
        <v>1091</v>
      </c>
      <c r="R29" s="379" t="s">
        <v>301</v>
      </c>
      <c r="S29" s="373" t="s">
        <v>301</v>
      </c>
      <c r="T29" s="373" t="s">
        <v>301</v>
      </c>
      <c r="U29" s="373" t="s">
        <v>301</v>
      </c>
      <c r="V29" s="373" t="s">
        <v>301</v>
      </c>
      <c r="W29" s="380" t="s">
        <v>1091</v>
      </c>
    </row>
    <row r="30">
      <c r="A30" s="381">
        <v>2.0</v>
      </c>
      <c r="B30" s="382" t="s">
        <v>323</v>
      </c>
      <c r="C30" s="383" t="s">
        <v>301</v>
      </c>
      <c r="D30" s="384" t="s">
        <v>1084</v>
      </c>
      <c r="E30" s="382" t="s">
        <v>1085</v>
      </c>
      <c r="F30" s="385" t="s">
        <v>301</v>
      </c>
      <c r="G30" s="386" t="s">
        <v>1086</v>
      </c>
      <c r="H30" s="386" t="s">
        <v>1087</v>
      </c>
      <c r="I30" s="386" t="s">
        <v>1088</v>
      </c>
      <c r="J30" s="386" t="s">
        <v>1092</v>
      </c>
      <c r="K30" s="381" t="s">
        <v>1093</v>
      </c>
      <c r="L30" s="379" t="s">
        <v>301</v>
      </c>
      <c r="M30" s="381" t="s">
        <v>301</v>
      </c>
      <c r="N30" s="381" t="s">
        <v>301</v>
      </c>
      <c r="O30" s="381" t="s">
        <v>301</v>
      </c>
      <c r="P30" s="381" t="s">
        <v>301</v>
      </c>
      <c r="Q30" s="387" t="s">
        <v>1091</v>
      </c>
      <c r="R30" s="379" t="s">
        <v>301</v>
      </c>
      <c r="S30" s="381" t="s">
        <v>301</v>
      </c>
      <c r="T30" s="381" t="s">
        <v>301</v>
      </c>
      <c r="U30" s="381" t="s">
        <v>301</v>
      </c>
      <c r="V30" s="381" t="s">
        <v>301</v>
      </c>
      <c r="W30" s="387" t="s">
        <v>1091</v>
      </c>
    </row>
    <row r="31">
      <c r="A31" s="373">
        <v>3.0</v>
      </c>
      <c r="B31" s="374" t="s">
        <v>323</v>
      </c>
      <c r="C31" s="375" t="s">
        <v>301</v>
      </c>
      <c r="D31" s="376" t="s">
        <v>1084</v>
      </c>
      <c r="E31" s="374" t="s">
        <v>1085</v>
      </c>
      <c r="F31" s="377" t="s">
        <v>301</v>
      </c>
      <c r="G31" s="378" t="s">
        <v>1086</v>
      </c>
      <c r="H31" s="378" t="s">
        <v>1087</v>
      </c>
      <c r="I31" s="378" t="s">
        <v>1088</v>
      </c>
      <c r="J31" s="378" t="s">
        <v>1094</v>
      </c>
      <c r="K31" s="373" t="s">
        <v>1095</v>
      </c>
      <c r="L31" s="379" t="s">
        <v>301</v>
      </c>
      <c r="M31" s="373" t="s">
        <v>301</v>
      </c>
      <c r="N31" s="373" t="s">
        <v>301</v>
      </c>
      <c r="O31" s="373" t="s">
        <v>301</v>
      </c>
      <c r="P31" s="373" t="s">
        <v>301</v>
      </c>
      <c r="Q31" s="380" t="s">
        <v>1096</v>
      </c>
      <c r="R31" s="379" t="s">
        <v>301</v>
      </c>
      <c r="S31" s="373" t="s">
        <v>301</v>
      </c>
      <c r="T31" s="373" t="s">
        <v>301</v>
      </c>
      <c r="U31" s="373" t="s">
        <v>301</v>
      </c>
      <c r="V31" s="373" t="s">
        <v>301</v>
      </c>
      <c r="W31" s="380" t="s">
        <v>1096</v>
      </c>
    </row>
    <row r="32">
      <c r="A32" s="381">
        <v>4.0</v>
      </c>
      <c r="B32" s="382" t="s">
        <v>323</v>
      </c>
      <c r="C32" s="383" t="s">
        <v>301</v>
      </c>
      <c r="D32" s="384" t="s">
        <v>1058</v>
      </c>
      <c r="E32" s="382" t="s">
        <v>1097</v>
      </c>
      <c r="F32" s="385" t="s">
        <v>301</v>
      </c>
      <c r="G32" s="386" t="s">
        <v>1098</v>
      </c>
      <c r="H32" s="386" t="s">
        <v>1099</v>
      </c>
      <c r="I32" s="386" t="s">
        <v>1100</v>
      </c>
      <c r="J32" s="386" t="s">
        <v>1101</v>
      </c>
      <c r="K32" s="381" t="s">
        <v>1102</v>
      </c>
      <c r="L32" s="379" t="s">
        <v>301</v>
      </c>
      <c r="M32" s="381" t="s">
        <v>301</v>
      </c>
      <c r="N32" s="381" t="s">
        <v>301</v>
      </c>
      <c r="O32" s="381" t="s">
        <v>301</v>
      </c>
      <c r="P32" s="381" t="s">
        <v>301</v>
      </c>
      <c r="Q32" s="387" t="s">
        <v>1091</v>
      </c>
      <c r="R32" s="379" t="s">
        <v>301</v>
      </c>
      <c r="S32" s="381" t="s">
        <v>301</v>
      </c>
      <c r="T32" s="381" t="s">
        <v>301</v>
      </c>
      <c r="U32" s="381" t="s">
        <v>301</v>
      </c>
      <c r="V32" s="381" t="s">
        <v>301</v>
      </c>
      <c r="W32" s="387" t="s">
        <v>1091</v>
      </c>
    </row>
    <row r="33">
      <c r="A33" s="373">
        <v>5.0</v>
      </c>
      <c r="B33" s="374" t="s">
        <v>323</v>
      </c>
      <c r="C33" s="375" t="s">
        <v>301</v>
      </c>
      <c r="D33" s="376" t="s">
        <v>1058</v>
      </c>
      <c r="E33" s="374" t="s">
        <v>1097</v>
      </c>
      <c r="F33" s="377" t="s">
        <v>301</v>
      </c>
      <c r="G33" s="378" t="s">
        <v>1098</v>
      </c>
      <c r="H33" s="378" t="s">
        <v>1099</v>
      </c>
      <c r="I33" s="378" t="s">
        <v>1100</v>
      </c>
      <c r="J33" s="378" t="s">
        <v>1103</v>
      </c>
      <c r="K33" s="373" t="s">
        <v>1104</v>
      </c>
      <c r="L33" s="379" t="s">
        <v>301</v>
      </c>
      <c r="M33" s="373" t="s">
        <v>301</v>
      </c>
      <c r="N33" s="373" t="s">
        <v>301</v>
      </c>
      <c r="O33" s="373" t="s">
        <v>301</v>
      </c>
      <c r="P33" s="373" t="s">
        <v>301</v>
      </c>
      <c r="Q33" s="380" t="s">
        <v>1091</v>
      </c>
      <c r="R33" s="379" t="s">
        <v>301</v>
      </c>
      <c r="S33" s="373" t="s">
        <v>301</v>
      </c>
      <c r="T33" s="373" t="s">
        <v>301</v>
      </c>
      <c r="U33" s="373" t="s">
        <v>301</v>
      </c>
      <c r="V33" s="373" t="s">
        <v>301</v>
      </c>
      <c r="W33" s="380" t="s">
        <v>1091</v>
      </c>
    </row>
    <row r="34">
      <c r="A34" s="381">
        <v>6.0</v>
      </c>
      <c r="B34" s="382" t="s">
        <v>323</v>
      </c>
      <c r="C34" s="383" t="s">
        <v>301</v>
      </c>
      <c r="D34" s="384" t="s">
        <v>1058</v>
      </c>
      <c r="E34" s="382" t="s">
        <v>1097</v>
      </c>
      <c r="F34" s="385" t="s">
        <v>301</v>
      </c>
      <c r="G34" s="386" t="s">
        <v>1098</v>
      </c>
      <c r="H34" s="386" t="s">
        <v>1099</v>
      </c>
      <c r="I34" s="386" t="s">
        <v>1100</v>
      </c>
      <c r="J34" s="386" t="s">
        <v>1105</v>
      </c>
      <c r="K34" s="381" t="s">
        <v>1106</v>
      </c>
      <c r="L34" s="379" t="s">
        <v>301</v>
      </c>
      <c r="M34" s="381" t="s">
        <v>301</v>
      </c>
      <c r="N34" s="381" t="s">
        <v>301</v>
      </c>
      <c r="O34" s="381" t="s">
        <v>301</v>
      </c>
      <c r="P34" s="381" t="s">
        <v>301</v>
      </c>
      <c r="Q34" s="387" t="s">
        <v>1091</v>
      </c>
      <c r="R34" s="379" t="s">
        <v>301</v>
      </c>
      <c r="S34" s="381" t="s">
        <v>301</v>
      </c>
      <c r="T34" s="381" t="s">
        <v>301</v>
      </c>
      <c r="U34" s="381" t="s">
        <v>301</v>
      </c>
      <c r="V34" s="381" t="s">
        <v>301</v>
      </c>
      <c r="W34" s="387" t="s">
        <v>1091</v>
      </c>
    </row>
    <row r="35">
      <c r="A35" s="373">
        <v>7.0</v>
      </c>
      <c r="B35" s="374" t="s">
        <v>323</v>
      </c>
      <c r="C35" s="375" t="s">
        <v>301</v>
      </c>
      <c r="D35" s="376" t="s">
        <v>1058</v>
      </c>
      <c r="E35" s="374" t="s">
        <v>1097</v>
      </c>
      <c r="F35" s="377" t="s">
        <v>301</v>
      </c>
      <c r="G35" s="378" t="s">
        <v>1098</v>
      </c>
      <c r="H35" s="378" t="s">
        <v>1099</v>
      </c>
      <c r="I35" s="378" t="s">
        <v>1100</v>
      </c>
      <c r="J35" s="378" t="s">
        <v>1107</v>
      </c>
      <c r="K35" s="373" t="s">
        <v>1108</v>
      </c>
      <c r="L35" s="379" t="s">
        <v>301</v>
      </c>
      <c r="M35" s="373" t="s">
        <v>301</v>
      </c>
      <c r="N35" s="373" t="s">
        <v>301</v>
      </c>
      <c r="O35" s="373" t="s">
        <v>301</v>
      </c>
      <c r="P35" s="373" t="s">
        <v>301</v>
      </c>
      <c r="Q35" s="380" t="s">
        <v>1091</v>
      </c>
      <c r="R35" s="379" t="s">
        <v>301</v>
      </c>
      <c r="S35" s="373" t="s">
        <v>301</v>
      </c>
      <c r="T35" s="373" t="s">
        <v>301</v>
      </c>
      <c r="U35" s="373" t="s">
        <v>301</v>
      </c>
      <c r="V35" s="373" t="s">
        <v>301</v>
      </c>
      <c r="W35" s="380" t="s">
        <v>1091</v>
      </c>
    </row>
    <row r="36">
      <c r="A36" s="381">
        <v>8.0</v>
      </c>
      <c r="B36" s="382" t="s">
        <v>323</v>
      </c>
      <c r="C36" s="383" t="s">
        <v>301</v>
      </c>
      <c r="D36" s="384" t="s">
        <v>1058</v>
      </c>
      <c r="E36" s="382" t="s">
        <v>1097</v>
      </c>
      <c r="F36" s="385" t="s">
        <v>301</v>
      </c>
      <c r="G36" s="386" t="s">
        <v>1098</v>
      </c>
      <c r="H36" s="386" t="s">
        <v>1099</v>
      </c>
      <c r="I36" s="386" t="s">
        <v>1100</v>
      </c>
      <c r="J36" s="386" t="s">
        <v>1109</v>
      </c>
      <c r="K36" s="381" t="s">
        <v>1110</v>
      </c>
      <c r="L36" s="379" t="s">
        <v>301</v>
      </c>
      <c r="M36" s="381" t="s">
        <v>301</v>
      </c>
      <c r="N36" s="381" t="s">
        <v>301</v>
      </c>
      <c r="O36" s="381" t="s">
        <v>301</v>
      </c>
      <c r="P36" s="381" t="s">
        <v>301</v>
      </c>
      <c r="Q36" s="387" t="s">
        <v>1091</v>
      </c>
      <c r="R36" s="379" t="s">
        <v>301</v>
      </c>
      <c r="S36" s="381" t="s">
        <v>301</v>
      </c>
      <c r="T36" s="381" t="s">
        <v>301</v>
      </c>
      <c r="U36" s="381" t="s">
        <v>301</v>
      </c>
      <c r="V36" s="381" t="s">
        <v>301</v>
      </c>
      <c r="W36" s="387" t="s">
        <v>1091</v>
      </c>
    </row>
    <row r="37">
      <c r="A37" s="373">
        <v>9.0</v>
      </c>
      <c r="B37" s="374" t="s">
        <v>323</v>
      </c>
      <c r="C37" s="375" t="s">
        <v>301</v>
      </c>
      <c r="D37" s="376" t="s">
        <v>1058</v>
      </c>
      <c r="E37" s="374" t="s">
        <v>1097</v>
      </c>
      <c r="F37" s="377" t="s">
        <v>301</v>
      </c>
      <c r="G37" s="378" t="s">
        <v>1098</v>
      </c>
      <c r="H37" s="378" t="s">
        <v>1099</v>
      </c>
      <c r="I37" s="378" t="s">
        <v>1100</v>
      </c>
      <c r="J37" s="378" t="s">
        <v>1111</v>
      </c>
      <c r="K37" s="373" t="s">
        <v>1112</v>
      </c>
      <c r="L37" s="379" t="s">
        <v>301</v>
      </c>
      <c r="M37" s="373" t="s">
        <v>301</v>
      </c>
      <c r="N37" s="373" t="s">
        <v>301</v>
      </c>
      <c r="O37" s="373" t="s">
        <v>301</v>
      </c>
      <c r="P37" s="373" t="s">
        <v>301</v>
      </c>
      <c r="Q37" s="380" t="s">
        <v>1091</v>
      </c>
      <c r="R37" s="379" t="s">
        <v>301</v>
      </c>
      <c r="S37" s="373" t="s">
        <v>301</v>
      </c>
      <c r="T37" s="373" t="s">
        <v>301</v>
      </c>
      <c r="U37" s="373" t="s">
        <v>301</v>
      </c>
      <c r="V37" s="373" t="s">
        <v>301</v>
      </c>
      <c r="W37" s="380" t="s">
        <v>1091</v>
      </c>
    </row>
    <row r="38">
      <c r="A38" s="381">
        <v>10.0</v>
      </c>
      <c r="B38" s="382" t="s">
        <v>323</v>
      </c>
      <c r="C38" s="383" t="s">
        <v>301</v>
      </c>
      <c r="D38" s="384" t="s">
        <v>1058</v>
      </c>
      <c r="E38" s="382" t="s">
        <v>1097</v>
      </c>
      <c r="F38" s="385" t="s">
        <v>301</v>
      </c>
      <c r="G38" s="386" t="s">
        <v>1098</v>
      </c>
      <c r="H38" s="386" t="s">
        <v>1099</v>
      </c>
      <c r="I38" s="386" t="s">
        <v>1100</v>
      </c>
      <c r="J38" s="386" t="s">
        <v>1113</v>
      </c>
      <c r="K38" s="381" t="s">
        <v>1114</v>
      </c>
      <c r="L38" s="379" t="s">
        <v>301</v>
      </c>
      <c r="M38" s="381" t="s">
        <v>301</v>
      </c>
      <c r="N38" s="381" t="s">
        <v>301</v>
      </c>
      <c r="O38" s="381" t="s">
        <v>301</v>
      </c>
      <c r="P38" s="381" t="s">
        <v>301</v>
      </c>
      <c r="Q38" s="387" t="s">
        <v>1091</v>
      </c>
      <c r="R38" s="379" t="s">
        <v>301</v>
      </c>
      <c r="S38" s="381" t="s">
        <v>301</v>
      </c>
      <c r="T38" s="381" t="s">
        <v>301</v>
      </c>
      <c r="U38" s="381" t="s">
        <v>301</v>
      </c>
      <c r="V38" s="381" t="s">
        <v>301</v>
      </c>
      <c r="W38" s="387" t="s">
        <v>1091</v>
      </c>
    </row>
    <row r="39">
      <c r="A39" s="373">
        <v>11.0</v>
      </c>
      <c r="B39" s="374" t="s">
        <v>323</v>
      </c>
      <c r="C39" s="375" t="s">
        <v>301</v>
      </c>
      <c r="D39" s="376" t="s">
        <v>1058</v>
      </c>
      <c r="E39" s="374" t="s">
        <v>1097</v>
      </c>
      <c r="F39" s="377" t="s">
        <v>301</v>
      </c>
      <c r="G39" s="378" t="s">
        <v>1098</v>
      </c>
      <c r="H39" s="378" t="s">
        <v>1099</v>
      </c>
      <c r="I39" s="378" t="s">
        <v>1100</v>
      </c>
      <c r="J39" s="378" t="s">
        <v>1115</v>
      </c>
      <c r="K39" s="373" t="s">
        <v>1116</v>
      </c>
      <c r="L39" s="379" t="s">
        <v>301</v>
      </c>
      <c r="M39" s="373" t="s">
        <v>301</v>
      </c>
      <c r="N39" s="373" t="s">
        <v>301</v>
      </c>
      <c r="O39" s="373" t="s">
        <v>301</v>
      </c>
      <c r="P39" s="373" t="s">
        <v>301</v>
      </c>
      <c r="Q39" s="380" t="s">
        <v>1091</v>
      </c>
      <c r="R39" s="379" t="s">
        <v>301</v>
      </c>
      <c r="S39" s="373" t="s">
        <v>301</v>
      </c>
      <c r="T39" s="373" t="s">
        <v>301</v>
      </c>
      <c r="U39" s="373" t="s">
        <v>301</v>
      </c>
      <c r="V39" s="373" t="s">
        <v>301</v>
      </c>
      <c r="W39" s="380" t="s">
        <v>1091</v>
      </c>
    </row>
    <row r="40">
      <c r="A40" s="381">
        <v>12.0</v>
      </c>
      <c r="B40" s="382" t="s">
        <v>323</v>
      </c>
      <c r="C40" s="383" t="s">
        <v>301</v>
      </c>
      <c r="D40" s="384" t="s">
        <v>1058</v>
      </c>
      <c r="E40" s="382" t="s">
        <v>1097</v>
      </c>
      <c r="F40" s="385" t="s">
        <v>301</v>
      </c>
      <c r="G40" s="386" t="s">
        <v>1098</v>
      </c>
      <c r="H40" s="386" t="s">
        <v>1099</v>
      </c>
      <c r="I40" s="386" t="s">
        <v>1100</v>
      </c>
      <c r="J40" s="386" t="s">
        <v>1117</v>
      </c>
      <c r="K40" s="381" t="s">
        <v>1118</v>
      </c>
      <c r="L40" s="379" t="s">
        <v>301</v>
      </c>
      <c r="M40" s="381" t="s">
        <v>301</v>
      </c>
      <c r="N40" s="381" t="s">
        <v>301</v>
      </c>
      <c r="O40" s="381" t="s">
        <v>301</v>
      </c>
      <c r="P40" s="381" t="s">
        <v>301</v>
      </c>
      <c r="Q40" s="387" t="s">
        <v>1091</v>
      </c>
      <c r="R40" s="379" t="s">
        <v>301</v>
      </c>
      <c r="S40" s="381" t="s">
        <v>301</v>
      </c>
      <c r="T40" s="381" t="s">
        <v>301</v>
      </c>
      <c r="U40" s="381" t="s">
        <v>301</v>
      </c>
      <c r="V40" s="381" t="s">
        <v>301</v>
      </c>
      <c r="W40" s="387" t="s">
        <v>1091</v>
      </c>
    </row>
    <row r="41">
      <c r="A41" s="373">
        <v>13.0</v>
      </c>
      <c r="B41" s="374" t="s">
        <v>323</v>
      </c>
      <c r="C41" s="375" t="s">
        <v>301</v>
      </c>
      <c r="D41" s="376" t="s">
        <v>1058</v>
      </c>
      <c r="E41" s="374" t="s">
        <v>1085</v>
      </c>
      <c r="F41" s="377" t="s">
        <v>301</v>
      </c>
      <c r="G41" s="378" t="s">
        <v>1098</v>
      </c>
      <c r="H41" s="378" t="s">
        <v>1099</v>
      </c>
      <c r="I41" s="378" t="s">
        <v>1100</v>
      </c>
      <c r="J41" s="378" t="s">
        <v>1119</v>
      </c>
      <c r="K41" s="373" t="s">
        <v>1120</v>
      </c>
      <c r="L41" s="379" t="s">
        <v>301</v>
      </c>
      <c r="M41" s="373" t="s">
        <v>301</v>
      </c>
      <c r="N41" s="373" t="s">
        <v>301</v>
      </c>
      <c r="O41" s="373" t="s">
        <v>301</v>
      </c>
      <c r="P41" s="373" t="s">
        <v>301</v>
      </c>
      <c r="Q41" s="380" t="s">
        <v>1121</v>
      </c>
      <c r="R41" s="379" t="s">
        <v>301</v>
      </c>
      <c r="S41" s="373" t="s">
        <v>301</v>
      </c>
      <c r="T41" s="373" t="s">
        <v>301</v>
      </c>
      <c r="U41" s="373" t="s">
        <v>301</v>
      </c>
      <c r="V41" s="373" t="s">
        <v>301</v>
      </c>
      <c r="W41" s="380" t="s">
        <v>1121</v>
      </c>
    </row>
    <row r="42">
      <c r="A42" s="381">
        <v>14.0</v>
      </c>
      <c r="B42" s="382" t="s">
        <v>298</v>
      </c>
      <c r="C42" s="383" t="s">
        <v>301</v>
      </c>
      <c r="D42" s="384" t="s">
        <v>1084</v>
      </c>
      <c r="E42" s="382" t="s">
        <v>1122</v>
      </c>
      <c r="F42" s="385" t="s">
        <v>301</v>
      </c>
      <c r="G42" s="386" t="s">
        <v>1123</v>
      </c>
      <c r="H42" s="386" t="s">
        <v>1124</v>
      </c>
      <c r="I42" s="386" t="s">
        <v>1125</v>
      </c>
      <c r="J42" s="386" t="s">
        <v>1126</v>
      </c>
      <c r="K42" s="381" t="s">
        <v>1127</v>
      </c>
      <c r="L42" s="379" t="s">
        <v>301</v>
      </c>
      <c r="M42" s="381" t="s">
        <v>301</v>
      </c>
      <c r="N42" s="381" t="s">
        <v>271</v>
      </c>
      <c r="O42" s="381" t="s">
        <v>271</v>
      </c>
      <c r="P42" s="381" t="s">
        <v>271</v>
      </c>
      <c r="Q42" s="387" t="s">
        <v>1128</v>
      </c>
      <c r="R42" s="379" t="s">
        <v>301</v>
      </c>
      <c r="S42" s="381" t="s">
        <v>301</v>
      </c>
      <c r="T42" s="381" t="s">
        <v>271</v>
      </c>
      <c r="U42" s="381" t="s">
        <v>271</v>
      </c>
      <c r="V42" s="381" t="s">
        <v>271</v>
      </c>
      <c r="W42" s="387" t="s">
        <v>1128</v>
      </c>
    </row>
    <row r="43">
      <c r="A43" s="373">
        <v>15.0</v>
      </c>
      <c r="B43" s="374" t="s">
        <v>298</v>
      </c>
      <c r="C43" s="375" t="s">
        <v>301</v>
      </c>
      <c r="D43" s="376" t="s">
        <v>1084</v>
      </c>
      <c r="E43" s="374" t="s">
        <v>1122</v>
      </c>
      <c r="F43" s="377" t="s">
        <v>301</v>
      </c>
      <c r="G43" s="378" t="s">
        <v>1123</v>
      </c>
      <c r="H43" s="378" t="s">
        <v>1124</v>
      </c>
      <c r="I43" s="378" t="s">
        <v>1125</v>
      </c>
      <c r="J43" s="378" t="s">
        <v>1129</v>
      </c>
      <c r="K43" s="373" t="s">
        <v>1127</v>
      </c>
      <c r="L43" s="379" t="s">
        <v>301</v>
      </c>
      <c r="M43" s="373" t="s">
        <v>301</v>
      </c>
      <c r="N43" s="373" t="s">
        <v>271</v>
      </c>
      <c r="O43" s="373" t="s">
        <v>271</v>
      </c>
      <c r="P43" s="373" t="s">
        <v>271</v>
      </c>
      <c r="Q43" s="380" t="s">
        <v>1130</v>
      </c>
      <c r="R43" s="379" t="s">
        <v>301</v>
      </c>
      <c r="S43" s="373" t="s">
        <v>301</v>
      </c>
      <c r="T43" s="373" t="s">
        <v>271</v>
      </c>
      <c r="U43" s="373" t="s">
        <v>271</v>
      </c>
      <c r="V43" s="373" t="s">
        <v>271</v>
      </c>
      <c r="W43" s="380" t="s">
        <v>1130</v>
      </c>
    </row>
    <row r="44">
      <c r="A44" s="381">
        <v>16.0</v>
      </c>
      <c r="B44" s="382" t="s">
        <v>298</v>
      </c>
      <c r="C44" s="383" t="s">
        <v>301</v>
      </c>
      <c r="D44" s="384" t="s">
        <v>1084</v>
      </c>
      <c r="E44" s="382" t="s">
        <v>1122</v>
      </c>
      <c r="F44" s="385" t="s">
        <v>301</v>
      </c>
      <c r="G44" s="386" t="s">
        <v>1123</v>
      </c>
      <c r="H44" s="386" t="s">
        <v>1124</v>
      </c>
      <c r="I44" s="386" t="s">
        <v>1125</v>
      </c>
      <c r="J44" s="386" t="s">
        <v>1131</v>
      </c>
      <c r="K44" s="381" t="s">
        <v>1127</v>
      </c>
      <c r="L44" s="379" t="s">
        <v>301</v>
      </c>
      <c r="M44" s="381" t="s">
        <v>301</v>
      </c>
      <c r="N44" s="381" t="s">
        <v>301</v>
      </c>
      <c r="O44" s="381" t="s">
        <v>301</v>
      </c>
      <c r="P44" s="381" t="s">
        <v>301</v>
      </c>
      <c r="Q44" s="387" t="s">
        <v>1121</v>
      </c>
      <c r="R44" s="379" t="s">
        <v>301</v>
      </c>
      <c r="S44" s="381" t="s">
        <v>301</v>
      </c>
      <c r="T44" s="381" t="s">
        <v>301</v>
      </c>
      <c r="U44" s="381" t="s">
        <v>301</v>
      </c>
      <c r="V44" s="381" t="s">
        <v>301</v>
      </c>
      <c r="W44" s="387" t="s">
        <v>1121</v>
      </c>
    </row>
    <row r="45">
      <c r="A45" s="373">
        <v>17.0</v>
      </c>
      <c r="B45" s="374" t="s">
        <v>298</v>
      </c>
      <c r="C45" s="375" t="s">
        <v>301</v>
      </c>
      <c r="D45" s="376" t="s">
        <v>1084</v>
      </c>
      <c r="E45" s="374" t="s">
        <v>1122</v>
      </c>
      <c r="F45" s="377" t="s">
        <v>301</v>
      </c>
      <c r="G45" s="378" t="s">
        <v>1123</v>
      </c>
      <c r="H45" s="378" t="s">
        <v>1124</v>
      </c>
      <c r="I45" s="378" t="s">
        <v>1125</v>
      </c>
      <c r="J45" s="378" t="s">
        <v>1132</v>
      </c>
      <c r="K45" s="373" t="s">
        <v>1127</v>
      </c>
      <c r="L45" s="379" t="s">
        <v>301</v>
      </c>
      <c r="M45" s="373" t="s">
        <v>301</v>
      </c>
      <c r="N45" s="373" t="s">
        <v>271</v>
      </c>
      <c r="O45" s="373" t="s">
        <v>271</v>
      </c>
      <c r="P45" s="373" t="s">
        <v>271</v>
      </c>
      <c r="Q45" s="380" t="s">
        <v>1130</v>
      </c>
      <c r="R45" s="379" t="s">
        <v>301</v>
      </c>
      <c r="S45" s="373" t="s">
        <v>301</v>
      </c>
      <c r="T45" s="373" t="s">
        <v>271</v>
      </c>
      <c r="U45" s="373" t="s">
        <v>271</v>
      </c>
      <c r="V45" s="373" t="s">
        <v>271</v>
      </c>
      <c r="W45" s="380" t="s">
        <v>1130</v>
      </c>
    </row>
    <row r="46">
      <c r="A46" s="381">
        <v>18.0</v>
      </c>
      <c r="B46" s="382" t="s">
        <v>298</v>
      </c>
      <c r="C46" s="383" t="s">
        <v>301</v>
      </c>
      <c r="D46" s="384" t="s">
        <v>1084</v>
      </c>
      <c r="E46" s="382" t="s">
        <v>1122</v>
      </c>
      <c r="F46" s="385" t="s">
        <v>301</v>
      </c>
      <c r="G46" s="386" t="s">
        <v>1123</v>
      </c>
      <c r="H46" s="386" t="s">
        <v>1124</v>
      </c>
      <c r="I46" s="386" t="s">
        <v>1125</v>
      </c>
      <c r="J46" s="386" t="s">
        <v>1133</v>
      </c>
      <c r="K46" s="381" t="s">
        <v>1134</v>
      </c>
      <c r="L46" s="379" t="s">
        <v>301</v>
      </c>
      <c r="M46" s="381" t="s">
        <v>301</v>
      </c>
      <c r="N46" s="381" t="s">
        <v>301</v>
      </c>
      <c r="O46" s="381" t="s">
        <v>301</v>
      </c>
      <c r="P46" s="381" t="s">
        <v>301</v>
      </c>
      <c r="Q46" s="387" t="s">
        <v>1091</v>
      </c>
      <c r="R46" s="379" t="s">
        <v>301</v>
      </c>
      <c r="S46" s="381" t="s">
        <v>301</v>
      </c>
      <c r="T46" s="381" t="s">
        <v>301</v>
      </c>
      <c r="U46" s="381" t="s">
        <v>301</v>
      </c>
      <c r="V46" s="381" t="s">
        <v>301</v>
      </c>
      <c r="W46" s="387" t="s">
        <v>1091</v>
      </c>
    </row>
    <row r="47">
      <c r="A47" s="373">
        <v>19.0</v>
      </c>
      <c r="B47" s="378" t="s">
        <v>298</v>
      </c>
      <c r="C47" s="375" t="s">
        <v>301</v>
      </c>
      <c r="D47" s="376" t="s">
        <v>1084</v>
      </c>
      <c r="E47" s="374" t="s">
        <v>1122</v>
      </c>
      <c r="F47" s="377" t="s">
        <v>301</v>
      </c>
      <c r="G47" s="378" t="s">
        <v>1123</v>
      </c>
      <c r="H47" s="378" t="s">
        <v>1124</v>
      </c>
      <c r="I47" s="378" t="s">
        <v>1125</v>
      </c>
      <c r="J47" s="378" t="s">
        <v>1135</v>
      </c>
      <c r="K47" s="373" t="s">
        <v>1136</v>
      </c>
      <c r="L47" s="379" t="s">
        <v>301</v>
      </c>
      <c r="M47" s="373" t="s">
        <v>301</v>
      </c>
      <c r="N47" s="373" t="s">
        <v>301</v>
      </c>
      <c r="O47" s="373" t="s">
        <v>301</v>
      </c>
      <c r="P47" s="373" t="s">
        <v>301</v>
      </c>
      <c r="Q47" s="380" t="s">
        <v>1121</v>
      </c>
      <c r="R47" s="379" t="s">
        <v>301</v>
      </c>
      <c r="S47" s="373" t="s">
        <v>301</v>
      </c>
      <c r="T47" s="373" t="s">
        <v>301</v>
      </c>
      <c r="U47" s="373" t="s">
        <v>301</v>
      </c>
      <c r="V47" s="373" t="s">
        <v>301</v>
      </c>
      <c r="W47" s="380" t="s">
        <v>1121</v>
      </c>
    </row>
    <row r="48">
      <c r="A48" s="381">
        <v>20.0</v>
      </c>
      <c r="B48" s="382" t="s">
        <v>298</v>
      </c>
      <c r="C48" s="383" t="s">
        <v>301</v>
      </c>
      <c r="D48" s="384" t="s">
        <v>1084</v>
      </c>
      <c r="E48" s="382" t="s">
        <v>1137</v>
      </c>
      <c r="F48" s="385" t="s">
        <v>301</v>
      </c>
      <c r="G48" s="386" t="s">
        <v>1123</v>
      </c>
      <c r="H48" s="386" t="s">
        <v>1124</v>
      </c>
      <c r="I48" s="386" t="s">
        <v>1138</v>
      </c>
      <c r="J48" s="386" t="s">
        <v>1139</v>
      </c>
      <c r="K48" s="381" t="s">
        <v>1140</v>
      </c>
      <c r="L48" s="379" t="s">
        <v>301</v>
      </c>
      <c r="M48" s="381" t="s">
        <v>301</v>
      </c>
      <c r="N48" s="381" t="s">
        <v>301</v>
      </c>
      <c r="O48" s="381" t="s">
        <v>301</v>
      </c>
      <c r="P48" s="381" t="s">
        <v>301</v>
      </c>
      <c r="Q48" s="387" t="s">
        <v>1121</v>
      </c>
      <c r="R48" s="379" t="s">
        <v>301</v>
      </c>
      <c r="S48" s="381" t="s">
        <v>301</v>
      </c>
      <c r="T48" s="381" t="s">
        <v>301</v>
      </c>
      <c r="U48" s="381" t="s">
        <v>301</v>
      </c>
      <c r="V48" s="381" t="s">
        <v>301</v>
      </c>
      <c r="W48" s="387" t="s">
        <v>1121</v>
      </c>
    </row>
    <row r="49">
      <c r="A49" s="373">
        <v>21.0</v>
      </c>
      <c r="B49" s="374" t="s">
        <v>303</v>
      </c>
      <c r="C49" s="375" t="s">
        <v>301</v>
      </c>
      <c r="D49" s="376" t="s">
        <v>1084</v>
      </c>
      <c r="E49" s="374" t="s">
        <v>1141</v>
      </c>
      <c r="F49" s="377" t="s">
        <v>301</v>
      </c>
      <c r="G49" s="378" t="s">
        <v>1123</v>
      </c>
      <c r="H49" s="378" t="s">
        <v>1124</v>
      </c>
      <c r="I49" s="378" t="s">
        <v>1142</v>
      </c>
      <c r="J49" s="378" t="s">
        <v>1143</v>
      </c>
      <c r="K49" s="373" t="s">
        <v>1144</v>
      </c>
      <c r="L49" s="379" t="s">
        <v>301</v>
      </c>
      <c r="M49" s="373" t="s">
        <v>301</v>
      </c>
      <c r="N49" s="373" t="s">
        <v>301</v>
      </c>
      <c r="O49" s="373" t="s">
        <v>301</v>
      </c>
      <c r="P49" s="373" t="s">
        <v>301</v>
      </c>
      <c r="Q49" s="380" t="s">
        <v>1121</v>
      </c>
      <c r="R49" s="379" t="s">
        <v>301</v>
      </c>
      <c r="S49" s="373" t="s">
        <v>301</v>
      </c>
      <c r="T49" s="373" t="s">
        <v>301</v>
      </c>
      <c r="U49" s="373" t="s">
        <v>301</v>
      </c>
      <c r="V49" s="373" t="s">
        <v>301</v>
      </c>
      <c r="W49" s="380" t="s">
        <v>1121</v>
      </c>
    </row>
    <row r="50">
      <c r="A50" s="381">
        <v>22.0</v>
      </c>
      <c r="B50" s="382" t="s">
        <v>303</v>
      </c>
      <c r="C50" s="383" t="s">
        <v>301</v>
      </c>
      <c r="D50" s="384" t="s">
        <v>1084</v>
      </c>
      <c r="E50" s="382" t="s">
        <v>1141</v>
      </c>
      <c r="F50" s="385" t="s">
        <v>301</v>
      </c>
      <c r="G50" s="386" t="s">
        <v>1123</v>
      </c>
      <c r="H50" s="386" t="s">
        <v>1124</v>
      </c>
      <c r="I50" s="386" t="s">
        <v>1142</v>
      </c>
      <c r="J50" s="386" t="s">
        <v>1145</v>
      </c>
      <c r="K50" s="381" t="s">
        <v>1146</v>
      </c>
      <c r="L50" s="379" t="s">
        <v>301</v>
      </c>
      <c r="M50" s="381" t="s">
        <v>301</v>
      </c>
      <c r="N50" s="381" t="s">
        <v>301</v>
      </c>
      <c r="O50" s="381" t="s">
        <v>301</v>
      </c>
      <c r="P50" s="381" t="s">
        <v>301</v>
      </c>
      <c r="Q50" s="387" t="s">
        <v>1121</v>
      </c>
      <c r="R50" s="379" t="s">
        <v>301</v>
      </c>
      <c r="S50" s="381" t="s">
        <v>301</v>
      </c>
      <c r="T50" s="381" t="s">
        <v>301</v>
      </c>
      <c r="U50" s="381" t="s">
        <v>301</v>
      </c>
      <c r="V50" s="381" t="s">
        <v>301</v>
      </c>
      <c r="W50" s="387" t="s">
        <v>1121</v>
      </c>
    </row>
    <row r="51">
      <c r="A51" s="373">
        <v>23.0</v>
      </c>
      <c r="B51" s="374" t="s">
        <v>303</v>
      </c>
      <c r="C51" s="375" t="s">
        <v>301</v>
      </c>
      <c r="D51" s="376" t="s">
        <v>1084</v>
      </c>
      <c r="E51" s="374" t="s">
        <v>1141</v>
      </c>
      <c r="F51" s="377" t="s">
        <v>301</v>
      </c>
      <c r="G51" s="378" t="s">
        <v>1123</v>
      </c>
      <c r="H51" s="378" t="s">
        <v>1124</v>
      </c>
      <c r="I51" s="378" t="s">
        <v>1142</v>
      </c>
      <c r="J51" s="378" t="s">
        <v>1147</v>
      </c>
      <c r="K51" s="373" t="s">
        <v>1127</v>
      </c>
      <c r="L51" s="379" t="s">
        <v>301</v>
      </c>
      <c r="M51" s="373" t="s">
        <v>301</v>
      </c>
      <c r="N51" s="373" t="s">
        <v>301</v>
      </c>
      <c r="O51" s="373" t="s">
        <v>301</v>
      </c>
      <c r="P51" s="373" t="s">
        <v>301</v>
      </c>
      <c r="Q51" s="380" t="s">
        <v>1121</v>
      </c>
      <c r="R51" s="379" t="s">
        <v>301</v>
      </c>
      <c r="S51" s="373" t="s">
        <v>301</v>
      </c>
      <c r="T51" s="373" t="s">
        <v>301</v>
      </c>
      <c r="U51" s="373" t="s">
        <v>301</v>
      </c>
      <c r="V51" s="373" t="s">
        <v>301</v>
      </c>
      <c r="W51" s="380" t="s">
        <v>1121</v>
      </c>
    </row>
    <row r="52">
      <c r="A52" s="381">
        <v>24.0</v>
      </c>
      <c r="B52" s="382" t="s">
        <v>298</v>
      </c>
      <c r="C52" s="383" t="s">
        <v>301</v>
      </c>
      <c r="D52" s="384" t="s">
        <v>1084</v>
      </c>
      <c r="E52" s="382" t="s">
        <v>1122</v>
      </c>
      <c r="F52" s="385" t="s">
        <v>301</v>
      </c>
      <c r="G52" s="386" t="s">
        <v>1148</v>
      </c>
      <c r="H52" s="386" t="s">
        <v>1149</v>
      </c>
      <c r="I52" s="386" t="s">
        <v>1150</v>
      </c>
      <c r="J52" s="388" t="s">
        <v>1151</v>
      </c>
      <c r="K52" s="381" t="s">
        <v>1152</v>
      </c>
      <c r="L52" s="379" t="s">
        <v>301</v>
      </c>
      <c r="M52" s="381" t="s">
        <v>301</v>
      </c>
      <c r="N52" s="381" t="s">
        <v>301</v>
      </c>
      <c r="O52" s="381" t="s">
        <v>301</v>
      </c>
      <c r="P52" s="381" t="s">
        <v>301</v>
      </c>
      <c r="Q52" s="387" t="s">
        <v>1153</v>
      </c>
      <c r="R52" s="379" t="s">
        <v>301</v>
      </c>
      <c r="S52" s="381" t="s">
        <v>301</v>
      </c>
      <c r="T52" s="381" t="s">
        <v>301</v>
      </c>
      <c r="U52" s="381" t="s">
        <v>301</v>
      </c>
      <c r="V52" s="381" t="s">
        <v>301</v>
      </c>
      <c r="W52" s="387" t="s">
        <v>1153</v>
      </c>
    </row>
    <row r="53">
      <c r="A53" s="373">
        <v>25.0</v>
      </c>
      <c r="B53" s="374" t="s">
        <v>303</v>
      </c>
      <c r="C53" s="375" t="s">
        <v>301</v>
      </c>
      <c r="D53" s="376" t="s">
        <v>1084</v>
      </c>
      <c r="E53" s="374" t="s">
        <v>1154</v>
      </c>
      <c r="F53" s="377" t="s">
        <v>301</v>
      </c>
      <c r="G53" s="378" t="s">
        <v>1148</v>
      </c>
      <c r="H53" s="378" t="s">
        <v>1149</v>
      </c>
      <c r="I53" s="378" t="s">
        <v>1155</v>
      </c>
      <c r="J53" s="378" t="s">
        <v>1156</v>
      </c>
      <c r="K53" s="373" t="s">
        <v>1157</v>
      </c>
      <c r="L53" s="379" t="s">
        <v>301</v>
      </c>
      <c r="M53" s="373" t="s">
        <v>301</v>
      </c>
      <c r="N53" s="373" t="s">
        <v>301</v>
      </c>
      <c r="O53" s="373" t="s">
        <v>301</v>
      </c>
      <c r="P53" s="373" t="s">
        <v>301</v>
      </c>
      <c r="Q53" s="380" t="s">
        <v>1158</v>
      </c>
      <c r="R53" s="379" t="s">
        <v>301</v>
      </c>
      <c r="S53" s="373" t="s">
        <v>301</v>
      </c>
      <c r="T53" s="373" t="s">
        <v>301</v>
      </c>
      <c r="U53" s="373" t="s">
        <v>301</v>
      </c>
      <c r="V53" s="373" t="s">
        <v>301</v>
      </c>
      <c r="W53" s="380" t="s">
        <v>1158</v>
      </c>
    </row>
    <row r="54">
      <c r="A54" s="381">
        <v>26.0</v>
      </c>
      <c r="B54" s="382" t="s">
        <v>303</v>
      </c>
      <c r="C54" s="383" t="s">
        <v>301</v>
      </c>
      <c r="D54" s="384" t="s">
        <v>1084</v>
      </c>
      <c r="E54" s="382" t="s">
        <v>1154</v>
      </c>
      <c r="F54" s="385" t="s">
        <v>301</v>
      </c>
      <c r="G54" s="386" t="s">
        <v>1148</v>
      </c>
      <c r="H54" s="386" t="s">
        <v>1149</v>
      </c>
      <c r="I54" s="386" t="s">
        <v>1155</v>
      </c>
      <c r="J54" s="386" t="s">
        <v>1159</v>
      </c>
      <c r="K54" s="381" t="s">
        <v>1160</v>
      </c>
      <c r="L54" s="379" t="s">
        <v>301</v>
      </c>
      <c r="M54" s="381" t="s">
        <v>301</v>
      </c>
      <c r="N54" s="381" t="s">
        <v>301</v>
      </c>
      <c r="O54" s="381" t="s">
        <v>301</v>
      </c>
      <c r="P54" s="381" t="s">
        <v>301</v>
      </c>
      <c r="Q54" s="387" t="s">
        <v>1161</v>
      </c>
      <c r="R54" s="379" t="s">
        <v>301</v>
      </c>
      <c r="S54" s="381" t="s">
        <v>301</v>
      </c>
      <c r="T54" s="381" t="s">
        <v>301</v>
      </c>
      <c r="U54" s="381" t="s">
        <v>301</v>
      </c>
      <c r="V54" s="381" t="s">
        <v>301</v>
      </c>
      <c r="W54" s="387" t="s">
        <v>1161</v>
      </c>
    </row>
    <row r="55">
      <c r="A55" s="373">
        <v>27.0</v>
      </c>
      <c r="B55" s="374" t="s">
        <v>303</v>
      </c>
      <c r="C55" s="375" t="s">
        <v>301</v>
      </c>
      <c r="D55" s="376" t="s">
        <v>1084</v>
      </c>
      <c r="E55" s="374" t="s">
        <v>1154</v>
      </c>
      <c r="F55" s="377" t="s">
        <v>301</v>
      </c>
      <c r="G55" s="378" t="s">
        <v>1148</v>
      </c>
      <c r="H55" s="378" t="s">
        <v>1149</v>
      </c>
      <c r="I55" s="378" t="s">
        <v>1155</v>
      </c>
      <c r="J55" s="378" t="s">
        <v>1162</v>
      </c>
      <c r="K55" s="373" t="s">
        <v>1095</v>
      </c>
      <c r="L55" s="379" t="s">
        <v>301</v>
      </c>
      <c r="M55" s="373" t="s">
        <v>301</v>
      </c>
      <c r="N55" s="373" t="s">
        <v>301</v>
      </c>
      <c r="O55" s="373" t="s">
        <v>301</v>
      </c>
      <c r="P55" s="373" t="s">
        <v>301</v>
      </c>
      <c r="Q55" s="380" t="s">
        <v>1163</v>
      </c>
      <c r="R55" s="379" t="s">
        <v>301</v>
      </c>
      <c r="S55" s="373" t="s">
        <v>301</v>
      </c>
      <c r="T55" s="373" t="s">
        <v>301</v>
      </c>
      <c r="U55" s="373" t="s">
        <v>301</v>
      </c>
      <c r="V55" s="373" t="s">
        <v>301</v>
      </c>
      <c r="W55" s="380" t="s">
        <v>1163</v>
      </c>
    </row>
    <row r="56">
      <c r="A56" s="381">
        <v>28.0</v>
      </c>
      <c r="B56" s="386" t="s">
        <v>303</v>
      </c>
      <c r="C56" s="383" t="s">
        <v>301</v>
      </c>
      <c r="D56" s="384" t="s">
        <v>1084</v>
      </c>
      <c r="E56" s="386" t="s">
        <v>1154</v>
      </c>
      <c r="F56" s="385" t="s">
        <v>301</v>
      </c>
      <c r="G56" s="386" t="s">
        <v>1148</v>
      </c>
      <c r="H56" s="94"/>
      <c r="I56" s="386" t="s">
        <v>1155</v>
      </c>
      <c r="J56" s="386" t="s">
        <v>1164</v>
      </c>
      <c r="K56" s="381" t="s">
        <v>1165</v>
      </c>
      <c r="L56" s="379" t="s">
        <v>301</v>
      </c>
      <c r="M56" s="381" t="s">
        <v>301</v>
      </c>
      <c r="N56" s="381" t="s">
        <v>271</v>
      </c>
      <c r="O56" s="381" t="s">
        <v>271</v>
      </c>
      <c r="P56" s="381" t="s">
        <v>271</v>
      </c>
      <c r="Q56" s="387" t="s">
        <v>1166</v>
      </c>
      <c r="R56" s="379" t="s">
        <v>301</v>
      </c>
      <c r="S56" s="381" t="s">
        <v>301</v>
      </c>
      <c r="T56" s="381" t="s">
        <v>271</v>
      </c>
      <c r="U56" s="381" t="s">
        <v>271</v>
      </c>
      <c r="V56" s="381" t="s">
        <v>271</v>
      </c>
      <c r="W56" s="387" t="s">
        <v>1166</v>
      </c>
    </row>
    <row r="57">
      <c r="A57" s="373">
        <v>29.0</v>
      </c>
      <c r="B57" s="374" t="s">
        <v>303</v>
      </c>
      <c r="C57" s="375" t="s">
        <v>301</v>
      </c>
      <c r="D57" s="376" t="s">
        <v>1084</v>
      </c>
      <c r="E57" s="374" t="s">
        <v>1154</v>
      </c>
      <c r="F57" s="377" t="s">
        <v>301</v>
      </c>
      <c r="G57" s="378" t="s">
        <v>1148</v>
      </c>
      <c r="H57" s="378" t="s">
        <v>1149</v>
      </c>
      <c r="I57" s="378" t="s">
        <v>1155</v>
      </c>
      <c r="J57" s="378" t="s">
        <v>1167</v>
      </c>
      <c r="K57" s="373" t="s">
        <v>1168</v>
      </c>
      <c r="L57" s="379" t="s">
        <v>301</v>
      </c>
      <c r="M57" s="373" t="s">
        <v>301</v>
      </c>
      <c r="N57" s="373" t="s">
        <v>301</v>
      </c>
      <c r="O57" s="373" t="s">
        <v>301</v>
      </c>
      <c r="P57" s="373" t="s">
        <v>301</v>
      </c>
      <c r="Q57" s="380" t="s">
        <v>1169</v>
      </c>
      <c r="R57" s="379" t="s">
        <v>301</v>
      </c>
      <c r="S57" s="373" t="s">
        <v>301</v>
      </c>
      <c r="T57" s="373" t="s">
        <v>301</v>
      </c>
      <c r="U57" s="373" t="s">
        <v>301</v>
      </c>
      <c r="V57" s="373" t="s">
        <v>301</v>
      </c>
      <c r="W57" s="380" t="s">
        <v>1169</v>
      </c>
    </row>
    <row r="58">
      <c r="A58" s="381">
        <v>30.0</v>
      </c>
      <c r="B58" s="382" t="s">
        <v>303</v>
      </c>
      <c r="C58" s="383" t="s">
        <v>301</v>
      </c>
      <c r="D58" s="384" t="s">
        <v>1084</v>
      </c>
      <c r="E58" s="382" t="s">
        <v>1154</v>
      </c>
      <c r="F58" s="385" t="s">
        <v>301</v>
      </c>
      <c r="G58" s="386" t="s">
        <v>1148</v>
      </c>
      <c r="H58" s="386" t="s">
        <v>1149</v>
      </c>
      <c r="I58" s="386" t="s">
        <v>1155</v>
      </c>
      <c r="J58" s="386" t="s">
        <v>1170</v>
      </c>
      <c r="K58" s="381" t="s">
        <v>1171</v>
      </c>
      <c r="L58" s="379" t="s">
        <v>301</v>
      </c>
      <c r="M58" s="381" t="s">
        <v>301</v>
      </c>
      <c r="N58" s="381" t="s">
        <v>301</v>
      </c>
      <c r="O58" s="381" t="s">
        <v>301</v>
      </c>
      <c r="P58" s="381" t="s">
        <v>301</v>
      </c>
      <c r="Q58" s="387" t="s">
        <v>1172</v>
      </c>
      <c r="R58" s="379" t="s">
        <v>301</v>
      </c>
      <c r="S58" s="381" t="s">
        <v>301</v>
      </c>
      <c r="T58" s="381" t="s">
        <v>301</v>
      </c>
      <c r="U58" s="381" t="s">
        <v>301</v>
      </c>
      <c r="V58" s="381" t="s">
        <v>301</v>
      </c>
      <c r="W58" s="387" t="s">
        <v>1172</v>
      </c>
    </row>
    <row r="59">
      <c r="A59" s="373">
        <v>31.0</v>
      </c>
      <c r="B59" s="374" t="s">
        <v>303</v>
      </c>
      <c r="C59" s="375" t="s">
        <v>301</v>
      </c>
      <c r="D59" s="389" t="s">
        <v>1084</v>
      </c>
      <c r="E59" s="374" t="s">
        <v>1141</v>
      </c>
      <c r="F59" s="377" t="s">
        <v>301</v>
      </c>
      <c r="G59" s="378" t="s">
        <v>1148</v>
      </c>
      <c r="H59" s="378" t="s">
        <v>1149</v>
      </c>
      <c r="I59" s="378" t="s">
        <v>1173</v>
      </c>
      <c r="J59" s="378" t="s">
        <v>1174</v>
      </c>
      <c r="K59" s="373" t="s">
        <v>1175</v>
      </c>
      <c r="L59" s="379" t="s">
        <v>301</v>
      </c>
      <c r="M59" s="373" t="s">
        <v>301</v>
      </c>
      <c r="N59" s="373" t="s">
        <v>271</v>
      </c>
      <c r="O59" s="373" t="s">
        <v>271</v>
      </c>
      <c r="P59" s="373" t="s">
        <v>271</v>
      </c>
      <c r="Q59" s="380" t="s">
        <v>1176</v>
      </c>
      <c r="R59" s="379" t="s">
        <v>301</v>
      </c>
      <c r="S59" s="373" t="s">
        <v>301</v>
      </c>
      <c r="T59" s="373" t="s">
        <v>271</v>
      </c>
      <c r="U59" s="373" t="s">
        <v>271</v>
      </c>
      <c r="V59" s="373" t="s">
        <v>271</v>
      </c>
      <c r="W59" s="380" t="s">
        <v>1176</v>
      </c>
    </row>
    <row r="60">
      <c r="A60" s="381">
        <v>32.0</v>
      </c>
      <c r="B60" s="382" t="s">
        <v>303</v>
      </c>
      <c r="C60" s="383" t="s">
        <v>301</v>
      </c>
      <c r="D60" s="384" t="s">
        <v>1084</v>
      </c>
      <c r="E60" s="382" t="s">
        <v>1141</v>
      </c>
      <c r="F60" s="385" t="s">
        <v>301</v>
      </c>
      <c r="G60" s="386" t="s">
        <v>1148</v>
      </c>
      <c r="H60" s="386" t="s">
        <v>1149</v>
      </c>
      <c r="I60" s="386" t="s">
        <v>1173</v>
      </c>
      <c r="J60" s="388" t="s">
        <v>1177</v>
      </c>
      <c r="K60" s="381" t="s">
        <v>1178</v>
      </c>
      <c r="L60" s="379" t="s">
        <v>301</v>
      </c>
      <c r="M60" s="381" t="s">
        <v>301</v>
      </c>
      <c r="N60" s="381" t="s">
        <v>271</v>
      </c>
      <c r="O60" s="381" t="s">
        <v>271</v>
      </c>
      <c r="P60" s="381" t="s">
        <v>271</v>
      </c>
      <c r="Q60" s="387" t="s">
        <v>1176</v>
      </c>
      <c r="R60" s="379" t="s">
        <v>301</v>
      </c>
      <c r="S60" s="381" t="s">
        <v>301</v>
      </c>
      <c r="T60" s="381" t="s">
        <v>271</v>
      </c>
      <c r="U60" s="381" t="s">
        <v>271</v>
      </c>
      <c r="V60" s="381" t="s">
        <v>271</v>
      </c>
      <c r="W60" s="387" t="s">
        <v>1176</v>
      </c>
    </row>
    <row r="61">
      <c r="A61" s="373">
        <v>33.0</v>
      </c>
      <c r="B61" s="374" t="s">
        <v>303</v>
      </c>
      <c r="C61" s="375" t="s">
        <v>301</v>
      </c>
      <c r="D61" s="376" t="s">
        <v>1084</v>
      </c>
      <c r="E61" s="374" t="s">
        <v>1141</v>
      </c>
      <c r="F61" s="377" t="s">
        <v>301</v>
      </c>
      <c r="G61" s="378" t="s">
        <v>1148</v>
      </c>
      <c r="H61" s="378" t="s">
        <v>1149</v>
      </c>
      <c r="I61" s="378" t="s">
        <v>1173</v>
      </c>
      <c r="J61" s="378" t="s">
        <v>1179</v>
      </c>
      <c r="K61" s="373" t="s">
        <v>1180</v>
      </c>
      <c r="L61" s="379" t="s">
        <v>301</v>
      </c>
      <c r="M61" s="373" t="s">
        <v>301</v>
      </c>
      <c r="N61" s="373" t="s">
        <v>301</v>
      </c>
      <c r="O61" s="373" t="s">
        <v>301</v>
      </c>
      <c r="P61" s="373" t="s">
        <v>301</v>
      </c>
      <c r="Q61" s="380" t="s">
        <v>1181</v>
      </c>
      <c r="R61" s="379" t="s">
        <v>301</v>
      </c>
      <c r="S61" s="373" t="s">
        <v>301</v>
      </c>
      <c r="T61" s="373" t="s">
        <v>301</v>
      </c>
      <c r="U61" s="373" t="s">
        <v>301</v>
      </c>
      <c r="V61" s="373" t="s">
        <v>301</v>
      </c>
      <c r="W61" s="380" t="s">
        <v>1181</v>
      </c>
    </row>
    <row r="62">
      <c r="A62" s="381">
        <v>34.0</v>
      </c>
      <c r="B62" s="382" t="s">
        <v>298</v>
      </c>
      <c r="C62" s="383" t="s">
        <v>301</v>
      </c>
      <c r="D62" s="384" t="s">
        <v>1084</v>
      </c>
      <c r="E62" s="386" t="s">
        <v>494</v>
      </c>
      <c r="F62" s="385" t="s">
        <v>301</v>
      </c>
      <c r="G62" s="386" t="s">
        <v>1182</v>
      </c>
      <c r="H62" s="386" t="s">
        <v>1183</v>
      </c>
      <c r="I62" s="386" t="s">
        <v>1184</v>
      </c>
      <c r="J62" s="386" t="s">
        <v>1185</v>
      </c>
      <c r="K62" s="381" t="s">
        <v>1186</v>
      </c>
      <c r="L62" s="379" t="s">
        <v>301</v>
      </c>
      <c r="M62" s="381" t="s">
        <v>301</v>
      </c>
      <c r="N62" s="381" t="s">
        <v>301</v>
      </c>
      <c r="O62" s="381" t="s">
        <v>301</v>
      </c>
      <c r="P62" s="381" t="s">
        <v>301</v>
      </c>
      <c r="Q62" s="387" t="s">
        <v>1187</v>
      </c>
      <c r="R62" s="379" t="s">
        <v>301</v>
      </c>
      <c r="S62" s="381" t="s">
        <v>301</v>
      </c>
      <c r="T62" s="381" t="s">
        <v>301</v>
      </c>
      <c r="U62" s="381" t="s">
        <v>301</v>
      </c>
      <c r="V62" s="381" t="s">
        <v>301</v>
      </c>
      <c r="W62" s="387" t="s">
        <v>1187</v>
      </c>
    </row>
    <row r="63">
      <c r="A63" s="373">
        <v>35.0</v>
      </c>
      <c r="B63" s="374" t="s">
        <v>298</v>
      </c>
      <c r="C63" s="375" t="s">
        <v>301</v>
      </c>
      <c r="D63" s="376" t="s">
        <v>1084</v>
      </c>
      <c r="E63" s="378" t="s">
        <v>494</v>
      </c>
      <c r="F63" s="377" t="s">
        <v>301</v>
      </c>
      <c r="G63" s="378" t="s">
        <v>1182</v>
      </c>
      <c r="H63" s="378" t="s">
        <v>1183</v>
      </c>
      <c r="I63" s="378" t="s">
        <v>1188</v>
      </c>
      <c r="J63" s="378" t="s">
        <v>1189</v>
      </c>
      <c r="K63" s="373" t="s">
        <v>1190</v>
      </c>
      <c r="L63" s="379" t="s">
        <v>301</v>
      </c>
      <c r="M63" s="373" t="s">
        <v>301</v>
      </c>
      <c r="N63" s="373" t="s">
        <v>301</v>
      </c>
      <c r="O63" s="373" t="s">
        <v>301</v>
      </c>
      <c r="P63" s="373" t="s">
        <v>301</v>
      </c>
      <c r="Q63" s="380" t="s">
        <v>1191</v>
      </c>
      <c r="R63" s="379" t="s">
        <v>301</v>
      </c>
      <c r="S63" s="373" t="s">
        <v>301</v>
      </c>
      <c r="T63" s="373" t="s">
        <v>301</v>
      </c>
      <c r="U63" s="373" t="s">
        <v>301</v>
      </c>
      <c r="V63" s="373" t="s">
        <v>301</v>
      </c>
      <c r="W63" s="380" t="s">
        <v>1191</v>
      </c>
    </row>
    <row r="64">
      <c r="A64" s="381">
        <v>36.0</v>
      </c>
      <c r="B64" s="382" t="s">
        <v>323</v>
      </c>
      <c r="C64" s="383" t="s">
        <v>301</v>
      </c>
      <c r="D64" s="384" t="s">
        <v>1084</v>
      </c>
      <c r="E64" s="386" t="s">
        <v>1085</v>
      </c>
      <c r="F64" s="385" t="s">
        <v>301</v>
      </c>
      <c r="G64" s="386" t="s">
        <v>1192</v>
      </c>
      <c r="H64" s="386" t="s">
        <v>1087</v>
      </c>
      <c r="I64" s="386" t="s">
        <v>1193</v>
      </c>
      <c r="J64" s="386" t="s">
        <v>1194</v>
      </c>
      <c r="K64" s="381" t="s">
        <v>1195</v>
      </c>
      <c r="L64" s="379" t="s">
        <v>301</v>
      </c>
      <c r="M64" s="381" t="s">
        <v>301</v>
      </c>
      <c r="N64" s="381" t="s">
        <v>301</v>
      </c>
      <c r="O64" s="381" t="s">
        <v>301</v>
      </c>
      <c r="P64" s="381" t="s">
        <v>301</v>
      </c>
      <c r="Q64" s="387" t="s">
        <v>1121</v>
      </c>
      <c r="R64" s="379" t="s">
        <v>301</v>
      </c>
      <c r="S64" s="381" t="s">
        <v>301</v>
      </c>
      <c r="T64" s="381" t="s">
        <v>301</v>
      </c>
      <c r="U64" s="381" t="s">
        <v>301</v>
      </c>
      <c r="V64" s="381" t="s">
        <v>301</v>
      </c>
      <c r="W64" s="387" t="s">
        <v>1121</v>
      </c>
    </row>
    <row r="65">
      <c r="A65" s="373">
        <v>37.0</v>
      </c>
      <c r="B65" s="374" t="s">
        <v>323</v>
      </c>
      <c r="C65" s="375" t="s">
        <v>301</v>
      </c>
      <c r="D65" s="376" t="s">
        <v>1084</v>
      </c>
      <c r="E65" s="378" t="s">
        <v>1085</v>
      </c>
      <c r="F65" s="377" t="s">
        <v>301</v>
      </c>
      <c r="G65" s="378" t="s">
        <v>1192</v>
      </c>
      <c r="H65" s="378" t="s">
        <v>1087</v>
      </c>
      <c r="I65" s="378" t="s">
        <v>1193</v>
      </c>
      <c r="J65" s="378" t="s">
        <v>1196</v>
      </c>
      <c r="K65" s="373" t="s">
        <v>1197</v>
      </c>
      <c r="L65" s="379" t="s">
        <v>301</v>
      </c>
      <c r="M65" s="373" t="s">
        <v>301</v>
      </c>
      <c r="N65" s="373" t="s">
        <v>301</v>
      </c>
      <c r="O65" s="373" t="s">
        <v>301</v>
      </c>
      <c r="P65" s="373" t="s">
        <v>301</v>
      </c>
      <c r="Q65" s="380" t="s">
        <v>1121</v>
      </c>
      <c r="R65" s="379" t="s">
        <v>301</v>
      </c>
      <c r="S65" s="373" t="s">
        <v>301</v>
      </c>
      <c r="T65" s="373" t="s">
        <v>301</v>
      </c>
      <c r="U65" s="373" t="s">
        <v>301</v>
      </c>
      <c r="V65" s="373" t="s">
        <v>301</v>
      </c>
      <c r="W65" s="380" t="s">
        <v>1121</v>
      </c>
    </row>
    <row r="66">
      <c r="A66" s="381">
        <v>38.0</v>
      </c>
      <c r="B66" s="382" t="s">
        <v>323</v>
      </c>
      <c r="C66" s="383" t="s">
        <v>301</v>
      </c>
      <c r="D66" s="384" t="s">
        <v>1084</v>
      </c>
      <c r="E66" s="386" t="s">
        <v>1085</v>
      </c>
      <c r="F66" s="385" t="s">
        <v>301</v>
      </c>
      <c r="G66" s="386" t="s">
        <v>1192</v>
      </c>
      <c r="H66" s="386" t="s">
        <v>1087</v>
      </c>
      <c r="I66" s="386" t="s">
        <v>1193</v>
      </c>
      <c r="J66" s="386" t="s">
        <v>1198</v>
      </c>
      <c r="K66" s="381" t="s">
        <v>1199</v>
      </c>
      <c r="L66" s="379" t="s">
        <v>301</v>
      </c>
      <c r="M66" s="381" t="s">
        <v>301</v>
      </c>
      <c r="N66" s="381" t="s">
        <v>301</v>
      </c>
      <c r="O66" s="381" t="s">
        <v>301</v>
      </c>
      <c r="P66" s="381" t="s">
        <v>301</v>
      </c>
      <c r="Q66" s="387" t="s">
        <v>1200</v>
      </c>
      <c r="R66" s="379" t="s">
        <v>301</v>
      </c>
      <c r="S66" s="381" t="s">
        <v>301</v>
      </c>
      <c r="T66" s="381" t="s">
        <v>301</v>
      </c>
      <c r="U66" s="381" t="s">
        <v>301</v>
      </c>
      <c r="V66" s="381" t="s">
        <v>301</v>
      </c>
      <c r="W66" s="387" t="s">
        <v>1200</v>
      </c>
    </row>
    <row r="67">
      <c r="A67" s="373">
        <v>39.0</v>
      </c>
      <c r="B67" s="374" t="s">
        <v>323</v>
      </c>
      <c r="C67" s="375" t="s">
        <v>301</v>
      </c>
      <c r="D67" s="376" t="s">
        <v>1084</v>
      </c>
      <c r="E67" s="378" t="s">
        <v>1085</v>
      </c>
      <c r="F67" s="377" t="s">
        <v>301</v>
      </c>
      <c r="G67" s="378" t="s">
        <v>1192</v>
      </c>
      <c r="H67" s="378" t="s">
        <v>1087</v>
      </c>
      <c r="I67" s="378" t="s">
        <v>1193</v>
      </c>
      <c r="J67" s="378" t="s">
        <v>1201</v>
      </c>
      <c r="K67" s="373" t="s">
        <v>1202</v>
      </c>
      <c r="L67" s="379" t="s">
        <v>301</v>
      </c>
      <c r="M67" s="373" t="s">
        <v>301</v>
      </c>
      <c r="N67" s="373" t="s">
        <v>301</v>
      </c>
      <c r="O67" s="373" t="s">
        <v>301</v>
      </c>
      <c r="P67" s="373" t="s">
        <v>301</v>
      </c>
      <c r="Q67" s="380" t="s">
        <v>1203</v>
      </c>
      <c r="R67" s="379" t="s">
        <v>301</v>
      </c>
      <c r="S67" s="373" t="s">
        <v>301</v>
      </c>
      <c r="T67" s="373" t="s">
        <v>301</v>
      </c>
      <c r="U67" s="373" t="s">
        <v>301</v>
      </c>
      <c r="V67" s="373" t="s">
        <v>301</v>
      </c>
      <c r="W67" s="380" t="s">
        <v>1203</v>
      </c>
    </row>
    <row r="68">
      <c r="A68" s="381">
        <v>40.0</v>
      </c>
      <c r="B68" s="382" t="s">
        <v>298</v>
      </c>
      <c r="C68" s="383" t="s">
        <v>301</v>
      </c>
      <c r="D68" s="384" t="s">
        <v>1084</v>
      </c>
      <c r="E68" s="386" t="s">
        <v>406</v>
      </c>
      <c r="F68" s="385" t="s">
        <v>271</v>
      </c>
      <c r="G68" s="386" t="s">
        <v>1204</v>
      </c>
      <c r="H68" s="386" t="s">
        <v>1205</v>
      </c>
      <c r="I68" s="386" t="s">
        <v>1206</v>
      </c>
      <c r="J68" s="386" t="s">
        <v>1207</v>
      </c>
      <c r="K68" s="381" t="s">
        <v>1157</v>
      </c>
      <c r="L68" s="379" t="s">
        <v>301</v>
      </c>
      <c r="M68" s="381" t="s">
        <v>301</v>
      </c>
      <c r="N68" s="381" t="s">
        <v>301</v>
      </c>
      <c r="O68" s="381" t="s">
        <v>301</v>
      </c>
      <c r="P68" s="381" t="s">
        <v>301</v>
      </c>
      <c r="Q68" s="387" t="s">
        <v>1208</v>
      </c>
      <c r="R68" s="379" t="s">
        <v>301</v>
      </c>
      <c r="S68" s="381" t="s">
        <v>301</v>
      </c>
      <c r="T68" s="381" t="s">
        <v>301</v>
      </c>
      <c r="U68" s="381" t="s">
        <v>301</v>
      </c>
      <c r="V68" s="381" t="s">
        <v>301</v>
      </c>
      <c r="W68" s="387" t="s">
        <v>1208</v>
      </c>
    </row>
    <row r="69">
      <c r="A69" s="373">
        <v>41.0</v>
      </c>
      <c r="B69" s="378" t="s">
        <v>298</v>
      </c>
      <c r="C69" s="373" t="s">
        <v>301</v>
      </c>
      <c r="D69" s="389" t="s">
        <v>1084</v>
      </c>
      <c r="E69" s="378" t="s">
        <v>406</v>
      </c>
      <c r="F69" s="390" t="s">
        <v>271</v>
      </c>
      <c r="G69" s="378" t="s">
        <v>1204</v>
      </c>
      <c r="H69" s="378" t="s">
        <v>1205</v>
      </c>
      <c r="I69" s="378" t="s">
        <v>1206</v>
      </c>
      <c r="J69" s="378" t="s">
        <v>1209</v>
      </c>
      <c r="K69" s="373" t="s">
        <v>1178</v>
      </c>
      <c r="L69" s="379" t="s">
        <v>301</v>
      </c>
      <c r="M69" s="373" t="s">
        <v>301</v>
      </c>
      <c r="N69" s="373" t="s">
        <v>301</v>
      </c>
      <c r="O69" s="373" t="s">
        <v>301</v>
      </c>
      <c r="P69" s="373" t="s">
        <v>301</v>
      </c>
      <c r="Q69" s="380" t="s">
        <v>1210</v>
      </c>
      <c r="R69" s="379" t="s">
        <v>301</v>
      </c>
      <c r="S69" s="379" t="s">
        <v>301</v>
      </c>
      <c r="T69" s="379" t="s">
        <v>301</v>
      </c>
      <c r="U69" s="379" t="s">
        <v>301</v>
      </c>
      <c r="V69" s="379" t="s">
        <v>301</v>
      </c>
      <c r="W69" s="380" t="s">
        <v>1210</v>
      </c>
      <c r="X69" s="347"/>
      <c r="Y69" s="347"/>
      <c r="Z69" s="347"/>
      <c r="AA69" s="347"/>
      <c r="AB69" s="347"/>
    </row>
    <row r="70">
      <c r="A70" s="381">
        <v>42.0</v>
      </c>
      <c r="B70" s="382" t="s">
        <v>298</v>
      </c>
      <c r="C70" s="383" t="s">
        <v>301</v>
      </c>
      <c r="D70" s="384" t="s">
        <v>1084</v>
      </c>
      <c r="E70" s="386" t="s">
        <v>406</v>
      </c>
      <c r="F70" s="385" t="s">
        <v>271</v>
      </c>
      <c r="G70" s="386" t="s">
        <v>1204</v>
      </c>
      <c r="H70" s="386" t="s">
        <v>1205</v>
      </c>
      <c r="I70" s="386" t="s">
        <v>1206</v>
      </c>
      <c r="J70" s="386" t="s">
        <v>1211</v>
      </c>
      <c r="K70" s="381" t="s">
        <v>1212</v>
      </c>
      <c r="L70" s="379" t="s">
        <v>301</v>
      </c>
      <c r="M70" s="381" t="s">
        <v>301</v>
      </c>
      <c r="N70" s="381" t="s">
        <v>301</v>
      </c>
      <c r="O70" s="381" t="s">
        <v>301</v>
      </c>
      <c r="P70" s="381" t="s">
        <v>301</v>
      </c>
      <c r="Q70" s="387" t="s">
        <v>1213</v>
      </c>
      <c r="R70" s="379" t="s">
        <v>301</v>
      </c>
      <c r="S70" s="381" t="s">
        <v>301</v>
      </c>
      <c r="T70" s="381" t="s">
        <v>301</v>
      </c>
      <c r="U70" s="381" t="s">
        <v>301</v>
      </c>
      <c r="V70" s="381" t="s">
        <v>301</v>
      </c>
      <c r="W70" s="387" t="s">
        <v>1213</v>
      </c>
    </row>
    <row r="71">
      <c r="A71" s="373">
        <v>43.0</v>
      </c>
      <c r="B71" s="374" t="s">
        <v>298</v>
      </c>
      <c r="C71" s="375" t="s">
        <v>301</v>
      </c>
      <c r="D71" s="376" t="s">
        <v>1084</v>
      </c>
      <c r="E71" s="378" t="s">
        <v>406</v>
      </c>
      <c r="F71" s="377" t="s">
        <v>271</v>
      </c>
      <c r="G71" s="378" t="s">
        <v>1204</v>
      </c>
      <c r="H71" s="378" t="s">
        <v>1205</v>
      </c>
      <c r="I71" s="378" t="s">
        <v>1206</v>
      </c>
      <c r="J71" s="378" t="s">
        <v>1214</v>
      </c>
      <c r="K71" s="373" t="s">
        <v>1095</v>
      </c>
      <c r="L71" s="379" t="s">
        <v>301</v>
      </c>
      <c r="M71" s="373" t="s">
        <v>301</v>
      </c>
      <c r="N71" s="373" t="s">
        <v>301</v>
      </c>
      <c r="O71" s="373" t="s">
        <v>301</v>
      </c>
      <c r="P71" s="373" t="s">
        <v>301</v>
      </c>
      <c r="Q71" s="380" t="s">
        <v>1215</v>
      </c>
      <c r="R71" s="379" t="s">
        <v>301</v>
      </c>
      <c r="S71" s="373" t="s">
        <v>301</v>
      </c>
      <c r="T71" s="373" t="s">
        <v>301</v>
      </c>
      <c r="U71" s="373" t="s">
        <v>301</v>
      </c>
      <c r="V71" s="373" t="s">
        <v>301</v>
      </c>
      <c r="W71" s="380" t="s">
        <v>1215</v>
      </c>
    </row>
    <row r="72">
      <c r="A72" s="381">
        <v>44.0</v>
      </c>
      <c r="B72" s="382" t="s">
        <v>298</v>
      </c>
      <c r="C72" s="383" t="s">
        <v>301</v>
      </c>
      <c r="D72" s="384" t="s">
        <v>1084</v>
      </c>
      <c r="E72" s="386" t="s">
        <v>406</v>
      </c>
      <c r="F72" s="385" t="s">
        <v>271</v>
      </c>
      <c r="G72" s="386" t="s">
        <v>1204</v>
      </c>
      <c r="H72" s="386" t="s">
        <v>1205</v>
      </c>
      <c r="I72" s="386" t="s">
        <v>1206</v>
      </c>
      <c r="J72" s="386" t="s">
        <v>1216</v>
      </c>
      <c r="K72" s="381" t="s">
        <v>1217</v>
      </c>
      <c r="L72" s="379" t="s">
        <v>301</v>
      </c>
      <c r="M72" s="381" t="s">
        <v>301</v>
      </c>
      <c r="N72" s="381" t="s">
        <v>301</v>
      </c>
      <c r="O72" s="381" t="s">
        <v>301</v>
      </c>
      <c r="P72" s="381" t="s">
        <v>301</v>
      </c>
      <c r="Q72" s="387" t="s">
        <v>1218</v>
      </c>
      <c r="R72" s="379" t="s">
        <v>301</v>
      </c>
      <c r="S72" s="381" t="s">
        <v>301</v>
      </c>
      <c r="T72" s="381" t="s">
        <v>301</v>
      </c>
      <c r="U72" s="381" t="s">
        <v>301</v>
      </c>
      <c r="V72" s="381" t="s">
        <v>301</v>
      </c>
      <c r="W72" s="387" t="s">
        <v>1218</v>
      </c>
    </row>
    <row r="73">
      <c r="A73" s="373">
        <v>45.0</v>
      </c>
      <c r="B73" s="374" t="s">
        <v>298</v>
      </c>
      <c r="C73" s="375" t="s">
        <v>301</v>
      </c>
      <c r="D73" s="376" t="s">
        <v>1084</v>
      </c>
      <c r="E73" s="378" t="s">
        <v>406</v>
      </c>
      <c r="F73" s="377" t="s">
        <v>271</v>
      </c>
      <c r="G73" s="378" t="s">
        <v>1204</v>
      </c>
      <c r="H73" s="378" t="s">
        <v>1205</v>
      </c>
      <c r="I73" s="378" t="s">
        <v>1206</v>
      </c>
      <c r="J73" s="378" t="s">
        <v>1219</v>
      </c>
      <c r="K73" s="373" t="s">
        <v>1095</v>
      </c>
      <c r="L73" s="379" t="s">
        <v>301</v>
      </c>
      <c r="M73" s="373" t="s">
        <v>301</v>
      </c>
      <c r="N73" s="373" t="s">
        <v>301</v>
      </c>
      <c r="O73" s="373" t="s">
        <v>301</v>
      </c>
      <c r="P73" s="373" t="s">
        <v>301</v>
      </c>
      <c r="Q73" s="380" t="s">
        <v>1220</v>
      </c>
      <c r="R73" s="379" t="s">
        <v>301</v>
      </c>
      <c r="S73" s="373" t="s">
        <v>301</v>
      </c>
      <c r="T73" s="373" t="s">
        <v>301</v>
      </c>
      <c r="U73" s="373" t="s">
        <v>301</v>
      </c>
      <c r="V73" s="373" t="s">
        <v>301</v>
      </c>
      <c r="W73" s="380" t="s">
        <v>1220</v>
      </c>
    </row>
    <row r="74">
      <c r="A74" s="343" t="s">
        <v>1221</v>
      </c>
      <c r="B74" s="344"/>
      <c r="C74" s="344"/>
      <c r="D74" s="344"/>
      <c r="E74" s="344"/>
      <c r="F74" s="344"/>
      <c r="G74" s="344"/>
      <c r="H74" s="344"/>
      <c r="I74" s="344"/>
      <c r="J74" s="344"/>
      <c r="K74" s="344"/>
      <c r="L74" s="344"/>
      <c r="M74" s="344"/>
      <c r="N74" s="344"/>
      <c r="O74" s="344"/>
      <c r="P74" s="344"/>
      <c r="Q74" s="344"/>
      <c r="R74" s="344"/>
      <c r="S74" s="344"/>
      <c r="T74" s="344"/>
      <c r="U74" s="344"/>
      <c r="V74" s="345"/>
      <c r="W74" s="391"/>
      <c r="X74" s="372"/>
      <c r="Y74" s="372"/>
      <c r="Z74" s="372"/>
      <c r="AA74" s="372"/>
      <c r="AB74" s="372"/>
    </row>
    <row r="75">
      <c r="A75" s="373">
        <v>1.0</v>
      </c>
      <c r="B75" s="374" t="s">
        <v>331</v>
      </c>
      <c r="C75" s="375" t="s">
        <v>301</v>
      </c>
      <c r="D75" s="376" t="s">
        <v>1058</v>
      </c>
      <c r="E75" s="378" t="s">
        <v>1059</v>
      </c>
      <c r="F75" s="375" t="s">
        <v>271</v>
      </c>
      <c r="G75" s="378" t="s">
        <v>1222</v>
      </c>
      <c r="H75" s="378" t="s">
        <v>1223</v>
      </c>
      <c r="I75" s="378" t="s">
        <v>1224</v>
      </c>
      <c r="J75" s="378" t="s">
        <v>1225</v>
      </c>
      <c r="K75" s="373" t="s">
        <v>1226</v>
      </c>
      <c r="L75" s="379" t="s">
        <v>301</v>
      </c>
      <c r="M75" s="373" t="s">
        <v>301</v>
      </c>
      <c r="N75" s="373" t="s">
        <v>301</v>
      </c>
      <c r="O75" s="373" t="s">
        <v>301</v>
      </c>
      <c r="P75" s="373" t="s">
        <v>301</v>
      </c>
      <c r="Q75" s="380" t="s">
        <v>124</v>
      </c>
      <c r="R75" s="379" t="s">
        <v>301</v>
      </c>
      <c r="S75" s="373" t="s">
        <v>301</v>
      </c>
      <c r="T75" s="373" t="s">
        <v>301</v>
      </c>
      <c r="U75" s="373" t="s">
        <v>301</v>
      </c>
      <c r="V75" s="373" t="s">
        <v>301</v>
      </c>
      <c r="W75" s="392" t="s">
        <v>124</v>
      </c>
    </row>
    <row r="76">
      <c r="A76" s="381">
        <v>2.0</v>
      </c>
      <c r="B76" s="382" t="s">
        <v>307</v>
      </c>
      <c r="C76" s="383" t="s">
        <v>301</v>
      </c>
      <c r="D76" s="384" t="s">
        <v>1058</v>
      </c>
      <c r="E76" s="386" t="s">
        <v>1059</v>
      </c>
      <c r="F76" s="383" t="s">
        <v>271</v>
      </c>
      <c r="G76" s="386" t="s">
        <v>1222</v>
      </c>
      <c r="H76" s="386" t="s">
        <v>1223</v>
      </c>
      <c r="I76" s="386" t="s">
        <v>1224</v>
      </c>
      <c r="J76" s="386" t="s">
        <v>1227</v>
      </c>
      <c r="K76" s="381" t="s">
        <v>1228</v>
      </c>
      <c r="L76" s="379" t="s">
        <v>301</v>
      </c>
      <c r="M76" s="381" t="s">
        <v>301</v>
      </c>
      <c r="N76" s="381" t="s">
        <v>301</v>
      </c>
      <c r="O76" s="381" t="s">
        <v>301</v>
      </c>
      <c r="P76" s="381" t="s">
        <v>301</v>
      </c>
      <c r="Q76" s="387" t="s">
        <v>124</v>
      </c>
      <c r="R76" s="379" t="s">
        <v>301</v>
      </c>
      <c r="S76" s="381" t="s">
        <v>301</v>
      </c>
      <c r="T76" s="381" t="s">
        <v>301</v>
      </c>
      <c r="U76" s="381" t="s">
        <v>301</v>
      </c>
      <c r="V76" s="381" t="s">
        <v>301</v>
      </c>
      <c r="W76" s="388" t="s">
        <v>124</v>
      </c>
    </row>
    <row r="77">
      <c r="A77" s="373">
        <v>3.0</v>
      </c>
      <c r="B77" s="374" t="s">
        <v>307</v>
      </c>
      <c r="C77" s="375" t="s">
        <v>301</v>
      </c>
      <c r="D77" s="376" t="s">
        <v>1229</v>
      </c>
      <c r="E77" s="378" t="s">
        <v>1059</v>
      </c>
      <c r="F77" s="375" t="s">
        <v>271</v>
      </c>
      <c r="G77" s="378" t="s">
        <v>1222</v>
      </c>
      <c r="H77" s="378" t="s">
        <v>1223</v>
      </c>
      <c r="I77" s="378" t="s">
        <v>1224</v>
      </c>
      <c r="J77" s="378" t="s">
        <v>1230</v>
      </c>
      <c r="K77" s="373" t="s">
        <v>1231</v>
      </c>
      <c r="L77" s="379" t="s">
        <v>301</v>
      </c>
      <c r="M77" s="373" t="s">
        <v>301</v>
      </c>
      <c r="N77" s="373" t="s">
        <v>301</v>
      </c>
      <c r="O77" s="373" t="s">
        <v>301</v>
      </c>
      <c r="P77" s="373" t="s">
        <v>301</v>
      </c>
      <c r="Q77" s="380" t="s">
        <v>124</v>
      </c>
      <c r="R77" s="379" t="s">
        <v>301</v>
      </c>
      <c r="S77" s="373" t="s">
        <v>301</v>
      </c>
      <c r="T77" s="373" t="s">
        <v>301</v>
      </c>
      <c r="U77" s="373" t="s">
        <v>301</v>
      </c>
      <c r="V77" s="373" t="s">
        <v>301</v>
      </c>
      <c r="W77" s="392" t="s">
        <v>124</v>
      </c>
    </row>
    <row r="78">
      <c r="A78" s="381">
        <v>4.0</v>
      </c>
      <c r="B78" s="382" t="s">
        <v>307</v>
      </c>
      <c r="C78" s="383" t="s">
        <v>301</v>
      </c>
      <c r="D78" s="384" t="s">
        <v>1058</v>
      </c>
      <c r="E78" s="386" t="s">
        <v>1059</v>
      </c>
      <c r="F78" s="383" t="s">
        <v>271</v>
      </c>
      <c r="G78" s="386" t="s">
        <v>1222</v>
      </c>
      <c r="H78" s="386" t="s">
        <v>1223</v>
      </c>
      <c r="I78" s="386" t="s">
        <v>1224</v>
      </c>
      <c r="J78" s="386" t="s">
        <v>1232</v>
      </c>
      <c r="K78" s="381" t="s">
        <v>1233</v>
      </c>
      <c r="L78" s="379" t="s">
        <v>301</v>
      </c>
      <c r="M78" s="381" t="s">
        <v>301</v>
      </c>
      <c r="N78" s="381" t="s">
        <v>301</v>
      </c>
      <c r="O78" s="381" t="s">
        <v>301</v>
      </c>
      <c r="P78" s="381" t="s">
        <v>301</v>
      </c>
      <c r="Q78" s="387" t="s">
        <v>124</v>
      </c>
      <c r="R78" s="379" t="s">
        <v>301</v>
      </c>
      <c r="S78" s="381" t="s">
        <v>301</v>
      </c>
      <c r="T78" s="381" t="s">
        <v>301</v>
      </c>
      <c r="U78" s="381" t="s">
        <v>301</v>
      </c>
      <c r="V78" s="381" t="s">
        <v>301</v>
      </c>
      <c r="W78" s="388" t="s">
        <v>124</v>
      </c>
    </row>
    <row r="79">
      <c r="A79" s="373">
        <v>5.0</v>
      </c>
      <c r="B79" s="374" t="s">
        <v>307</v>
      </c>
      <c r="C79" s="375" t="s">
        <v>301</v>
      </c>
      <c r="D79" s="376" t="s">
        <v>1058</v>
      </c>
      <c r="E79" s="378" t="s">
        <v>1059</v>
      </c>
      <c r="F79" s="375" t="s">
        <v>271</v>
      </c>
      <c r="G79" s="378" t="s">
        <v>1222</v>
      </c>
      <c r="H79" s="378" t="s">
        <v>1223</v>
      </c>
      <c r="I79" s="378" t="s">
        <v>1224</v>
      </c>
      <c r="J79" s="378" t="s">
        <v>1234</v>
      </c>
      <c r="K79" s="373" t="s">
        <v>1235</v>
      </c>
      <c r="L79" s="379" t="s">
        <v>301</v>
      </c>
      <c r="M79" s="373" t="s">
        <v>301</v>
      </c>
      <c r="N79" s="373" t="s">
        <v>301</v>
      </c>
      <c r="O79" s="373" t="s">
        <v>301</v>
      </c>
      <c r="P79" s="373" t="s">
        <v>301</v>
      </c>
      <c r="Q79" s="380" t="s">
        <v>124</v>
      </c>
      <c r="R79" s="379" t="s">
        <v>301</v>
      </c>
      <c r="S79" s="373" t="s">
        <v>301</v>
      </c>
      <c r="T79" s="373" t="s">
        <v>301</v>
      </c>
      <c r="U79" s="373" t="s">
        <v>301</v>
      </c>
      <c r="V79" s="373" t="s">
        <v>301</v>
      </c>
      <c r="W79" s="392" t="s">
        <v>124</v>
      </c>
    </row>
    <row r="80">
      <c r="A80" s="381">
        <v>6.0</v>
      </c>
      <c r="B80" s="382" t="s">
        <v>307</v>
      </c>
      <c r="C80" s="383" t="s">
        <v>301</v>
      </c>
      <c r="D80" s="384" t="s">
        <v>1058</v>
      </c>
      <c r="E80" s="386" t="s">
        <v>1059</v>
      </c>
      <c r="F80" s="383" t="s">
        <v>271</v>
      </c>
      <c r="G80" s="386" t="s">
        <v>1222</v>
      </c>
      <c r="H80" s="386" t="s">
        <v>1223</v>
      </c>
      <c r="I80" s="386" t="s">
        <v>1224</v>
      </c>
      <c r="J80" s="386" t="s">
        <v>1236</v>
      </c>
      <c r="K80" s="381" t="s">
        <v>1237</v>
      </c>
      <c r="L80" s="379" t="s">
        <v>301</v>
      </c>
      <c r="M80" s="381" t="s">
        <v>301</v>
      </c>
      <c r="N80" s="381" t="s">
        <v>301</v>
      </c>
      <c r="O80" s="381" t="s">
        <v>301</v>
      </c>
      <c r="P80" s="381" t="s">
        <v>301</v>
      </c>
      <c r="Q80" s="387" t="s">
        <v>124</v>
      </c>
      <c r="R80" s="379" t="s">
        <v>301</v>
      </c>
      <c r="S80" s="381" t="s">
        <v>301</v>
      </c>
      <c r="T80" s="381" t="s">
        <v>301</v>
      </c>
      <c r="U80" s="381" t="s">
        <v>301</v>
      </c>
      <c r="V80" s="381" t="s">
        <v>301</v>
      </c>
      <c r="W80" s="388" t="s">
        <v>124</v>
      </c>
    </row>
    <row r="81">
      <c r="A81" s="373">
        <v>7.0</v>
      </c>
      <c r="B81" s="374" t="s">
        <v>307</v>
      </c>
      <c r="C81" s="375" t="s">
        <v>301</v>
      </c>
      <c r="D81" s="376" t="s">
        <v>1058</v>
      </c>
      <c r="E81" s="378" t="s">
        <v>1059</v>
      </c>
      <c r="F81" s="375" t="s">
        <v>271</v>
      </c>
      <c r="G81" s="378" t="s">
        <v>1222</v>
      </c>
      <c r="H81" s="378" t="s">
        <v>1223</v>
      </c>
      <c r="I81" s="378" t="s">
        <v>1224</v>
      </c>
      <c r="J81" s="392" t="s">
        <v>1238</v>
      </c>
      <c r="K81" s="373" t="s">
        <v>1239</v>
      </c>
      <c r="L81" s="379" t="s">
        <v>301</v>
      </c>
      <c r="M81" s="373" t="s">
        <v>301</v>
      </c>
      <c r="N81" s="373" t="s">
        <v>301</v>
      </c>
      <c r="O81" s="373" t="s">
        <v>301</v>
      </c>
      <c r="P81" s="373" t="s">
        <v>301</v>
      </c>
      <c r="Q81" s="380" t="s">
        <v>124</v>
      </c>
      <c r="R81" s="379" t="s">
        <v>301</v>
      </c>
      <c r="S81" s="373" t="s">
        <v>301</v>
      </c>
      <c r="T81" s="373" t="s">
        <v>301</v>
      </c>
      <c r="U81" s="373" t="s">
        <v>301</v>
      </c>
      <c r="V81" s="373" t="s">
        <v>301</v>
      </c>
      <c r="W81" s="392" t="s">
        <v>124</v>
      </c>
    </row>
    <row r="82">
      <c r="A82" s="381">
        <v>8.0</v>
      </c>
      <c r="B82" s="386" t="s">
        <v>331</v>
      </c>
      <c r="C82" s="383" t="s">
        <v>301</v>
      </c>
      <c r="D82" s="384" t="s">
        <v>1058</v>
      </c>
      <c r="E82" s="386" t="s">
        <v>1059</v>
      </c>
      <c r="F82" s="383" t="s">
        <v>271</v>
      </c>
      <c r="G82" s="386" t="s">
        <v>1222</v>
      </c>
      <c r="H82" s="386" t="s">
        <v>1223</v>
      </c>
      <c r="I82" s="386" t="s">
        <v>1224</v>
      </c>
      <c r="J82" s="386" t="s">
        <v>1240</v>
      </c>
      <c r="K82" s="381" t="s">
        <v>1241</v>
      </c>
      <c r="L82" s="379" t="s">
        <v>301</v>
      </c>
      <c r="M82" s="381" t="s">
        <v>301</v>
      </c>
      <c r="N82" s="381" t="s">
        <v>301</v>
      </c>
      <c r="O82" s="381" t="s">
        <v>301</v>
      </c>
      <c r="P82" s="381" t="s">
        <v>301</v>
      </c>
      <c r="Q82" s="387" t="s">
        <v>124</v>
      </c>
      <c r="R82" s="379" t="s">
        <v>301</v>
      </c>
      <c r="S82" s="381" t="s">
        <v>301</v>
      </c>
      <c r="T82" s="381" t="s">
        <v>301</v>
      </c>
      <c r="U82" s="381" t="s">
        <v>301</v>
      </c>
      <c r="V82" s="381" t="s">
        <v>301</v>
      </c>
      <c r="W82" s="388" t="s">
        <v>124</v>
      </c>
    </row>
    <row r="83">
      <c r="A83" s="373">
        <v>9.0</v>
      </c>
      <c r="B83" s="374" t="s">
        <v>307</v>
      </c>
      <c r="C83" s="375" t="s">
        <v>301</v>
      </c>
      <c r="D83" s="376" t="s">
        <v>1058</v>
      </c>
      <c r="E83" s="378" t="s">
        <v>1059</v>
      </c>
      <c r="F83" s="375" t="s">
        <v>271</v>
      </c>
      <c r="G83" s="378" t="s">
        <v>1222</v>
      </c>
      <c r="H83" s="378" t="s">
        <v>1223</v>
      </c>
      <c r="I83" s="378" t="s">
        <v>1224</v>
      </c>
      <c r="J83" s="378" t="s">
        <v>1242</v>
      </c>
      <c r="K83" s="373" t="s">
        <v>1243</v>
      </c>
      <c r="L83" s="379" t="s">
        <v>301</v>
      </c>
      <c r="M83" s="373" t="s">
        <v>301</v>
      </c>
      <c r="N83" s="373" t="s">
        <v>301</v>
      </c>
      <c r="O83" s="373" t="s">
        <v>301</v>
      </c>
      <c r="P83" s="373" t="s">
        <v>301</v>
      </c>
      <c r="Q83" s="380" t="s">
        <v>124</v>
      </c>
      <c r="R83" s="379" t="s">
        <v>301</v>
      </c>
      <c r="S83" s="373" t="s">
        <v>301</v>
      </c>
      <c r="T83" s="373" t="s">
        <v>301</v>
      </c>
      <c r="U83" s="373" t="s">
        <v>301</v>
      </c>
      <c r="V83" s="373" t="s">
        <v>301</v>
      </c>
      <c r="W83" s="392" t="s">
        <v>124</v>
      </c>
    </row>
    <row r="84">
      <c r="A84" s="381">
        <v>10.0</v>
      </c>
      <c r="B84" s="382" t="s">
        <v>331</v>
      </c>
      <c r="C84" s="383" t="s">
        <v>301</v>
      </c>
      <c r="D84" s="384" t="s">
        <v>1229</v>
      </c>
      <c r="E84" s="386" t="s">
        <v>1059</v>
      </c>
      <c r="F84" s="383" t="s">
        <v>271</v>
      </c>
      <c r="G84" s="386" t="s">
        <v>1222</v>
      </c>
      <c r="H84" s="386" t="s">
        <v>1223</v>
      </c>
      <c r="I84" s="386" t="s">
        <v>1224</v>
      </c>
      <c r="J84" s="386" t="s">
        <v>1244</v>
      </c>
      <c r="K84" s="381" t="s">
        <v>1243</v>
      </c>
      <c r="L84" s="379" t="s">
        <v>301</v>
      </c>
      <c r="M84" s="381" t="s">
        <v>301</v>
      </c>
      <c r="N84" s="381" t="s">
        <v>301</v>
      </c>
      <c r="O84" s="381" t="s">
        <v>301</v>
      </c>
      <c r="P84" s="381" t="s">
        <v>301</v>
      </c>
      <c r="Q84" s="387" t="s">
        <v>124</v>
      </c>
      <c r="R84" s="379" t="s">
        <v>301</v>
      </c>
      <c r="S84" s="381" t="s">
        <v>301</v>
      </c>
      <c r="T84" s="381" t="s">
        <v>301</v>
      </c>
      <c r="U84" s="381" t="s">
        <v>301</v>
      </c>
      <c r="V84" s="381" t="s">
        <v>301</v>
      </c>
      <c r="W84" s="388" t="s">
        <v>124</v>
      </c>
    </row>
    <row r="85">
      <c r="A85" s="373">
        <v>11.0</v>
      </c>
      <c r="B85" s="374" t="s">
        <v>307</v>
      </c>
      <c r="C85" s="375" t="s">
        <v>301</v>
      </c>
      <c r="D85" s="376" t="s">
        <v>1229</v>
      </c>
      <c r="E85" s="378" t="s">
        <v>1245</v>
      </c>
      <c r="F85" s="375" t="s">
        <v>301</v>
      </c>
      <c r="G85" s="378" t="s">
        <v>1246</v>
      </c>
      <c r="H85" s="378" t="s">
        <v>1247</v>
      </c>
      <c r="I85" s="378" t="s">
        <v>1248</v>
      </c>
      <c r="J85" s="378" t="s">
        <v>1249</v>
      </c>
      <c r="K85" s="373" t="s">
        <v>1250</v>
      </c>
      <c r="L85" s="379" t="s">
        <v>301</v>
      </c>
      <c r="M85" s="373" t="s">
        <v>301</v>
      </c>
      <c r="N85" s="373" t="s">
        <v>301</v>
      </c>
      <c r="O85" s="373" t="s">
        <v>301</v>
      </c>
      <c r="P85" s="373" t="s">
        <v>301</v>
      </c>
      <c r="Q85" s="380" t="s">
        <v>1251</v>
      </c>
      <c r="R85" s="379" t="s">
        <v>301</v>
      </c>
      <c r="S85" s="373" t="s">
        <v>301</v>
      </c>
      <c r="T85" s="373" t="s">
        <v>301</v>
      </c>
      <c r="U85" s="373" t="s">
        <v>301</v>
      </c>
      <c r="V85" s="373" t="s">
        <v>301</v>
      </c>
      <c r="W85" s="378" t="s">
        <v>1251</v>
      </c>
    </row>
    <row r="86">
      <c r="A86" s="381">
        <v>12.0</v>
      </c>
      <c r="B86" s="382" t="s">
        <v>307</v>
      </c>
      <c r="C86" s="383" t="s">
        <v>301</v>
      </c>
      <c r="D86" s="384" t="s">
        <v>1229</v>
      </c>
      <c r="E86" s="386" t="s">
        <v>1245</v>
      </c>
      <c r="F86" s="383" t="s">
        <v>301</v>
      </c>
      <c r="G86" s="386" t="s">
        <v>1246</v>
      </c>
      <c r="H86" s="386" t="s">
        <v>1247</v>
      </c>
      <c r="I86" s="386" t="s">
        <v>1248</v>
      </c>
      <c r="J86" s="388" t="s">
        <v>1252</v>
      </c>
      <c r="K86" s="381" t="s">
        <v>1186</v>
      </c>
      <c r="L86" s="379" t="s">
        <v>301</v>
      </c>
      <c r="M86" s="381" t="s">
        <v>301</v>
      </c>
      <c r="N86" s="381" t="s">
        <v>301</v>
      </c>
      <c r="O86" s="381" t="s">
        <v>301</v>
      </c>
      <c r="P86" s="381" t="s">
        <v>301</v>
      </c>
      <c r="Q86" s="387" t="s">
        <v>124</v>
      </c>
      <c r="R86" s="379" t="s">
        <v>301</v>
      </c>
      <c r="S86" s="381" t="s">
        <v>301</v>
      </c>
      <c r="T86" s="381" t="s">
        <v>301</v>
      </c>
      <c r="U86" s="381" t="s">
        <v>301</v>
      </c>
      <c r="V86" s="381" t="s">
        <v>301</v>
      </c>
      <c r="W86" s="388" t="s">
        <v>124</v>
      </c>
    </row>
    <row r="87">
      <c r="A87" s="373">
        <v>13.0</v>
      </c>
      <c r="B87" s="374" t="s">
        <v>307</v>
      </c>
      <c r="C87" s="375" t="s">
        <v>301</v>
      </c>
      <c r="D87" s="376" t="s">
        <v>1229</v>
      </c>
      <c r="E87" s="378" t="s">
        <v>1245</v>
      </c>
      <c r="F87" s="375" t="s">
        <v>301</v>
      </c>
      <c r="G87" s="378" t="s">
        <v>1246</v>
      </c>
      <c r="H87" s="378" t="s">
        <v>1247</v>
      </c>
      <c r="I87" s="378" t="s">
        <v>1253</v>
      </c>
      <c r="J87" s="378" t="s">
        <v>1254</v>
      </c>
      <c r="K87" s="373" t="s">
        <v>1250</v>
      </c>
      <c r="L87" s="379" t="s">
        <v>301</v>
      </c>
      <c r="M87" s="373" t="s">
        <v>301</v>
      </c>
      <c r="N87" s="373" t="s">
        <v>301</v>
      </c>
      <c r="O87" s="373" t="s">
        <v>301</v>
      </c>
      <c r="P87" s="373" t="s">
        <v>301</v>
      </c>
      <c r="Q87" s="380" t="s">
        <v>1255</v>
      </c>
      <c r="R87" s="379" t="s">
        <v>301</v>
      </c>
      <c r="S87" s="373" t="s">
        <v>301</v>
      </c>
      <c r="T87" s="373" t="s">
        <v>301</v>
      </c>
      <c r="U87" s="373" t="s">
        <v>301</v>
      </c>
      <c r="V87" s="373" t="s">
        <v>301</v>
      </c>
      <c r="W87" s="378" t="s">
        <v>1255</v>
      </c>
    </row>
    <row r="88">
      <c r="A88" s="381">
        <v>14.0</v>
      </c>
      <c r="B88" s="382" t="s">
        <v>307</v>
      </c>
      <c r="C88" s="383" t="s">
        <v>301</v>
      </c>
      <c r="D88" s="384" t="s">
        <v>1229</v>
      </c>
      <c r="E88" s="386" t="s">
        <v>1245</v>
      </c>
      <c r="F88" s="383" t="s">
        <v>301</v>
      </c>
      <c r="G88" s="386" t="s">
        <v>1246</v>
      </c>
      <c r="H88" s="386" t="s">
        <v>1247</v>
      </c>
      <c r="I88" s="386" t="s">
        <v>1253</v>
      </c>
      <c r="J88" s="386" t="s">
        <v>1256</v>
      </c>
      <c r="K88" s="381" t="s">
        <v>1250</v>
      </c>
      <c r="L88" s="379" t="s">
        <v>301</v>
      </c>
      <c r="M88" s="381" t="s">
        <v>301</v>
      </c>
      <c r="N88" s="381" t="s">
        <v>301</v>
      </c>
      <c r="O88" s="381" t="s">
        <v>301</v>
      </c>
      <c r="P88" s="381" t="s">
        <v>301</v>
      </c>
      <c r="Q88" s="387" t="s">
        <v>1257</v>
      </c>
      <c r="R88" s="379" t="s">
        <v>301</v>
      </c>
      <c r="S88" s="381" t="s">
        <v>301</v>
      </c>
      <c r="T88" s="381" t="s">
        <v>301</v>
      </c>
      <c r="U88" s="381" t="s">
        <v>301</v>
      </c>
      <c r="V88" s="381" t="s">
        <v>301</v>
      </c>
      <c r="W88" s="386" t="s">
        <v>1257</v>
      </c>
    </row>
    <row r="89">
      <c r="A89" s="373">
        <v>15.0</v>
      </c>
      <c r="B89" s="374" t="s">
        <v>307</v>
      </c>
      <c r="C89" s="375" t="s">
        <v>301</v>
      </c>
      <c r="D89" s="376" t="s">
        <v>1229</v>
      </c>
      <c r="E89" s="378" t="s">
        <v>1258</v>
      </c>
      <c r="F89" s="375" t="s">
        <v>301</v>
      </c>
      <c r="G89" s="378" t="s">
        <v>1259</v>
      </c>
      <c r="H89" s="378" t="s">
        <v>1260</v>
      </c>
      <c r="I89" s="378" t="s">
        <v>1261</v>
      </c>
      <c r="J89" s="378" t="s">
        <v>1262</v>
      </c>
      <c r="K89" s="373" t="s">
        <v>1250</v>
      </c>
      <c r="L89" s="379" t="s">
        <v>301</v>
      </c>
      <c r="M89" s="373" t="s">
        <v>301</v>
      </c>
      <c r="N89" s="373" t="s">
        <v>301</v>
      </c>
      <c r="O89" s="373" t="s">
        <v>301</v>
      </c>
      <c r="P89" s="373" t="s">
        <v>301</v>
      </c>
      <c r="Q89" s="380" t="s">
        <v>1263</v>
      </c>
      <c r="R89" s="379" t="s">
        <v>301</v>
      </c>
      <c r="S89" s="373" t="s">
        <v>301</v>
      </c>
      <c r="T89" s="373" t="s">
        <v>301</v>
      </c>
      <c r="U89" s="373" t="s">
        <v>301</v>
      </c>
      <c r="V89" s="373" t="s">
        <v>301</v>
      </c>
      <c r="W89" s="378" t="s">
        <v>1263</v>
      </c>
    </row>
    <row r="90">
      <c r="A90" s="381">
        <v>16.0</v>
      </c>
      <c r="B90" s="382" t="s">
        <v>307</v>
      </c>
      <c r="C90" s="383" t="s">
        <v>301</v>
      </c>
      <c r="D90" s="384" t="s">
        <v>1229</v>
      </c>
      <c r="E90" s="386" t="s">
        <v>1258</v>
      </c>
      <c r="F90" s="383" t="s">
        <v>301</v>
      </c>
      <c r="G90" s="386" t="s">
        <v>1259</v>
      </c>
      <c r="H90" s="386" t="s">
        <v>1260</v>
      </c>
      <c r="I90" s="386" t="s">
        <v>1264</v>
      </c>
      <c r="J90" s="386" t="s">
        <v>1265</v>
      </c>
      <c r="K90" s="381" t="s">
        <v>1250</v>
      </c>
      <c r="L90" s="379" t="s">
        <v>301</v>
      </c>
      <c r="M90" s="381" t="s">
        <v>301</v>
      </c>
      <c r="N90" s="381" t="s">
        <v>301</v>
      </c>
      <c r="O90" s="381" t="s">
        <v>301</v>
      </c>
      <c r="P90" s="381" t="s">
        <v>301</v>
      </c>
      <c r="Q90" s="387" t="s">
        <v>1257</v>
      </c>
      <c r="R90" s="379" t="s">
        <v>301</v>
      </c>
      <c r="S90" s="381" t="s">
        <v>301</v>
      </c>
      <c r="T90" s="381" t="s">
        <v>301</v>
      </c>
      <c r="U90" s="381" t="s">
        <v>301</v>
      </c>
      <c r="V90" s="381" t="s">
        <v>301</v>
      </c>
      <c r="W90" s="386" t="s">
        <v>1257</v>
      </c>
    </row>
    <row r="91">
      <c r="A91" s="373">
        <v>17.0</v>
      </c>
      <c r="B91" s="378" t="s">
        <v>307</v>
      </c>
      <c r="C91" s="373" t="s">
        <v>301</v>
      </c>
      <c r="D91" s="389" t="s">
        <v>1229</v>
      </c>
      <c r="E91" s="378" t="s">
        <v>1059</v>
      </c>
      <c r="F91" s="373" t="s">
        <v>271</v>
      </c>
      <c r="G91" s="378" t="s">
        <v>1259</v>
      </c>
      <c r="H91" s="378" t="s">
        <v>1260</v>
      </c>
      <c r="I91" s="378" t="s">
        <v>1264</v>
      </c>
      <c r="J91" s="378" t="s">
        <v>1266</v>
      </c>
      <c r="K91" s="373" t="s">
        <v>1250</v>
      </c>
      <c r="L91" s="379" t="s">
        <v>301</v>
      </c>
      <c r="M91" s="379" t="s">
        <v>301</v>
      </c>
      <c r="N91" s="379" t="s">
        <v>301</v>
      </c>
      <c r="O91" s="379" t="s">
        <v>301</v>
      </c>
      <c r="P91" s="379" t="s">
        <v>301</v>
      </c>
      <c r="Q91" s="380" t="s">
        <v>1257</v>
      </c>
      <c r="R91" s="379" t="s">
        <v>301</v>
      </c>
      <c r="S91" s="379" t="s">
        <v>301</v>
      </c>
      <c r="T91" s="379" t="s">
        <v>301</v>
      </c>
      <c r="U91" s="379" t="s">
        <v>301</v>
      </c>
      <c r="V91" s="379" t="s">
        <v>301</v>
      </c>
      <c r="W91" s="393"/>
      <c r="X91" s="347"/>
      <c r="Y91" s="347"/>
      <c r="Z91" s="347"/>
      <c r="AA91" s="347"/>
      <c r="AB91" s="347"/>
    </row>
    <row r="92">
      <c r="A92" s="381">
        <v>18.0</v>
      </c>
      <c r="B92" s="382" t="s">
        <v>307</v>
      </c>
      <c r="C92" s="383" t="s">
        <v>301</v>
      </c>
      <c r="D92" s="384" t="s">
        <v>1229</v>
      </c>
      <c r="E92" s="386" t="s">
        <v>1267</v>
      </c>
      <c r="F92" s="383" t="s">
        <v>301</v>
      </c>
      <c r="G92" s="386" t="s">
        <v>1268</v>
      </c>
      <c r="H92" s="386" t="s">
        <v>1269</v>
      </c>
      <c r="I92" s="386" t="s">
        <v>1270</v>
      </c>
      <c r="J92" s="386" t="s">
        <v>1271</v>
      </c>
      <c r="K92" s="381" t="s">
        <v>1272</v>
      </c>
      <c r="L92" s="379" t="s">
        <v>301</v>
      </c>
      <c r="M92" s="381" t="s">
        <v>301</v>
      </c>
      <c r="N92" s="381" t="s">
        <v>301</v>
      </c>
      <c r="O92" s="381" t="s">
        <v>301</v>
      </c>
      <c r="P92" s="381" t="s">
        <v>301</v>
      </c>
      <c r="Q92" s="387" t="s">
        <v>124</v>
      </c>
      <c r="R92" s="379" t="s">
        <v>301</v>
      </c>
      <c r="S92" s="379" t="s">
        <v>301</v>
      </c>
      <c r="T92" s="379" t="s">
        <v>301</v>
      </c>
      <c r="U92" s="379" t="s">
        <v>301</v>
      </c>
      <c r="V92" s="379" t="s">
        <v>301</v>
      </c>
      <c r="W92" s="82"/>
    </row>
    <row r="93">
      <c r="A93" s="373">
        <v>19.0</v>
      </c>
      <c r="B93" s="374" t="s">
        <v>307</v>
      </c>
      <c r="C93" s="375" t="s">
        <v>301</v>
      </c>
      <c r="D93" s="376" t="s">
        <v>1229</v>
      </c>
      <c r="E93" s="374" t="s">
        <v>1267</v>
      </c>
      <c r="F93" s="375" t="s">
        <v>301</v>
      </c>
      <c r="G93" s="378" t="s">
        <v>1268</v>
      </c>
      <c r="H93" s="378" t="s">
        <v>1269</v>
      </c>
      <c r="I93" s="378" t="s">
        <v>1273</v>
      </c>
      <c r="J93" s="378" t="s">
        <v>1274</v>
      </c>
      <c r="K93" s="373" t="s">
        <v>1275</v>
      </c>
      <c r="L93" s="379" t="s">
        <v>301</v>
      </c>
      <c r="M93" s="373" t="s">
        <v>301</v>
      </c>
      <c r="N93" s="373" t="s">
        <v>301</v>
      </c>
      <c r="O93" s="373" t="s">
        <v>301</v>
      </c>
      <c r="P93" s="373" t="s">
        <v>301</v>
      </c>
      <c r="Q93" s="380" t="s">
        <v>124</v>
      </c>
      <c r="R93" s="379" t="s">
        <v>301</v>
      </c>
      <c r="S93" s="379" t="s">
        <v>301</v>
      </c>
      <c r="T93" s="379" t="s">
        <v>301</v>
      </c>
      <c r="U93" s="379" t="s">
        <v>301</v>
      </c>
      <c r="V93" s="379" t="s">
        <v>301</v>
      </c>
      <c r="W93" s="82"/>
    </row>
    <row r="94">
      <c r="A94" s="381">
        <v>20.0</v>
      </c>
      <c r="B94" s="382" t="s">
        <v>307</v>
      </c>
      <c r="C94" s="383" t="s">
        <v>301</v>
      </c>
      <c r="D94" s="384" t="s">
        <v>1229</v>
      </c>
      <c r="E94" s="382" t="s">
        <v>1267</v>
      </c>
      <c r="F94" s="383" t="s">
        <v>301</v>
      </c>
      <c r="G94" s="386" t="s">
        <v>1268</v>
      </c>
      <c r="H94" s="386" t="s">
        <v>1269</v>
      </c>
      <c r="I94" s="386" t="s">
        <v>1273</v>
      </c>
      <c r="J94" s="388" t="s">
        <v>1276</v>
      </c>
      <c r="K94" s="381" t="s">
        <v>1277</v>
      </c>
      <c r="L94" s="379" t="s">
        <v>301</v>
      </c>
      <c r="M94" s="381" t="s">
        <v>301</v>
      </c>
      <c r="N94" s="381" t="s">
        <v>301</v>
      </c>
      <c r="O94" s="381" t="s">
        <v>301</v>
      </c>
      <c r="P94" s="381" t="s">
        <v>301</v>
      </c>
      <c r="Q94" s="387" t="s">
        <v>124</v>
      </c>
      <c r="R94" s="379" t="s">
        <v>301</v>
      </c>
      <c r="S94" s="379" t="s">
        <v>301</v>
      </c>
      <c r="T94" s="379" t="s">
        <v>301</v>
      </c>
      <c r="U94" s="379" t="s">
        <v>301</v>
      </c>
      <c r="V94" s="379" t="s">
        <v>301</v>
      </c>
      <c r="W94" s="82"/>
    </row>
    <row r="95">
      <c r="A95" s="373">
        <v>21.0</v>
      </c>
      <c r="B95" s="374" t="s">
        <v>307</v>
      </c>
      <c r="C95" s="375" t="s">
        <v>301</v>
      </c>
      <c r="D95" s="376" t="s">
        <v>1229</v>
      </c>
      <c r="E95" s="374" t="s">
        <v>1267</v>
      </c>
      <c r="F95" s="375" t="s">
        <v>301</v>
      </c>
      <c r="G95" s="378" t="s">
        <v>1268</v>
      </c>
      <c r="H95" s="378" t="s">
        <v>1269</v>
      </c>
      <c r="I95" s="378" t="s">
        <v>1273</v>
      </c>
      <c r="J95" s="392" t="s">
        <v>1278</v>
      </c>
      <c r="K95" s="373" t="s">
        <v>1279</v>
      </c>
      <c r="L95" s="379" t="s">
        <v>301</v>
      </c>
      <c r="M95" s="373" t="s">
        <v>301</v>
      </c>
      <c r="N95" s="373" t="s">
        <v>301</v>
      </c>
      <c r="O95" s="373" t="s">
        <v>301</v>
      </c>
      <c r="P95" s="373" t="s">
        <v>301</v>
      </c>
      <c r="Q95" s="380" t="s">
        <v>124</v>
      </c>
      <c r="R95" s="379" t="s">
        <v>301</v>
      </c>
      <c r="S95" s="379" t="s">
        <v>301</v>
      </c>
      <c r="T95" s="379" t="s">
        <v>301</v>
      </c>
      <c r="U95" s="379" t="s">
        <v>301</v>
      </c>
      <c r="V95" s="379" t="s">
        <v>301</v>
      </c>
      <c r="W95" s="82"/>
    </row>
    <row r="96">
      <c r="A96" s="381">
        <v>22.0</v>
      </c>
      <c r="B96" s="382" t="s">
        <v>307</v>
      </c>
      <c r="C96" s="383" t="s">
        <v>301</v>
      </c>
      <c r="D96" s="384" t="s">
        <v>1229</v>
      </c>
      <c r="E96" s="382" t="s">
        <v>1267</v>
      </c>
      <c r="F96" s="383" t="s">
        <v>301</v>
      </c>
      <c r="G96" s="386" t="s">
        <v>1268</v>
      </c>
      <c r="H96" s="386" t="s">
        <v>1269</v>
      </c>
      <c r="I96" s="386" t="s">
        <v>1280</v>
      </c>
      <c r="J96" s="386" t="s">
        <v>1281</v>
      </c>
      <c r="K96" s="381" t="s">
        <v>1275</v>
      </c>
      <c r="L96" s="379" t="s">
        <v>301</v>
      </c>
      <c r="M96" s="381" t="s">
        <v>301</v>
      </c>
      <c r="N96" s="381" t="s">
        <v>301</v>
      </c>
      <c r="O96" s="381" t="s">
        <v>301</v>
      </c>
      <c r="P96" s="381" t="s">
        <v>301</v>
      </c>
      <c r="Q96" s="387" t="s">
        <v>124</v>
      </c>
      <c r="R96" s="379" t="s">
        <v>301</v>
      </c>
      <c r="S96" s="379" t="s">
        <v>301</v>
      </c>
      <c r="T96" s="379" t="s">
        <v>301</v>
      </c>
      <c r="U96" s="379" t="s">
        <v>301</v>
      </c>
      <c r="V96" s="379" t="s">
        <v>301</v>
      </c>
      <c r="W96" s="82"/>
    </row>
    <row r="97">
      <c r="A97" s="373">
        <v>23.0</v>
      </c>
      <c r="B97" s="374" t="s">
        <v>307</v>
      </c>
      <c r="C97" s="375" t="s">
        <v>301</v>
      </c>
      <c r="D97" s="376" t="s">
        <v>1229</v>
      </c>
      <c r="E97" s="394" t="s">
        <v>1267</v>
      </c>
      <c r="F97" s="375" t="s">
        <v>301</v>
      </c>
      <c r="G97" s="378" t="s">
        <v>1268</v>
      </c>
      <c r="H97" s="378" t="s">
        <v>1269</v>
      </c>
      <c r="I97" s="378" t="s">
        <v>1280</v>
      </c>
      <c r="J97" s="392" t="s">
        <v>1282</v>
      </c>
      <c r="K97" s="373" t="s">
        <v>1250</v>
      </c>
      <c r="L97" s="379" t="s">
        <v>301</v>
      </c>
      <c r="M97" s="373" t="s">
        <v>301</v>
      </c>
      <c r="N97" s="373" t="s">
        <v>301</v>
      </c>
      <c r="O97" s="373" t="s">
        <v>301</v>
      </c>
      <c r="P97" s="373" t="s">
        <v>271</v>
      </c>
      <c r="Q97" s="380" t="s">
        <v>1283</v>
      </c>
      <c r="R97" s="379" t="s">
        <v>301</v>
      </c>
      <c r="S97" s="379" t="s">
        <v>301</v>
      </c>
      <c r="T97" s="379" t="s">
        <v>301</v>
      </c>
      <c r="U97" s="379" t="s">
        <v>301</v>
      </c>
      <c r="V97" s="373" t="s">
        <v>271</v>
      </c>
      <c r="W97" s="380" t="s">
        <v>1283</v>
      </c>
    </row>
    <row r="98">
      <c r="A98" s="381">
        <v>24.0</v>
      </c>
      <c r="B98" s="382" t="s">
        <v>307</v>
      </c>
      <c r="C98" s="383" t="s">
        <v>301</v>
      </c>
      <c r="D98" s="384" t="s">
        <v>1229</v>
      </c>
      <c r="E98" s="382" t="s">
        <v>1284</v>
      </c>
      <c r="F98" s="383" t="s">
        <v>301</v>
      </c>
      <c r="G98" s="386" t="s">
        <v>1285</v>
      </c>
      <c r="H98" s="386" t="s">
        <v>1286</v>
      </c>
      <c r="I98" s="386" t="s">
        <v>1287</v>
      </c>
      <c r="J98" s="386" t="s">
        <v>1288</v>
      </c>
      <c r="K98" s="381" t="s">
        <v>1289</v>
      </c>
      <c r="L98" s="379" t="s">
        <v>301</v>
      </c>
      <c r="M98" s="381" t="s">
        <v>301</v>
      </c>
      <c r="N98" s="381" t="s">
        <v>301</v>
      </c>
      <c r="O98" s="381" t="s">
        <v>301</v>
      </c>
      <c r="P98" s="381" t="s">
        <v>301</v>
      </c>
      <c r="Q98" s="387" t="s">
        <v>124</v>
      </c>
      <c r="R98" s="379" t="s">
        <v>301</v>
      </c>
      <c r="S98" s="379" t="s">
        <v>301</v>
      </c>
      <c r="T98" s="379" t="s">
        <v>301</v>
      </c>
      <c r="U98" s="379" t="s">
        <v>301</v>
      </c>
      <c r="V98" s="379" t="s">
        <v>301</v>
      </c>
      <c r="W98" s="82"/>
    </row>
    <row r="99">
      <c r="A99" s="373">
        <v>25.0</v>
      </c>
      <c r="B99" s="374" t="s">
        <v>307</v>
      </c>
      <c r="C99" s="375" t="s">
        <v>301</v>
      </c>
      <c r="D99" s="376" t="s">
        <v>1229</v>
      </c>
      <c r="E99" s="374" t="s">
        <v>1284</v>
      </c>
      <c r="F99" s="375" t="s">
        <v>301</v>
      </c>
      <c r="G99" s="378" t="s">
        <v>1285</v>
      </c>
      <c r="H99" s="378" t="s">
        <v>1286</v>
      </c>
      <c r="I99" s="378" t="s">
        <v>1287</v>
      </c>
      <c r="J99" s="378" t="s">
        <v>1290</v>
      </c>
      <c r="K99" s="373" t="s">
        <v>1289</v>
      </c>
      <c r="L99" s="379" t="s">
        <v>301</v>
      </c>
      <c r="M99" s="373" t="s">
        <v>301</v>
      </c>
      <c r="N99" s="373" t="s">
        <v>301</v>
      </c>
      <c r="O99" s="373" t="s">
        <v>301</v>
      </c>
      <c r="P99" s="373" t="s">
        <v>301</v>
      </c>
      <c r="Q99" s="380" t="s">
        <v>124</v>
      </c>
      <c r="R99" s="379" t="s">
        <v>301</v>
      </c>
      <c r="S99" s="379" t="s">
        <v>301</v>
      </c>
      <c r="T99" s="379" t="s">
        <v>301</v>
      </c>
      <c r="U99" s="379" t="s">
        <v>301</v>
      </c>
      <c r="V99" s="379" t="s">
        <v>301</v>
      </c>
      <c r="W99" s="82"/>
    </row>
    <row r="100">
      <c r="A100" s="381">
        <v>26.0</v>
      </c>
      <c r="B100" s="382" t="s">
        <v>307</v>
      </c>
      <c r="C100" s="383" t="s">
        <v>301</v>
      </c>
      <c r="D100" s="384" t="s">
        <v>1229</v>
      </c>
      <c r="E100" s="382" t="s">
        <v>1284</v>
      </c>
      <c r="F100" s="383" t="s">
        <v>301</v>
      </c>
      <c r="G100" s="386" t="s">
        <v>1285</v>
      </c>
      <c r="H100" s="386" t="s">
        <v>1286</v>
      </c>
      <c r="I100" s="386" t="s">
        <v>1287</v>
      </c>
      <c r="J100" s="386" t="s">
        <v>1291</v>
      </c>
      <c r="K100" s="381" t="s">
        <v>1289</v>
      </c>
      <c r="L100" s="379" t="s">
        <v>301</v>
      </c>
      <c r="M100" s="381" t="s">
        <v>301</v>
      </c>
      <c r="N100" s="381" t="s">
        <v>301</v>
      </c>
      <c r="O100" s="381" t="s">
        <v>301</v>
      </c>
      <c r="P100" s="381" t="s">
        <v>301</v>
      </c>
      <c r="Q100" s="387" t="s">
        <v>124</v>
      </c>
      <c r="R100" s="379" t="s">
        <v>301</v>
      </c>
      <c r="S100" s="379" t="s">
        <v>301</v>
      </c>
      <c r="T100" s="379" t="s">
        <v>301</v>
      </c>
      <c r="U100" s="379" t="s">
        <v>301</v>
      </c>
      <c r="V100" s="379" t="s">
        <v>301</v>
      </c>
      <c r="W100" s="82"/>
    </row>
    <row r="101">
      <c r="A101" s="373">
        <v>27.0</v>
      </c>
      <c r="B101" s="374" t="s">
        <v>307</v>
      </c>
      <c r="C101" s="375" t="s">
        <v>301</v>
      </c>
      <c r="D101" s="376" t="s">
        <v>1229</v>
      </c>
      <c r="E101" s="374" t="s">
        <v>1284</v>
      </c>
      <c r="F101" s="375" t="s">
        <v>301</v>
      </c>
      <c r="G101" s="378" t="s">
        <v>1285</v>
      </c>
      <c r="H101" s="378" t="s">
        <v>1286</v>
      </c>
      <c r="I101" s="378" t="s">
        <v>1287</v>
      </c>
      <c r="J101" s="378" t="s">
        <v>1292</v>
      </c>
      <c r="K101" s="373" t="s">
        <v>1095</v>
      </c>
      <c r="L101" s="379" t="s">
        <v>301</v>
      </c>
      <c r="M101" s="373" t="s">
        <v>301</v>
      </c>
      <c r="N101" s="373" t="s">
        <v>301</v>
      </c>
      <c r="O101" s="373" t="s">
        <v>301</v>
      </c>
      <c r="P101" s="373" t="s">
        <v>301</v>
      </c>
      <c r="Q101" s="380" t="s">
        <v>124</v>
      </c>
      <c r="R101" s="379" t="s">
        <v>301</v>
      </c>
      <c r="S101" s="379" t="s">
        <v>301</v>
      </c>
      <c r="T101" s="379" t="s">
        <v>301</v>
      </c>
      <c r="U101" s="379" t="s">
        <v>301</v>
      </c>
      <c r="V101" s="379" t="s">
        <v>301</v>
      </c>
      <c r="W101" s="82"/>
    </row>
    <row r="102">
      <c r="A102" s="381">
        <v>28.0</v>
      </c>
      <c r="B102" s="382" t="s">
        <v>307</v>
      </c>
      <c r="C102" s="383" t="s">
        <v>301</v>
      </c>
      <c r="D102" s="384" t="s">
        <v>1229</v>
      </c>
      <c r="E102" s="382" t="s">
        <v>1284</v>
      </c>
      <c r="F102" s="383" t="s">
        <v>301</v>
      </c>
      <c r="G102" s="386" t="s">
        <v>1285</v>
      </c>
      <c r="H102" s="386" t="s">
        <v>1286</v>
      </c>
      <c r="I102" s="386" t="s">
        <v>1287</v>
      </c>
      <c r="J102" s="386" t="s">
        <v>1293</v>
      </c>
      <c r="K102" s="381" t="s">
        <v>1095</v>
      </c>
      <c r="L102" s="379" t="s">
        <v>301</v>
      </c>
      <c r="M102" s="381" t="s">
        <v>301</v>
      </c>
      <c r="N102" s="381" t="s">
        <v>301</v>
      </c>
      <c r="O102" s="381" t="s">
        <v>301</v>
      </c>
      <c r="P102" s="381" t="s">
        <v>301</v>
      </c>
      <c r="Q102" s="387" t="s">
        <v>124</v>
      </c>
      <c r="R102" s="379" t="s">
        <v>301</v>
      </c>
      <c r="S102" s="379" t="s">
        <v>301</v>
      </c>
      <c r="T102" s="379" t="s">
        <v>301</v>
      </c>
      <c r="U102" s="379" t="s">
        <v>301</v>
      </c>
      <c r="V102" s="379" t="s">
        <v>301</v>
      </c>
      <c r="W102" s="82"/>
    </row>
    <row r="103">
      <c r="A103" s="373">
        <v>29.0</v>
      </c>
      <c r="B103" s="374" t="s">
        <v>307</v>
      </c>
      <c r="C103" s="375" t="s">
        <v>301</v>
      </c>
      <c r="D103" s="376" t="s">
        <v>1229</v>
      </c>
      <c r="E103" s="374" t="s">
        <v>1284</v>
      </c>
      <c r="F103" s="375" t="s">
        <v>301</v>
      </c>
      <c r="G103" s="378" t="s">
        <v>1294</v>
      </c>
      <c r="H103" s="378" t="s">
        <v>1295</v>
      </c>
      <c r="I103" s="378" t="s">
        <v>1296</v>
      </c>
      <c r="J103" s="378" t="s">
        <v>1297</v>
      </c>
      <c r="K103" s="373" t="s">
        <v>1095</v>
      </c>
      <c r="L103" s="379" t="s">
        <v>301</v>
      </c>
      <c r="M103" s="373" t="s">
        <v>301</v>
      </c>
      <c r="N103" s="373" t="s">
        <v>301</v>
      </c>
      <c r="O103" s="373" t="s">
        <v>301</v>
      </c>
      <c r="P103" s="373" t="s">
        <v>301</v>
      </c>
      <c r="Q103" s="380" t="s">
        <v>124</v>
      </c>
      <c r="R103" s="379" t="s">
        <v>301</v>
      </c>
      <c r="S103" s="379" t="s">
        <v>301</v>
      </c>
      <c r="T103" s="379" t="s">
        <v>301</v>
      </c>
      <c r="U103" s="379" t="s">
        <v>301</v>
      </c>
      <c r="V103" s="379" t="s">
        <v>301</v>
      </c>
      <c r="W103" s="82"/>
    </row>
    <row r="104">
      <c r="A104" s="381">
        <v>30.0</v>
      </c>
      <c r="B104" s="382" t="s">
        <v>307</v>
      </c>
      <c r="C104" s="383" t="s">
        <v>301</v>
      </c>
      <c r="D104" s="384" t="s">
        <v>1229</v>
      </c>
      <c r="E104" s="382" t="s">
        <v>1284</v>
      </c>
      <c r="F104" s="383" t="s">
        <v>301</v>
      </c>
      <c r="G104" s="386" t="s">
        <v>1294</v>
      </c>
      <c r="H104" s="386" t="s">
        <v>1295</v>
      </c>
      <c r="I104" s="386" t="s">
        <v>1296</v>
      </c>
      <c r="J104" s="386" t="s">
        <v>1298</v>
      </c>
      <c r="K104" s="381" t="s">
        <v>1095</v>
      </c>
      <c r="L104" s="379" t="s">
        <v>301</v>
      </c>
      <c r="M104" s="381" t="s">
        <v>301</v>
      </c>
      <c r="N104" s="381" t="s">
        <v>301</v>
      </c>
      <c r="O104" s="381" t="s">
        <v>301</v>
      </c>
      <c r="P104" s="381" t="s">
        <v>301</v>
      </c>
      <c r="Q104" s="387" t="s">
        <v>124</v>
      </c>
      <c r="R104" s="379" t="s">
        <v>301</v>
      </c>
      <c r="S104" s="379" t="s">
        <v>301</v>
      </c>
      <c r="T104" s="379" t="s">
        <v>301</v>
      </c>
      <c r="U104" s="379" t="s">
        <v>301</v>
      </c>
      <c r="V104" s="379" t="s">
        <v>301</v>
      </c>
      <c r="W104" s="82"/>
    </row>
    <row r="105">
      <c r="A105" s="373">
        <v>31.0</v>
      </c>
      <c r="B105" s="374" t="s">
        <v>307</v>
      </c>
      <c r="C105" s="375" t="s">
        <v>301</v>
      </c>
      <c r="D105" s="376" t="s">
        <v>1229</v>
      </c>
      <c r="E105" s="374" t="s">
        <v>1284</v>
      </c>
      <c r="F105" s="375" t="s">
        <v>301</v>
      </c>
      <c r="G105" s="378" t="s">
        <v>1294</v>
      </c>
      <c r="H105" s="378" t="s">
        <v>1295</v>
      </c>
      <c r="I105" s="378" t="s">
        <v>1296</v>
      </c>
      <c r="J105" s="378" t="s">
        <v>1299</v>
      </c>
      <c r="K105" s="373" t="s">
        <v>1095</v>
      </c>
      <c r="L105" s="379" t="s">
        <v>301</v>
      </c>
      <c r="M105" s="373" t="s">
        <v>301</v>
      </c>
      <c r="N105" s="373" t="s">
        <v>301</v>
      </c>
      <c r="O105" s="373" t="s">
        <v>301</v>
      </c>
      <c r="P105" s="373" t="s">
        <v>301</v>
      </c>
      <c r="Q105" s="380" t="s">
        <v>124</v>
      </c>
      <c r="R105" s="379" t="s">
        <v>301</v>
      </c>
      <c r="S105" s="379" t="s">
        <v>301</v>
      </c>
      <c r="T105" s="379" t="s">
        <v>301</v>
      </c>
      <c r="U105" s="379" t="s">
        <v>301</v>
      </c>
      <c r="V105" s="379" t="s">
        <v>301</v>
      </c>
      <c r="W105" s="82"/>
    </row>
    <row r="106">
      <c r="A106" s="381">
        <v>32.0</v>
      </c>
      <c r="B106" s="382" t="s">
        <v>307</v>
      </c>
      <c r="C106" s="383" t="s">
        <v>301</v>
      </c>
      <c r="D106" s="384" t="s">
        <v>1229</v>
      </c>
      <c r="E106" s="382" t="s">
        <v>1284</v>
      </c>
      <c r="F106" s="383" t="s">
        <v>301</v>
      </c>
      <c r="G106" s="386" t="s">
        <v>1294</v>
      </c>
      <c r="H106" s="386" t="s">
        <v>1295</v>
      </c>
      <c r="I106" s="386" t="s">
        <v>1300</v>
      </c>
      <c r="J106" s="388" t="s">
        <v>1301</v>
      </c>
      <c r="K106" s="381" t="s">
        <v>1095</v>
      </c>
      <c r="L106" s="379" t="s">
        <v>301</v>
      </c>
      <c r="M106" s="381" t="s">
        <v>301</v>
      </c>
      <c r="N106" s="381" t="s">
        <v>301</v>
      </c>
      <c r="O106" s="381" t="s">
        <v>301</v>
      </c>
      <c r="P106" s="381" t="s">
        <v>301</v>
      </c>
      <c r="Q106" s="387" t="s">
        <v>124</v>
      </c>
      <c r="R106" s="379" t="s">
        <v>301</v>
      </c>
      <c r="S106" s="379" t="s">
        <v>301</v>
      </c>
      <c r="T106" s="379" t="s">
        <v>301</v>
      </c>
      <c r="U106" s="379" t="s">
        <v>301</v>
      </c>
      <c r="V106" s="379" t="s">
        <v>301</v>
      </c>
      <c r="W106" s="82"/>
    </row>
    <row r="107">
      <c r="A107" s="373">
        <v>33.0</v>
      </c>
      <c r="B107" s="374" t="s">
        <v>307</v>
      </c>
      <c r="C107" s="375" t="s">
        <v>301</v>
      </c>
      <c r="D107" s="376" t="s">
        <v>1229</v>
      </c>
      <c r="E107" s="374" t="s">
        <v>1284</v>
      </c>
      <c r="F107" s="375" t="s">
        <v>301</v>
      </c>
      <c r="G107" s="378" t="s">
        <v>1294</v>
      </c>
      <c r="H107" s="378" t="s">
        <v>1295</v>
      </c>
      <c r="I107" s="378" t="s">
        <v>1300</v>
      </c>
      <c r="J107" s="392" t="s">
        <v>1302</v>
      </c>
      <c r="K107" s="373" t="s">
        <v>1095</v>
      </c>
      <c r="L107" s="379" t="s">
        <v>301</v>
      </c>
      <c r="M107" s="373" t="s">
        <v>301</v>
      </c>
      <c r="N107" s="373" t="s">
        <v>301</v>
      </c>
      <c r="O107" s="373" t="s">
        <v>301</v>
      </c>
      <c r="P107" s="373" t="s">
        <v>301</v>
      </c>
      <c r="Q107" s="380" t="s">
        <v>124</v>
      </c>
      <c r="R107" s="379" t="s">
        <v>301</v>
      </c>
      <c r="S107" s="379" t="s">
        <v>301</v>
      </c>
      <c r="T107" s="379" t="s">
        <v>301</v>
      </c>
      <c r="U107" s="379" t="s">
        <v>301</v>
      </c>
      <c r="V107" s="379" t="s">
        <v>301</v>
      </c>
      <c r="W107" s="82"/>
    </row>
    <row r="108">
      <c r="A108" s="381">
        <v>34.0</v>
      </c>
      <c r="B108" s="382" t="s">
        <v>307</v>
      </c>
      <c r="C108" s="383" t="s">
        <v>301</v>
      </c>
      <c r="D108" s="384" t="s">
        <v>1229</v>
      </c>
      <c r="E108" s="382" t="s">
        <v>1284</v>
      </c>
      <c r="F108" s="383" t="s">
        <v>301</v>
      </c>
      <c r="G108" s="386" t="s">
        <v>1294</v>
      </c>
      <c r="H108" s="386" t="s">
        <v>1295</v>
      </c>
      <c r="I108" s="386" t="s">
        <v>1300</v>
      </c>
      <c r="J108" s="388" t="s">
        <v>1303</v>
      </c>
      <c r="K108" s="381" t="s">
        <v>1095</v>
      </c>
      <c r="L108" s="379" t="s">
        <v>301</v>
      </c>
      <c r="M108" s="381" t="s">
        <v>301</v>
      </c>
      <c r="N108" s="381" t="s">
        <v>301</v>
      </c>
      <c r="O108" s="381" t="s">
        <v>301</v>
      </c>
      <c r="P108" s="381" t="s">
        <v>301</v>
      </c>
      <c r="Q108" s="387" t="s">
        <v>124</v>
      </c>
      <c r="R108" s="379" t="s">
        <v>301</v>
      </c>
      <c r="S108" s="379" t="s">
        <v>301</v>
      </c>
      <c r="T108" s="379" t="s">
        <v>301</v>
      </c>
      <c r="U108" s="379" t="s">
        <v>301</v>
      </c>
      <c r="V108" s="379" t="s">
        <v>301</v>
      </c>
      <c r="W108" s="82"/>
    </row>
    <row r="109">
      <c r="A109" s="373">
        <v>35.0</v>
      </c>
      <c r="B109" s="374" t="s">
        <v>307</v>
      </c>
      <c r="C109" s="375" t="s">
        <v>301</v>
      </c>
      <c r="D109" s="376" t="s">
        <v>1229</v>
      </c>
      <c r="E109" s="374" t="s">
        <v>1284</v>
      </c>
      <c r="F109" s="375" t="s">
        <v>301</v>
      </c>
      <c r="G109" s="378" t="s">
        <v>1294</v>
      </c>
      <c r="H109" s="378" t="s">
        <v>1295</v>
      </c>
      <c r="I109" s="378" t="s">
        <v>1300</v>
      </c>
      <c r="J109" s="392" t="s">
        <v>1304</v>
      </c>
      <c r="K109" s="373" t="s">
        <v>1095</v>
      </c>
      <c r="L109" s="379" t="s">
        <v>301</v>
      </c>
      <c r="M109" s="373" t="s">
        <v>301</v>
      </c>
      <c r="N109" s="373" t="s">
        <v>301</v>
      </c>
      <c r="O109" s="373" t="s">
        <v>301</v>
      </c>
      <c r="P109" s="373" t="s">
        <v>301</v>
      </c>
      <c r="Q109" s="380" t="s">
        <v>124</v>
      </c>
      <c r="R109" s="379" t="s">
        <v>301</v>
      </c>
      <c r="S109" s="379" t="s">
        <v>301</v>
      </c>
      <c r="T109" s="379" t="s">
        <v>301</v>
      </c>
      <c r="U109" s="379" t="s">
        <v>301</v>
      </c>
      <c r="V109" s="379" t="s">
        <v>301</v>
      </c>
      <c r="W109" s="82"/>
    </row>
    <row r="110">
      <c r="A110" s="381">
        <v>36.0</v>
      </c>
      <c r="B110" s="382" t="s">
        <v>307</v>
      </c>
      <c r="C110" s="383" t="s">
        <v>301</v>
      </c>
      <c r="D110" s="384" t="s">
        <v>1229</v>
      </c>
      <c r="E110" s="382" t="s">
        <v>1284</v>
      </c>
      <c r="F110" s="383" t="s">
        <v>301</v>
      </c>
      <c r="G110" s="386" t="s">
        <v>1294</v>
      </c>
      <c r="H110" s="386" t="s">
        <v>1295</v>
      </c>
      <c r="I110" s="386" t="s">
        <v>1300</v>
      </c>
      <c r="J110" s="388" t="s">
        <v>1305</v>
      </c>
      <c r="K110" s="381" t="s">
        <v>1095</v>
      </c>
      <c r="L110" s="379" t="s">
        <v>301</v>
      </c>
      <c r="M110" s="381" t="s">
        <v>301</v>
      </c>
      <c r="N110" s="381" t="s">
        <v>301</v>
      </c>
      <c r="O110" s="381" t="s">
        <v>301</v>
      </c>
      <c r="P110" s="381" t="s">
        <v>301</v>
      </c>
      <c r="Q110" s="387" t="s">
        <v>124</v>
      </c>
      <c r="R110" s="379" t="s">
        <v>301</v>
      </c>
      <c r="S110" s="379" t="s">
        <v>301</v>
      </c>
      <c r="T110" s="379" t="s">
        <v>301</v>
      </c>
      <c r="U110" s="379" t="s">
        <v>301</v>
      </c>
      <c r="V110" s="379" t="s">
        <v>301</v>
      </c>
      <c r="W110" s="82"/>
    </row>
    <row r="111">
      <c r="A111" s="343" t="s">
        <v>1306</v>
      </c>
      <c r="B111" s="344"/>
      <c r="C111" s="344"/>
      <c r="D111" s="344"/>
      <c r="E111" s="344"/>
      <c r="F111" s="344"/>
      <c r="G111" s="344"/>
      <c r="H111" s="344"/>
      <c r="I111" s="344"/>
      <c r="J111" s="344"/>
      <c r="K111" s="344"/>
      <c r="L111" s="344"/>
      <c r="M111" s="344"/>
      <c r="N111" s="344"/>
      <c r="O111" s="344"/>
      <c r="P111" s="344"/>
      <c r="Q111" s="344"/>
      <c r="R111" s="344"/>
      <c r="S111" s="344"/>
      <c r="T111" s="344"/>
      <c r="U111" s="344"/>
      <c r="V111" s="345"/>
      <c r="W111" s="395"/>
    </row>
    <row r="112">
      <c r="A112" s="396">
        <v>1.0</v>
      </c>
      <c r="B112" s="397" t="s">
        <v>298</v>
      </c>
      <c r="C112" s="398" t="s">
        <v>301</v>
      </c>
      <c r="D112" s="399" t="s">
        <v>1058</v>
      </c>
      <c r="E112" s="397" t="s">
        <v>1059</v>
      </c>
      <c r="F112" s="398" t="s">
        <v>301</v>
      </c>
      <c r="G112" s="380" t="s">
        <v>1307</v>
      </c>
      <c r="H112" s="380" t="s">
        <v>1308</v>
      </c>
      <c r="I112" s="380" t="s">
        <v>1309</v>
      </c>
      <c r="J112" s="380" t="s">
        <v>1310</v>
      </c>
      <c r="K112" s="400" t="s">
        <v>1104</v>
      </c>
      <c r="L112" s="396" t="s">
        <v>301</v>
      </c>
      <c r="M112" s="396" t="s">
        <v>301</v>
      </c>
      <c r="N112" s="396" t="s">
        <v>301</v>
      </c>
      <c r="O112" s="396" t="s">
        <v>301</v>
      </c>
      <c r="P112" s="396" t="s">
        <v>301</v>
      </c>
      <c r="Q112" s="401" t="s">
        <v>1121</v>
      </c>
      <c r="R112" s="379" t="s">
        <v>301</v>
      </c>
      <c r="S112" s="373" t="s">
        <v>271</v>
      </c>
      <c r="T112" s="379" t="s">
        <v>301</v>
      </c>
      <c r="U112" s="379" t="s">
        <v>301</v>
      </c>
      <c r="V112" s="379" t="s">
        <v>301</v>
      </c>
      <c r="W112" s="82"/>
    </row>
    <row r="113">
      <c r="A113" s="402">
        <v>2.0</v>
      </c>
      <c r="B113" s="403" t="s">
        <v>298</v>
      </c>
      <c r="C113" s="404" t="s">
        <v>301</v>
      </c>
      <c r="D113" s="405" t="s">
        <v>1058</v>
      </c>
      <c r="E113" s="403" t="s">
        <v>1059</v>
      </c>
      <c r="F113" s="404" t="s">
        <v>301</v>
      </c>
      <c r="G113" s="387" t="s">
        <v>1307</v>
      </c>
      <c r="H113" s="387" t="s">
        <v>1308</v>
      </c>
      <c r="I113" s="387" t="s">
        <v>1309</v>
      </c>
      <c r="J113" s="387" t="s">
        <v>929</v>
      </c>
      <c r="K113" s="406" t="s">
        <v>1116</v>
      </c>
      <c r="L113" s="402" t="s">
        <v>301</v>
      </c>
      <c r="M113" s="402" t="s">
        <v>301</v>
      </c>
      <c r="N113" s="402" t="s">
        <v>301</v>
      </c>
      <c r="O113" s="402" t="s">
        <v>301</v>
      </c>
      <c r="P113" s="402" t="s">
        <v>301</v>
      </c>
      <c r="Q113" s="407" t="s">
        <v>1121</v>
      </c>
      <c r="R113" s="379" t="s">
        <v>301</v>
      </c>
      <c r="S113" s="373" t="s">
        <v>271</v>
      </c>
      <c r="T113" s="379" t="s">
        <v>301</v>
      </c>
      <c r="U113" s="379" t="s">
        <v>301</v>
      </c>
      <c r="V113" s="379" t="s">
        <v>301</v>
      </c>
      <c r="W113" s="82"/>
    </row>
    <row r="114">
      <c r="A114" s="396">
        <v>3.0</v>
      </c>
      <c r="B114" s="397" t="s">
        <v>298</v>
      </c>
      <c r="C114" s="398" t="s">
        <v>301</v>
      </c>
      <c r="D114" s="399" t="s">
        <v>1058</v>
      </c>
      <c r="E114" s="397" t="s">
        <v>1059</v>
      </c>
      <c r="F114" s="398" t="s">
        <v>301</v>
      </c>
      <c r="G114" s="380" t="s">
        <v>1307</v>
      </c>
      <c r="H114" s="380" t="s">
        <v>1308</v>
      </c>
      <c r="I114" s="380" t="s">
        <v>1309</v>
      </c>
      <c r="J114" s="380" t="s">
        <v>1311</v>
      </c>
      <c r="K114" s="400" t="s">
        <v>1118</v>
      </c>
      <c r="L114" s="396" t="s">
        <v>301</v>
      </c>
      <c r="M114" s="396" t="s">
        <v>301</v>
      </c>
      <c r="N114" s="396" t="s">
        <v>301</v>
      </c>
      <c r="O114" s="396" t="s">
        <v>301</v>
      </c>
      <c r="P114" s="396" t="s">
        <v>301</v>
      </c>
      <c r="Q114" s="401" t="s">
        <v>1121</v>
      </c>
      <c r="R114" s="379" t="s">
        <v>301</v>
      </c>
      <c r="S114" s="373" t="s">
        <v>271</v>
      </c>
      <c r="T114" s="379" t="s">
        <v>301</v>
      </c>
      <c r="U114" s="379" t="s">
        <v>301</v>
      </c>
      <c r="V114" s="379" t="s">
        <v>301</v>
      </c>
      <c r="W114" s="82"/>
    </row>
    <row r="115">
      <c r="A115" s="402">
        <v>4.0</v>
      </c>
      <c r="B115" s="403" t="s">
        <v>298</v>
      </c>
      <c r="C115" s="404" t="s">
        <v>301</v>
      </c>
      <c r="D115" s="405" t="s">
        <v>1058</v>
      </c>
      <c r="E115" s="403" t="s">
        <v>1059</v>
      </c>
      <c r="F115" s="404" t="s">
        <v>301</v>
      </c>
      <c r="G115" s="387" t="s">
        <v>1307</v>
      </c>
      <c r="H115" s="387" t="s">
        <v>1308</v>
      </c>
      <c r="I115" s="387" t="s">
        <v>1309</v>
      </c>
      <c r="J115" s="387" t="s">
        <v>1312</v>
      </c>
      <c r="K115" s="406" t="s">
        <v>322</v>
      </c>
      <c r="L115" s="402" t="s">
        <v>301</v>
      </c>
      <c r="M115" s="402" t="s">
        <v>301</v>
      </c>
      <c r="N115" s="402" t="s">
        <v>301</v>
      </c>
      <c r="O115" s="402" t="s">
        <v>301</v>
      </c>
      <c r="P115" s="402" t="s">
        <v>301</v>
      </c>
      <c r="Q115" s="407" t="s">
        <v>1121</v>
      </c>
      <c r="R115" s="379" t="s">
        <v>301</v>
      </c>
      <c r="S115" s="373" t="s">
        <v>271</v>
      </c>
      <c r="T115" s="379" t="s">
        <v>301</v>
      </c>
      <c r="U115" s="379" t="s">
        <v>301</v>
      </c>
      <c r="V115" s="379" t="s">
        <v>301</v>
      </c>
      <c r="W115" s="82"/>
    </row>
    <row r="116">
      <c r="A116" s="396">
        <v>5.0</v>
      </c>
      <c r="B116" s="397" t="s">
        <v>298</v>
      </c>
      <c r="C116" s="398" t="s">
        <v>301</v>
      </c>
      <c r="D116" s="399" t="s">
        <v>1058</v>
      </c>
      <c r="E116" s="397" t="s">
        <v>1059</v>
      </c>
      <c r="F116" s="398" t="s">
        <v>301</v>
      </c>
      <c r="G116" s="380" t="s">
        <v>1313</v>
      </c>
      <c r="H116" s="380" t="s">
        <v>1308</v>
      </c>
      <c r="I116" s="380" t="s">
        <v>1309</v>
      </c>
      <c r="J116" s="380" t="s">
        <v>1314</v>
      </c>
      <c r="K116" s="400" t="s">
        <v>322</v>
      </c>
      <c r="L116" s="396" t="s">
        <v>301</v>
      </c>
      <c r="M116" s="396" t="s">
        <v>301</v>
      </c>
      <c r="N116" s="396" t="s">
        <v>301</v>
      </c>
      <c r="O116" s="396" t="s">
        <v>301</v>
      </c>
      <c r="P116" s="396" t="s">
        <v>301</v>
      </c>
      <c r="Q116" s="401" t="s">
        <v>1121</v>
      </c>
      <c r="R116" s="379" t="s">
        <v>301</v>
      </c>
      <c r="S116" s="373" t="s">
        <v>271</v>
      </c>
      <c r="T116" s="379" t="s">
        <v>301</v>
      </c>
      <c r="U116" s="379" t="s">
        <v>301</v>
      </c>
      <c r="V116" s="379" t="s">
        <v>301</v>
      </c>
      <c r="W116" s="82"/>
    </row>
    <row r="117">
      <c r="A117" s="402">
        <v>6.0</v>
      </c>
      <c r="B117" s="403" t="s">
        <v>298</v>
      </c>
      <c r="C117" s="404" t="s">
        <v>301</v>
      </c>
      <c r="D117" s="405" t="s">
        <v>1058</v>
      </c>
      <c r="E117" s="403" t="s">
        <v>1059</v>
      </c>
      <c r="F117" s="404" t="s">
        <v>301</v>
      </c>
      <c r="G117" s="387" t="s">
        <v>1313</v>
      </c>
      <c r="H117" s="387" t="s">
        <v>1308</v>
      </c>
      <c r="I117" s="387" t="s">
        <v>1309</v>
      </c>
      <c r="J117" s="387" t="s">
        <v>1315</v>
      </c>
      <c r="K117" s="406" t="s">
        <v>1114</v>
      </c>
      <c r="L117" s="402" t="s">
        <v>301</v>
      </c>
      <c r="M117" s="402" t="s">
        <v>301</v>
      </c>
      <c r="N117" s="402" t="s">
        <v>301</v>
      </c>
      <c r="O117" s="402" t="s">
        <v>301</v>
      </c>
      <c r="P117" s="402" t="s">
        <v>301</v>
      </c>
      <c r="Q117" s="407" t="s">
        <v>1121</v>
      </c>
      <c r="R117" s="379" t="s">
        <v>301</v>
      </c>
      <c r="S117" s="373" t="s">
        <v>271</v>
      </c>
      <c r="T117" s="379" t="s">
        <v>301</v>
      </c>
      <c r="U117" s="379" t="s">
        <v>301</v>
      </c>
      <c r="V117" s="379" t="s">
        <v>301</v>
      </c>
      <c r="W117" s="82"/>
    </row>
    <row r="118">
      <c r="A118" s="396">
        <v>7.0</v>
      </c>
      <c r="B118" s="397" t="s">
        <v>298</v>
      </c>
      <c r="C118" s="398" t="s">
        <v>301</v>
      </c>
      <c r="D118" s="399" t="s">
        <v>1058</v>
      </c>
      <c r="E118" s="397" t="s">
        <v>1059</v>
      </c>
      <c r="F118" s="398" t="s">
        <v>301</v>
      </c>
      <c r="G118" s="380" t="s">
        <v>1316</v>
      </c>
      <c r="H118" s="380" t="s">
        <v>1308</v>
      </c>
      <c r="I118" s="380" t="s">
        <v>1309</v>
      </c>
      <c r="J118" s="380" t="s">
        <v>1244</v>
      </c>
      <c r="K118" s="400" t="s">
        <v>1243</v>
      </c>
      <c r="L118" s="396" t="s">
        <v>301</v>
      </c>
      <c r="M118" s="396" t="s">
        <v>301</v>
      </c>
      <c r="N118" s="396" t="s">
        <v>301</v>
      </c>
      <c r="O118" s="396" t="s">
        <v>301</v>
      </c>
      <c r="P118" s="396" t="s">
        <v>301</v>
      </c>
      <c r="Q118" s="401" t="s">
        <v>1121</v>
      </c>
      <c r="R118" s="379" t="s">
        <v>301</v>
      </c>
      <c r="S118" s="373" t="s">
        <v>271</v>
      </c>
      <c r="T118" s="373" t="s">
        <v>271</v>
      </c>
      <c r="U118" s="379" t="s">
        <v>301</v>
      </c>
      <c r="V118" s="379" t="s">
        <v>301</v>
      </c>
      <c r="W118" s="82"/>
    </row>
    <row r="119">
      <c r="A119" s="402">
        <v>8.0</v>
      </c>
      <c r="B119" s="403" t="s">
        <v>298</v>
      </c>
      <c r="C119" s="404" t="s">
        <v>301</v>
      </c>
      <c r="D119" s="405" t="s">
        <v>1084</v>
      </c>
      <c r="E119" s="403" t="s">
        <v>1317</v>
      </c>
      <c r="F119" s="404" t="s">
        <v>301</v>
      </c>
      <c r="G119" s="387" t="s">
        <v>1318</v>
      </c>
      <c r="H119" s="387" t="s">
        <v>1319</v>
      </c>
      <c r="I119" s="387" t="s">
        <v>1320</v>
      </c>
      <c r="J119" s="387" t="s">
        <v>1321</v>
      </c>
      <c r="K119" s="408" t="s">
        <v>1322</v>
      </c>
      <c r="L119" s="402" t="s">
        <v>301</v>
      </c>
      <c r="M119" s="402" t="s">
        <v>301</v>
      </c>
      <c r="N119" s="402" t="s">
        <v>301</v>
      </c>
      <c r="O119" s="402" t="s">
        <v>301</v>
      </c>
      <c r="P119" s="402" t="s">
        <v>301</v>
      </c>
      <c r="Q119" s="407" t="s">
        <v>1121</v>
      </c>
      <c r="R119" s="373" t="s">
        <v>271</v>
      </c>
      <c r="S119" s="379" t="s">
        <v>301</v>
      </c>
      <c r="T119" s="373" t="s">
        <v>271</v>
      </c>
      <c r="U119" s="379" t="s">
        <v>301</v>
      </c>
      <c r="V119" s="379" t="s">
        <v>301</v>
      </c>
      <c r="W119" s="82"/>
    </row>
    <row r="120">
      <c r="A120" s="396">
        <v>9.0</v>
      </c>
      <c r="B120" s="397" t="s">
        <v>298</v>
      </c>
      <c r="C120" s="398" t="s">
        <v>301</v>
      </c>
      <c r="D120" s="399" t="s">
        <v>1084</v>
      </c>
      <c r="E120" s="397" t="s">
        <v>1317</v>
      </c>
      <c r="F120" s="398" t="s">
        <v>301</v>
      </c>
      <c r="G120" s="380" t="s">
        <v>1318</v>
      </c>
      <c r="H120" s="380" t="s">
        <v>1319</v>
      </c>
      <c r="I120" s="380" t="s">
        <v>1320</v>
      </c>
      <c r="J120" s="380" t="s">
        <v>1323</v>
      </c>
      <c r="K120" s="400" t="s">
        <v>1324</v>
      </c>
      <c r="L120" s="396" t="s">
        <v>301</v>
      </c>
      <c r="M120" s="396" t="s">
        <v>301</v>
      </c>
      <c r="N120" s="396" t="s">
        <v>301</v>
      </c>
      <c r="O120" s="396" t="s">
        <v>301</v>
      </c>
      <c r="P120" s="396" t="s">
        <v>301</v>
      </c>
      <c r="Q120" s="401" t="s">
        <v>1121</v>
      </c>
      <c r="R120" s="373" t="s">
        <v>271</v>
      </c>
      <c r="S120" s="379" t="s">
        <v>301</v>
      </c>
      <c r="T120" s="373" t="s">
        <v>271</v>
      </c>
      <c r="U120" s="379" t="s">
        <v>301</v>
      </c>
      <c r="V120" s="379" t="s">
        <v>301</v>
      </c>
      <c r="W120" s="82"/>
    </row>
    <row r="121">
      <c r="A121" s="402">
        <v>10.0</v>
      </c>
      <c r="B121" s="403" t="s">
        <v>298</v>
      </c>
      <c r="C121" s="404" t="s">
        <v>301</v>
      </c>
      <c r="D121" s="405" t="s">
        <v>1084</v>
      </c>
      <c r="E121" s="403" t="s">
        <v>1317</v>
      </c>
      <c r="F121" s="404" t="s">
        <v>301</v>
      </c>
      <c r="G121" s="387" t="s">
        <v>1318</v>
      </c>
      <c r="H121" s="387" t="s">
        <v>1319</v>
      </c>
      <c r="I121" s="387" t="s">
        <v>1320</v>
      </c>
      <c r="J121" s="387" t="s">
        <v>1325</v>
      </c>
      <c r="K121" s="406" t="s">
        <v>1326</v>
      </c>
      <c r="L121" s="402" t="s">
        <v>301</v>
      </c>
      <c r="M121" s="402" t="s">
        <v>301</v>
      </c>
      <c r="N121" s="402" t="s">
        <v>301</v>
      </c>
      <c r="O121" s="402" t="s">
        <v>301</v>
      </c>
      <c r="P121" s="402" t="s">
        <v>301</v>
      </c>
      <c r="Q121" s="407" t="s">
        <v>1121</v>
      </c>
      <c r="R121" s="373" t="s">
        <v>271</v>
      </c>
      <c r="S121" s="379" t="s">
        <v>301</v>
      </c>
      <c r="T121" s="373" t="s">
        <v>271</v>
      </c>
      <c r="U121" s="379" t="s">
        <v>301</v>
      </c>
      <c r="V121" s="379" t="s">
        <v>301</v>
      </c>
      <c r="W121" s="82"/>
    </row>
    <row r="122">
      <c r="A122" s="396">
        <v>11.0</v>
      </c>
      <c r="B122" s="397" t="s">
        <v>298</v>
      </c>
      <c r="C122" s="398" t="s">
        <v>301</v>
      </c>
      <c r="D122" s="399" t="s">
        <v>1084</v>
      </c>
      <c r="E122" s="397" t="s">
        <v>1317</v>
      </c>
      <c r="F122" s="398" t="s">
        <v>301</v>
      </c>
      <c r="G122" s="380" t="s">
        <v>1318</v>
      </c>
      <c r="H122" s="380" t="s">
        <v>1319</v>
      </c>
      <c r="I122" s="380" t="s">
        <v>1320</v>
      </c>
      <c r="J122" s="380" t="s">
        <v>1327</v>
      </c>
      <c r="K122" s="400" t="s">
        <v>1217</v>
      </c>
      <c r="L122" s="396" t="s">
        <v>301</v>
      </c>
      <c r="M122" s="396" t="s">
        <v>301</v>
      </c>
      <c r="N122" s="396" t="s">
        <v>301</v>
      </c>
      <c r="O122" s="396" t="s">
        <v>301</v>
      </c>
      <c r="P122" s="396" t="s">
        <v>301</v>
      </c>
      <c r="Q122" s="401" t="s">
        <v>1121</v>
      </c>
      <c r="R122" s="373" t="s">
        <v>271</v>
      </c>
      <c r="S122" s="379" t="s">
        <v>301</v>
      </c>
      <c r="T122" s="373" t="s">
        <v>271</v>
      </c>
      <c r="U122" s="379" t="s">
        <v>301</v>
      </c>
      <c r="V122" s="379" t="s">
        <v>301</v>
      </c>
      <c r="W122" s="82"/>
    </row>
    <row r="123">
      <c r="A123" s="402">
        <v>12.0</v>
      </c>
      <c r="B123" s="403" t="s">
        <v>298</v>
      </c>
      <c r="C123" s="404" t="s">
        <v>301</v>
      </c>
      <c r="D123" s="405" t="s">
        <v>1084</v>
      </c>
      <c r="E123" s="403" t="s">
        <v>1317</v>
      </c>
      <c r="F123" s="404" t="s">
        <v>301</v>
      </c>
      <c r="G123" s="387" t="s">
        <v>1328</v>
      </c>
      <c r="H123" s="387" t="s">
        <v>1329</v>
      </c>
      <c r="I123" s="387" t="s">
        <v>1330</v>
      </c>
      <c r="J123" s="387" t="s">
        <v>1331</v>
      </c>
      <c r="K123" s="406" t="s">
        <v>1332</v>
      </c>
      <c r="L123" s="402" t="s">
        <v>301</v>
      </c>
      <c r="M123" s="402" t="s">
        <v>301</v>
      </c>
      <c r="N123" s="402" t="s">
        <v>301</v>
      </c>
      <c r="O123" s="402" t="s">
        <v>301</v>
      </c>
      <c r="P123" s="402" t="s">
        <v>301</v>
      </c>
      <c r="Q123" s="407" t="s">
        <v>1121</v>
      </c>
      <c r="R123" s="373" t="s">
        <v>271</v>
      </c>
      <c r="S123" s="373" t="s">
        <v>271</v>
      </c>
      <c r="T123" s="373" t="s">
        <v>271</v>
      </c>
      <c r="U123" s="379" t="s">
        <v>301</v>
      </c>
      <c r="V123" s="379" t="s">
        <v>301</v>
      </c>
      <c r="W123" s="82"/>
    </row>
    <row r="124">
      <c r="A124" s="396">
        <v>13.0</v>
      </c>
      <c r="B124" s="397" t="s">
        <v>298</v>
      </c>
      <c r="C124" s="398" t="s">
        <v>301</v>
      </c>
      <c r="D124" s="399" t="s">
        <v>1084</v>
      </c>
      <c r="E124" s="397" t="s">
        <v>1317</v>
      </c>
      <c r="F124" s="398" t="s">
        <v>301</v>
      </c>
      <c r="G124" s="380" t="s">
        <v>1333</v>
      </c>
      <c r="H124" s="380" t="s">
        <v>1334</v>
      </c>
      <c r="I124" s="380" t="s">
        <v>1335</v>
      </c>
      <c r="J124" s="380" t="s">
        <v>1336</v>
      </c>
      <c r="K124" s="400" t="s">
        <v>1337</v>
      </c>
      <c r="L124" s="396" t="s">
        <v>301</v>
      </c>
      <c r="M124" s="396" t="s">
        <v>301</v>
      </c>
      <c r="N124" s="396" t="s">
        <v>301</v>
      </c>
      <c r="O124" s="396" t="s">
        <v>301</v>
      </c>
      <c r="P124" s="396" t="s">
        <v>301</v>
      </c>
      <c r="Q124" s="401" t="s">
        <v>1121</v>
      </c>
      <c r="R124" s="373" t="s">
        <v>271</v>
      </c>
      <c r="S124" s="373" t="s">
        <v>271</v>
      </c>
      <c r="T124" s="373" t="s">
        <v>271</v>
      </c>
      <c r="U124" s="379" t="s">
        <v>301</v>
      </c>
      <c r="V124" s="379" t="s">
        <v>301</v>
      </c>
      <c r="W124" s="82"/>
    </row>
    <row r="125">
      <c r="A125" s="409"/>
      <c r="B125" s="410"/>
      <c r="C125" s="409"/>
      <c r="D125" s="409"/>
      <c r="E125" s="411"/>
      <c r="F125" s="409"/>
      <c r="G125" s="411"/>
      <c r="H125" s="411"/>
      <c r="I125" s="411"/>
      <c r="J125" s="411"/>
      <c r="K125" s="409"/>
      <c r="L125" s="412">
        <f t="shared" ref="L125:P125" si="4">COUNTIF(L6:L124,"Y")</f>
        <v>113</v>
      </c>
      <c r="M125" s="412">
        <f t="shared" si="4"/>
        <v>113</v>
      </c>
      <c r="N125" s="412">
        <f t="shared" si="4"/>
        <v>106</v>
      </c>
      <c r="O125" s="412">
        <f t="shared" si="4"/>
        <v>109</v>
      </c>
      <c r="P125" s="412">
        <f t="shared" si="4"/>
        <v>108</v>
      </c>
      <c r="Q125" s="411"/>
      <c r="R125" s="412">
        <f t="shared" ref="R125:V125" si="5">COUNTIF(R6:R110,"Y")</f>
        <v>100</v>
      </c>
      <c r="S125" s="412">
        <f t="shared" si="5"/>
        <v>100</v>
      </c>
      <c r="T125" s="412">
        <f t="shared" si="5"/>
        <v>93</v>
      </c>
      <c r="U125" s="412">
        <f t="shared" si="5"/>
        <v>96</v>
      </c>
      <c r="V125" s="412">
        <f t="shared" si="5"/>
        <v>95</v>
      </c>
      <c r="W125" s="411"/>
    </row>
    <row r="126">
      <c r="A126" s="409"/>
      <c r="B126" s="410"/>
      <c r="C126" s="409"/>
      <c r="D126" s="409"/>
      <c r="E126" s="411"/>
      <c r="F126" s="409"/>
      <c r="G126" s="411"/>
      <c r="H126" s="411"/>
      <c r="I126" s="411"/>
      <c r="J126" s="411"/>
      <c r="K126" s="409"/>
      <c r="L126" s="412">
        <f t="shared" ref="L126:P126" si="6">COUNTA(L6:L124)</f>
        <v>115</v>
      </c>
      <c r="M126" s="412">
        <f t="shared" si="6"/>
        <v>115</v>
      </c>
      <c r="N126" s="412">
        <f t="shared" si="6"/>
        <v>115</v>
      </c>
      <c r="O126" s="412">
        <f t="shared" si="6"/>
        <v>115</v>
      </c>
      <c r="P126" s="412">
        <f t="shared" si="6"/>
        <v>115</v>
      </c>
      <c r="Q126" s="411"/>
      <c r="R126" s="412">
        <f t="shared" ref="R126:V126" si="7">COUNTA(R6:R110)</f>
        <v>102</v>
      </c>
      <c r="S126" s="412">
        <f t="shared" si="7"/>
        <v>102</v>
      </c>
      <c r="T126" s="412">
        <f t="shared" si="7"/>
        <v>102</v>
      </c>
      <c r="U126" s="412">
        <f t="shared" si="7"/>
        <v>102</v>
      </c>
      <c r="V126" s="412">
        <f t="shared" si="7"/>
        <v>102</v>
      </c>
      <c r="W126" s="411"/>
    </row>
    <row r="127">
      <c r="A127" s="409"/>
      <c r="B127" s="410"/>
      <c r="C127" s="409"/>
      <c r="D127" s="409"/>
      <c r="E127" s="411"/>
      <c r="F127" s="409"/>
      <c r="G127" s="413"/>
      <c r="H127" s="413"/>
      <c r="I127" s="413"/>
      <c r="J127" s="413"/>
      <c r="K127" s="414"/>
      <c r="L127" s="415">
        <f t="shared" ref="L127:P127" si="8">L125/L126</f>
        <v>0.9826086957</v>
      </c>
      <c r="M127" s="415">
        <f t="shared" si="8"/>
        <v>0.9826086957</v>
      </c>
      <c r="N127" s="415">
        <f t="shared" si="8"/>
        <v>0.9217391304</v>
      </c>
      <c r="O127" s="415">
        <f t="shared" si="8"/>
        <v>0.947826087</v>
      </c>
      <c r="P127" s="415">
        <f t="shared" si="8"/>
        <v>0.9391304348</v>
      </c>
      <c r="Q127" s="413"/>
      <c r="R127" s="415">
        <f t="shared" ref="R127:V127" si="9">R125/R126</f>
        <v>0.9803921569</v>
      </c>
      <c r="S127" s="415">
        <f t="shared" si="9"/>
        <v>0.9803921569</v>
      </c>
      <c r="T127" s="415">
        <f t="shared" si="9"/>
        <v>0.9117647059</v>
      </c>
      <c r="U127" s="415">
        <f t="shared" si="9"/>
        <v>0.9411764706</v>
      </c>
      <c r="V127" s="415">
        <f t="shared" si="9"/>
        <v>0.931372549</v>
      </c>
      <c r="W127" s="413"/>
    </row>
    <row r="128">
      <c r="A128" s="416"/>
      <c r="B128" s="293"/>
      <c r="C128" s="417"/>
      <c r="D128" s="291"/>
      <c r="E128" s="293"/>
      <c r="F128" s="417"/>
      <c r="G128" s="293"/>
      <c r="H128" s="293"/>
      <c r="I128" s="293"/>
      <c r="J128" s="293"/>
      <c r="K128" s="416"/>
    </row>
    <row r="129">
      <c r="A129" s="416"/>
      <c r="B129" s="293"/>
      <c r="C129" s="417"/>
      <c r="D129" s="291"/>
      <c r="E129" s="293"/>
      <c r="F129" s="417"/>
      <c r="G129" s="293"/>
      <c r="H129" s="293"/>
      <c r="I129" s="293"/>
      <c r="J129" s="293"/>
      <c r="K129" s="416"/>
    </row>
    <row r="130">
      <c r="A130" s="416"/>
      <c r="B130" s="293"/>
      <c r="C130" s="417"/>
      <c r="D130" s="291"/>
      <c r="E130" s="293"/>
      <c r="F130" s="417"/>
      <c r="G130" s="293"/>
      <c r="H130" s="293"/>
      <c r="I130" s="293"/>
      <c r="J130" s="293"/>
      <c r="K130" s="416"/>
    </row>
    <row r="131">
      <c r="A131" s="416"/>
      <c r="B131" s="293"/>
      <c r="C131" s="417"/>
      <c r="D131" s="291"/>
      <c r="E131" s="293">
        <v>62.0</v>
      </c>
      <c r="F131" s="417">
        <v>21.0</v>
      </c>
      <c r="G131" s="293">
        <f>SUM(E131:F131)</f>
        <v>83</v>
      </c>
      <c r="H131" s="293"/>
      <c r="I131" s="293"/>
      <c r="J131" s="293"/>
      <c r="K131" s="416"/>
    </row>
    <row r="132">
      <c r="A132" s="416"/>
      <c r="B132" s="293"/>
      <c r="C132" s="417"/>
      <c r="D132" s="291"/>
      <c r="E132" s="293"/>
      <c r="F132" s="417"/>
      <c r="G132" s="293"/>
      <c r="H132" s="293"/>
      <c r="I132" s="293"/>
      <c r="J132" s="293"/>
      <c r="K132" s="416"/>
    </row>
    <row r="133">
      <c r="A133" s="416"/>
      <c r="B133" s="293"/>
      <c r="C133" s="417"/>
      <c r="D133" s="291"/>
      <c r="E133" s="293"/>
      <c r="F133" s="417"/>
      <c r="G133" s="293"/>
      <c r="H133" s="293"/>
      <c r="I133" s="293"/>
      <c r="J133" s="293"/>
      <c r="K133" s="416"/>
    </row>
    <row r="134">
      <c r="A134" s="416"/>
      <c r="B134" s="293"/>
      <c r="C134" s="417"/>
      <c r="D134" s="291"/>
      <c r="E134" s="293"/>
      <c r="F134" s="417"/>
      <c r="G134" s="293"/>
      <c r="H134" s="293"/>
      <c r="I134" s="293"/>
      <c r="J134" s="293"/>
      <c r="K134" s="416"/>
    </row>
    <row r="135">
      <c r="A135" s="416"/>
      <c r="B135" s="293"/>
      <c r="C135" s="417"/>
      <c r="D135" s="291"/>
      <c r="E135" s="293"/>
      <c r="F135" s="417"/>
      <c r="G135" s="293"/>
      <c r="H135" s="293"/>
      <c r="I135" s="293"/>
      <c r="J135" s="293"/>
      <c r="K135" s="416"/>
    </row>
    <row r="136">
      <c r="A136" s="416"/>
      <c r="B136" s="293"/>
      <c r="C136" s="417"/>
      <c r="D136" s="291"/>
      <c r="E136" s="293"/>
      <c r="F136" s="417"/>
      <c r="G136" s="293"/>
      <c r="H136" s="293"/>
      <c r="I136" s="293"/>
      <c r="J136" s="293"/>
      <c r="K136" s="416"/>
    </row>
    <row r="137">
      <c r="A137" s="416"/>
      <c r="B137" s="293"/>
      <c r="C137" s="417"/>
      <c r="D137" s="291"/>
      <c r="E137" s="293"/>
      <c r="F137" s="417"/>
      <c r="G137" s="293"/>
      <c r="H137" s="293"/>
      <c r="I137" s="293"/>
      <c r="J137" s="293"/>
      <c r="K137" s="416"/>
    </row>
    <row r="138">
      <c r="A138" s="416"/>
      <c r="B138" s="293"/>
      <c r="C138" s="417"/>
      <c r="D138" s="291"/>
      <c r="E138" s="293"/>
      <c r="F138" s="417"/>
      <c r="G138" s="293"/>
      <c r="H138" s="293"/>
      <c r="I138" s="293"/>
      <c r="J138" s="293"/>
      <c r="K138" s="416"/>
    </row>
    <row r="139">
      <c r="A139" s="416"/>
      <c r="B139" s="293"/>
      <c r="C139" s="417"/>
      <c r="D139" s="291"/>
      <c r="E139" s="293"/>
      <c r="F139" s="417"/>
      <c r="G139" s="293"/>
      <c r="H139" s="293"/>
      <c r="I139" s="293"/>
      <c r="J139" s="293"/>
      <c r="K139" s="416"/>
    </row>
    <row r="140">
      <c r="A140" s="416"/>
      <c r="B140" s="293"/>
      <c r="C140" s="417"/>
      <c r="D140" s="291"/>
      <c r="E140" s="293"/>
      <c r="F140" s="417"/>
      <c r="G140" s="293"/>
      <c r="H140" s="293"/>
      <c r="I140" s="293"/>
      <c r="J140" s="293"/>
      <c r="K140" s="416"/>
    </row>
    <row r="141">
      <c r="A141" s="416"/>
      <c r="B141" s="293"/>
      <c r="C141" s="417"/>
      <c r="D141" s="291"/>
      <c r="E141" s="293"/>
      <c r="F141" s="417"/>
      <c r="G141" s="293"/>
      <c r="H141" s="293"/>
      <c r="I141" s="293"/>
      <c r="J141" s="293"/>
      <c r="K141" s="416"/>
    </row>
    <row r="142">
      <c r="A142" s="416"/>
      <c r="B142" s="293"/>
      <c r="C142" s="417"/>
      <c r="D142" s="291"/>
      <c r="E142" s="293"/>
      <c r="F142" s="417"/>
      <c r="G142" s="293"/>
      <c r="H142" s="293"/>
      <c r="I142" s="293"/>
      <c r="J142" s="293"/>
      <c r="K142" s="416"/>
    </row>
    <row r="143">
      <c r="A143" s="416"/>
      <c r="B143" s="293"/>
      <c r="C143" s="417"/>
      <c r="D143" s="291"/>
      <c r="E143" s="293"/>
      <c r="F143" s="417"/>
      <c r="G143" s="293"/>
      <c r="H143" s="293"/>
      <c r="I143" s="293"/>
      <c r="J143" s="293"/>
      <c r="K143" s="416"/>
    </row>
    <row r="144">
      <c r="A144" s="416"/>
      <c r="B144" s="293"/>
      <c r="C144" s="417"/>
      <c r="D144" s="291"/>
      <c r="E144" s="293"/>
      <c r="F144" s="417"/>
      <c r="G144" s="293"/>
      <c r="H144" s="293"/>
      <c r="I144" s="293"/>
      <c r="J144" s="293"/>
      <c r="K144" s="416"/>
    </row>
    <row r="145">
      <c r="A145" s="416"/>
      <c r="B145" s="293"/>
      <c r="C145" s="417"/>
      <c r="D145" s="291"/>
      <c r="E145" s="293"/>
      <c r="F145" s="417"/>
      <c r="G145" s="293"/>
      <c r="H145" s="293"/>
      <c r="I145" s="293"/>
      <c r="J145" s="293"/>
      <c r="K145" s="416"/>
    </row>
    <row r="146">
      <c r="A146" s="416"/>
      <c r="B146" s="293"/>
      <c r="C146" s="417"/>
      <c r="D146" s="291"/>
      <c r="E146" s="293"/>
      <c r="F146" s="417"/>
      <c r="G146" s="293"/>
      <c r="H146" s="293"/>
      <c r="I146" s="293"/>
      <c r="J146" s="293"/>
      <c r="K146" s="416"/>
    </row>
    <row r="147">
      <c r="A147" s="416"/>
      <c r="B147" s="293"/>
      <c r="C147" s="417"/>
      <c r="D147" s="291"/>
      <c r="E147" s="293"/>
      <c r="F147" s="417"/>
      <c r="G147" s="293"/>
      <c r="H147" s="293"/>
      <c r="I147" s="293"/>
      <c r="J147" s="293"/>
      <c r="K147" s="416"/>
    </row>
    <row r="148">
      <c r="A148" s="416"/>
      <c r="B148" s="293"/>
      <c r="C148" s="417"/>
      <c r="D148" s="291"/>
      <c r="E148" s="293"/>
      <c r="F148" s="417"/>
      <c r="G148" s="293"/>
      <c r="H148" s="293"/>
      <c r="I148" s="293"/>
      <c r="J148" s="293"/>
      <c r="K148" s="416"/>
    </row>
    <row r="149">
      <c r="A149" s="416"/>
      <c r="B149" s="293"/>
      <c r="C149" s="417"/>
      <c r="D149" s="291"/>
      <c r="E149" s="293"/>
      <c r="F149" s="417"/>
      <c r="G149" s="293"/>
      <c r="H149" s="293"/>
      <c r="I149" s="293"/>
      <c r="J149" s="293"/>
      <c r="K149" s="416"/>
    </row>
    <row r="150">
      <c r="A150" s="416"/>
      <c r="B150" s="293"/>
      <c r="C150" s="417"/>
      <c r="D150" s="291"/>
      <c r="E150" s="293"/>
      <c r="F150" s="417"/>
      <c r="G150" s="293"/>
      <c r="H150" s="293"/>
      <c r="I150" s="293"/>
      <c r="J150" s="293"/>
      <c r="K150" s="416"/>
    </row>
    <row r="151">
      <c r="A151" s="416"/>
      <c r="B151" s="293"/>
      <c r="C151" s="417"/>
      <c r="D151" s="291"/>
      <c r="E151" s="293"/>
      <c r="F151" s="417"/>
      <c r="G151" s="293"/>
      <c r="H151" s="293"/>
      <c r="I151" s="293"/>
      <c r="J151" s="293"/>
      <c r="K151" s="416"/>
    </row>
    <row r="152">
      <c r="A152" s="416"/>
      <c r="B152" s="293"/>
      <c r="C152" s="417"/>
      <c r="D152" s="291"/>
      <c r="E152" s="293"/>
      <c r="F152" s="417"/>
      <c r="G152" s="293"/>
      <c r="H152" s="293"/>
      <c r="I152" s="293"/>
      <c r="J152" s="293"/>
      <c r="K152" s="416"/>
    </row>
    <row r="153">
      <c r="A153" s="416"/>
      <c r="B153" s="293"/>
      <c r="C153" s="417"/>
      <c r="D153" s="291"/>
      <c r="E153" s="293"/>
      <c r="F153" s="417"/>
      <c r="G153" s="293"/>
      <c r="H153" s="293"/>
      <c r="I153" s="293"/>
      <c r="J153" s="293"/>
      <c r="K153" s="416"/>
    </row>
    <row r="154">
      <c r="A154" s="416"/>
      <c r="B154" s="293"/>
      <c r="C154" s="417"/>
      <c r="D154" s="291"/>
      <c r="E154" s="293"/>
      <c r="F154" s="417"/>
      <c r="G154" s="293"/>
      <c r="H154" s="293"/>
      <c r="I154" s="293"/>
      <c r="J154" s="293"/>
      <c r="K154" s="416"/>
    </row>
    <row r="155">
      <c r="A155" s="416"/>
      <c r="B155" s="293"/>
      <c r="C155" s="417"/>
      <c r="D155" s="291"/>
      <c r="E155" s="293"/>
      <c r="F155" s="417"/>
      <c r="G155" s="293"/>
      <c r="H155" s="293"/>
      <c r="I155" s="293"/>
      <c r="J155" s="293"/>
      <c r="K155" s="416"/>
    </row>
    <row r="156">
      <c r="A156" s="416"/>
      <c r="B156" s="293"/>
      <c r="C156" s="417"/>
      <c r="D156" s="291"/>
      <c r="E156" s="293"/>
      <c r="F156" s="417"/>
      <c r="G156" s="293"/>
      <c r="H156" s="293"/>
      <c r="I156" s="293"/>
      <c r="J156" s="293"/>
      <c r="K156" s="416"/>
    </row>
    <row r="157">
      <c r="A157" s="416"/>
      <c r="B157" s="293"/>
      <c r="C157" s="417"/>
      <c r="D157" s="291"/>
      <c r="E157" s="293"/>
      <c r="F157" s="417"/>
      <c r="G157" s="293"/>
      <c r="H157" s="293"/>
      <c r="I157" s="293"/>
      <c r="J157" s="293"/>
      <c r="K157" s="416"/>
    </row>
    <row r="158">
      <c r="A158" s="416"/>
      <c r="B158" s="293"/>
      <c r="C158" s="417"/>
      <c r="D158" s="291"/>
      <c r="E158" s="293"/>
      <c r="F158" s="417"/>
      <c r="G158" s="293"/>
      <c r="H158" s="293"/>
      <c r="I158" s="293"/>
      <c r="J158" s="293"/>
      <c r="K158" s="416"/>
    </row>
    <row r="159">
      <c r="A159" s="416"/>
      <c r="B159" s="293"/>
      <c r="C159" s="417"/>
      <c r="D159" s="291"/>
      <c r="E159" s="293"/>
      <c r="F159" s="417"/>
      <c r="G159" s="293"/>
      <c r="H159" s="293"/>
      <c r="I159" s="293"/>
      <c r="J159" s="293"/>
      <c r="K159" s="416"/>
    </row>
    <row r="160">
      <c r="A160" s="416"/>
      <c r="B160" s="293"/>
      <c r="C160" s="417"/>
      <c r="D160" s="291"/>
      <c r="E160" s="293"/>
      <c r="F160" s="417"/>
      <c r="G160" s="293"/>
      <c r="H160" s="293"/>
      <c r="I160" s="293"/>
      <c r="J160" s="293"/>
      <c r="K160" s="416"/>
    </row>
    <row r="161">
      <c r="A161" s="416"/>
      <c r="B161" s="293"/>
      <c r="C161" s="417"/>
      <c r="D161" s="291"/>
      <c r="E161" s="293"/>
      <c r="F161" s="417"/>
      <c r="G161" s="293"/>
      <c r="H161" s="293"/>
      <c r="I161" s="293"/>
      <c r="J161" s="293"/>
      <c r="K161" s="416"/>
    </row>
    <row r="162">
      <c r="A162" s="416"/>
      <c r="B162" s="293"/>
      <c r="C162" s="417"/>
      <c r="D162" s="291"/>
      <c r="E162" s="293"/>
      <c r="F162" s="417"/>
      <c r="G162" s="293"/>
      <c r="H162" s="293"/>
      <c r="I162" s="293"/>
      <c r="J162" s="293"/>
      <c r="K162" s="416"/>
    </row>
    <row r="163">
      <c r="A163" s="416"/>
      <c r="B163" s="293"/>
      <c r="C163" s="417"/>
      <c r="D163" s="291"/>
      <c r="E163" s="293"/>
      <c r="F163" s="417"/>
      <c r="G163" s="293"/>
      <c r="H163" s="293"/>
      <c r="I163" s="293"/>
      <c r="J163" s="293"/>
      <c r="K163" s="416"/>
    </row>
    <row r="164">
      <c r="A164" s="416"/>
      <c r="B164" s="293"/>
      <c r="C164" s="417"/>
      <c r="D164" s="291"/>
      <c r="E164" s="293"/>
      <c r="F164" s="417"/>
      <c r="G164" s="293"/>
      <c r="H164" s="293"/>
      <c r="I164" s="293"/>
      <c r="J164" s="293"/>
      <c r="K164" s="416"/>
    </row>
    <row r="165">
      <c r="A165" s="416"/>
      <c r="B165" s="293"/>
      <c r="C165" s="417"/>
      <c r="D165" s="291"/>
      <c r="E165" s="293"/>
      <c r="F165" s="417"/>
      <c r="G165" s="293"/>
      <c r="H165" s="293"/>
      <c r="I165" s="293"/>
      <c r="J165" s="293"/>
      <c r="K165" s="416"/>
    </row>
    <row r="166">
      <c r="A166" s="416"/>
      <c r="B166" s="293"/>
      <c r="C166" s="417"/>
      <c r="D166" s="291"/>
      <c r="E166" s="293"/>
      <c r="F166" s="417"/>
      <c r="G166" s="293"/>
      <c r="H166" s="293"/>
      <c r="I166" s="293"/>
      <c r="J166" s="293"/>
      <c r="K166" s="416"/>
    </row>
    <row r="167">
      <c r="A167" s="416"/>
      <c r="B167" s="293"/>
      <c r="C167" s="417"/>
      <c r="D167" s="291"/>
      <c r="E167" s="293"/>
      <c r="F167" s="417"/>
      <c r="G167" s="293"/>
      <c r="H167" s="293"/>
      <c r="I167" s="293"/>
      <c r="J167" s="293"/>
      <c r="K167" s="416"/>
    </row>
    <row r="168">
      <c r="A168" s="416"/>
      <c r="B168" s="293"/>
      <c r="C168" s="417"/>
      <c r="D168" s="291"/>
      <c r="E168" s="293"/>
      <c r="F168" s="417"/>
      <c r="G168" s="293"/>
      <c r="H168" s="293"/>
      <c r="I168" s="293"/>
      <c r="J168" s="293"/>
      <c r="K168" s="416"/>
    </row>
    <row r="169">
      <c r="A169" s="416"/>
      <c r="B169" s="293"/>
      <c r="C169" s="417"/>
      <c r="D169" s="291"/>
      <c r="E169" s="293"/>
      <c r="F169" s="417"/>
      <c r="G169" s="293"/>
      <c r="H169" s="293"/>
      <c r="I169" s="293"/>
      <c r="J169" s="293"/>
      <c r="K169" s="416"/>
    </row>
    <row r="170">
      <c r="A170" s="416"/>
      <c r="B170" s="293"/>
      <c r="C170" s="417"/>
      <c r="D170" s="291"/>
      <c r="E170" s="293"/>
      <c r="F170" s="417"/>
      <c r="G170" s="293"/>
      <c r="H170" s="293"/>
      <c r="I170" s="293"/>
      <c r="J170" s="293"/>
      <c r="K170" s="416"/>
    </row>
    <row r="171">
      <c r="A171" s="416"/>
      <c r="B171" s="293"/>
      <c r="C171" s="417"/>
      <c r="D171" s="291"/>
      <c r="E171" s="293"/>
      <c r="F171" s="417"/>
      <c r="G171" s="293"/>
      <c r="H171" s="293"/>
      <c r="I171" s="293"/>
      <c r="J171" s="293"/>
      <c r="K171" s="416"/>
    </row>
    <row r="172">
      <c r="A172" s="416"/>
      <c r="B172" s="293"/>
      <c r="C172" s="417"/>
      <c r="D172" s="291"/>
      <c r="E172" s="293"/>
      <c r="F172" s="417"/>
      <c r="G172" s="293"/>
      <c r="H172" s="293"/>
      <c r="I172" s="293"/>
      <c r="J172" s="293"/>
      <c r="K172" s="416"/>
    </row>
    <row r="173">
      <c r="A173" s="416"/>
      <c r="B173" s="293"/>
      <c r="C173" s="417"/>
      <c r="D173" s="291"/>
      <c r="E173" s="293"/>
      <c r="F173" s="417"/>
      <c r="G173" s="293"/>
      <c r="H173" s="293"/>
      <c r="I173" s="293"/>
      <c r="J173" s="293"/>
      <c r="K173" s="416"/>
    </row>
    <row r="174">
      <c r="A174" s="416"/>
      <c r="B174" s="293"/>
      <c r="C174" s="417"/>
      <c r="D174" s="291"/>
      <c r="E174" s="293"/>
      <c r="F174" s="417"/>
      <c r="G174" s="293"/>
      <c r="H174" s="293"/>
      <c r="I174" s="293"/>
      <c r="J174" s="293"/>
      <c r="K174" s="416"/>
    </row>
    <row r="175">
      <c r="A175" s="416"/>
      <c r="B175" s="293"/>
      <c r="C175" s="417"/>
      <c r="D175" s="291"/>
      <c r="E175" s="293"/>
      <c r="F175" s="417"/>
      <c r="G175" s="293"/>
      <c r="H175" s="293"/>
      <c r="I175" s="293"/>
      <c r="J175" s="293"/>
      <c r="K175" s="416"/>
    </row>
    <row r="176">
      <c r="A176" s="416"/>
      <c r="B176" s="293"/>
      <c r="C176" s="417"/>
      <c r="D176" s="291"/>
      <c r="E176" s="293"/>
      <c r="F176" s="417"/>
      <c r="G176" s="293"/>
      <c r="H176" s="293"/>
      <c r="I176" s="293"/>
      <c r="J176" s="293"/>
      <c r="K176" s="416"/>
    </row>
    <row r="177">
      <c r="A177" s="416"/>
      <c r="B177" s="293"/>
      <c r="C177" s="417"/>
      <c r="D177" s="291"/>
      <c r="E177" s="293"/>
      <c r="F177" s="417"/>
      <c r="G177" s="293"/>
      <c r="H177" s="293"/>
      <c r="I177" s="293"/>
      <c r="J177" s="293"/>
      <c r="K177" s="416"/>
    </row>
    <row r="178">
      <c r="A178" s="416"/>
      <c r="B178" s="293"/>
      <c r="C178" s="417"/>
      <c r="D178" s="291"/>
      <c r="E178" s="293"/>
      <c r="F178" s="417"/>
      <c r="G178" s="293"/>
      <c r="H178" s="293"/>
      <c r="I178" s="293"/>
      <c r="J178" s="293"/>
      <c r="K178" s="416"/>
    </row>
    <row r="179">
      <c r="A179" s="416"/>
      <c r="B179" s="293"/>
      <c r="C179" s="417"/>
      <c r="D179" s="291"/>
      <c r="E179" s="293"/>
      <c r="F179" s="417"/>
      <c r="G179" s="293"/>
      <c r="H179" s="293"/>
      <c r="I179" s="293"/>
      <c r="J179" s="293"/>
      <c r="K179" s="416"/>
    </row>
    <row r="180">
      <c r="A180" s="416"/>
      <c r="B180" s="293"/>
      <c r="C180" s="417"/>
      <c r="D180" s="291"/>
      <c r="E180" s="293"/>
      <c r="F180" s="417"/>
      <c r="G180" s="293"/>
      <c r="H180" s="293"/>
      <c r="I180" s="293"/>
      <c r="J180" s="293"/>
      <c r="K180" s="416"/>
    </row>
    <row r="181">
      <c r="A181" s="416"/>
      <c r="B181" s="293"/>
      <c r="C181" s="417"/>
      <c r="D181" s="291"/>
      <c r="E181" s="293"/>
      <c r="F181" s="417"/>
      <c r="G181" s="293"/>
      <c r="H181" s="293"/>
      <c r="I181" s="293"/>
      <c r="J181" s="293"/>
      <c r="K181" s="416"/>
    </row>
    <row r="182">
      <c r="A182" s="416"/>
      <c r="B182" s="293"/>
      <c r="C182" s="417"/>
      <c r="D182" s="291"/>
      <c r="E182" s="293"/>
      <c r="F182" s="417"/>
      <c r="G182" s="293"/>
      <c r="H182" s="293"/>
      <c r="I182" s="293"/>
      <c r="J182" s="293"/>
      <c r="K182" s="416"/>
    </row>
    <row r="183">
      <c r="A183" s="416"/>
      <c r="B183" s="293"/>
      <c r="C183" s="417"/>
      <c r="D183" s="291"/>
      <c r="E183" s="293"/>
      <c r="F183" s="417"/>
      <c r="G183" s="293"/>
      <c r="H183" s="293"/>
      <c r="I183" s="293"/>
      <c r="J183" s="293"/>
      <c r="K183" s="416"/>
    </row>
    <row r="184">
      <c r="A184" s="416"/>
      <c r="B184" s="293"/>
      <c r="C184" s="417"/>
      <c r="D184" s="291"/>
      <c r="E184" s="293"/>
      <c r="F184" s="417"/>
      <c r="G184" s="293"/>
      <c r="H184" s="293"/>
      <c r="I184" s="293"/>
      <c r="J184" s="293"/>
      <c r="K184" s="416"/>
    </row>
    <row r="185">
      <c r="A185" s="416"/>
      <c r="B185" s="293"/>
      <c r="C185" s="417"/>
      <c r="D185" s="291"/>
      <c r="E185" s="293"/>
      <c r="F185" s="417"/>
      <c r="G185" s="293"/>
      <c r="H185" s="293"/>
      <c r="I185" s="293"/>
      <c r="J185" s="293"/>
      <c r="K185" s="416"/>
    </row>
    <row r="186">
      <c r="A186" s="416"/>
      <c r="B186" s="293"/>
      <c r="C186" s="417"/>
      <c r="D186" s="291"/>
      <c r="E186" s="293"/>
      <c r="F186" s="417"/>
      <c r="G186" s="293"/>
      <c r="H186" s="293"/>
      <c r="I186" s="293"/>
      <c r="J186" s="293"/>
      <c r="K186" s="416"/>
    </row>
    <row r="187">
      <c r="A187" s="416"/>
      <c r="B187" s="293"/>
      <c r="C187" s="417"/>
      <c r="D187" s="291"/>
      <c r="E187" s="293"/>
      <c r="F187" s="417"/>
      <c r="G187" s="293"/>
      <c r="H187" s="293"/>
      <c r="I187" s="293"/>
      <c r="J187" s="293"/>
      <c r="K187" s="416"/>
    </row>
    <row r="188">
      <c r="A188" s="416"/>
      <c r="B188" s="293"/>
      <c r="C188" s="417"/>
      <c r="D188" s="291"/>
      <c r="E188" s="293"/>
      <c r="F188" s="417"/>
      <c r="G188" s="293"/>
      <c r="H188" s="293"/>
      <c r="I188" s="293"/>
      <c r="J188" s="293"/>
      <c r="K188" s="416"/>
    </row>
    <row r="189">
      <c r="A189" s="416"/>
      <c r="B189" s="293"/>
      <c r="C189" s="417"/>
      <c r="D189" s="291"/>
      <c r="E189" s="293"/>
      <c r="F189" s="417"/>
      <c r="G189" s="293"/>
      <c r="H189" s="293"/>
      <c r="I189" s="293"/>
      <c r="J189" s="293"/>
      <c r="K189" s="416"/>
    </row>
    <row r="190">
      <c r="A190" s="416"/>
      <c r="B190" s="293"/>
      <c r="C190" s="417"/>
      <c r="D190" s="291"/>
      <c r="E190" s="293"/>
      <c r="F190" s="417"/>
      <c r="G190" s="293"/>
      <c r="H190" s="293"/>
      <c r="I190" s="293"/>
      <c r="J190" s="293"/>
      <c r="K190" s="416"/>
    </row>
    <row r="191">
      <c r="A191" s="416"/>
      <c r="B191" s="293"/>
      <c r="C191" s="417"/>
      <c r="D191" s="291"/>
      <c r="E191" s="293"/>
      <c r="F191" s="417"/>
      <c r="G191" s="293"/>
      <c r="H191" s="293"/>
      <c r="I191" s="293"/>
      <c r="J191" s="293"/>
      <c r="K191" s="416"/>
    </row>
    <row r="192">
      <c r="A192" s="416"/>
      <c r="B192" s="293"/>
      <c r="C192" s="417"/>
      <c r="D192" s="291"/>
      <c r="E192" s="293"/>
      <c r="F192" s="417"/>
      <c r="G192" s="293"/>
      <c r="H192" s="293"/>
      <c r="I192" s="293"/>
      <c r="J192" s="293"/>
      <c r="K192" s="416"/>
    </row>
    <row r="193">
      <c r="A193" s="416"/>
      <c r="B193" s="293"/>
      <c r="C193" s="417"/>
      <c r="D193" s="291"/>
      <c r="E193" s="293"/>
      <c r="F193" s="417"/>
      <c r="G193" s="293"/>
      <c r="H193" s="293"/>
      <c r="I193" s="293"/>
      <c r="J193" s="293"/>
      <c r="K193" s="416"/>
    </row>
    <row r="194">
      <c r="A194" s="416"/>
      <c r="B194" s="293"/>
      <c r="C194" s="417"/>
      <c r="D194" s="291"/>
      <c r="E194" s="293"/>
      <c r="F194" s="417"/>
      <c r="G194" s="293"/>
      <c r="H194" s="293"/>
      <c r="I194" s="293"/>
      <c r="J194" s="293"/>
      <c r="K194" s="416"/>
    </row>
    <row r="195">
      <c r="A195" s="416"/>
      <c r="B195" s="293"/>
      <c r="C195" s="417"/>
      <c r="D195" s="291"/>
      <c r="E195" s="293"/>
      <c r="F195" s="417"/>
      <c r="G195" s="293"/>
      <c r="H195" s="293"/>
      <c r="I195" s="293"/>
      <c r="J195" s="293"/>
      <c r="K195" s="416"/>
    </row>
    <row r="196">
      <c r="A196" s="416"/>
      <c r="B196" s="293"/>
      <c r="C196" s="417"/>
      <c r="D196" s="291"/>
      <c r="E196" s="293"/>
      <c r="F196" s="417"/>
      <c r="G196" s="293"/>
      <c r="H196" s="293"/>
      <c r="I196" s="293"/>
      <c r="J196" s="293"/>
      <c r="K196" s="416"/>
    </row>
    <row r="197">
      <c r="A197" s="416"/>
      <c r="B197" s="293"/>
      <c r="C197" s="417"/>
      <c r="D197" s="291"/>
      <c r="E197" s="293"/>
      <c r="F197" s="417"/>
      <c r="G197" s="293"/>
      <c r="H197" s="293"/>
      <c r="I197" s="293"/>
      <c r="J197" s="293"/>
      <c r="K197" s="416"/>
    </row>
    <row r="198">
      <c r="A198" s="416"/>
      <c r="B198" s="293"/>
      <c r="C198" s="417"/>
      <c r="D198" s="291"/>
      <c r="E198" s="293"/>
      <c r="F198" s="417"/>
      <c r="G198" s="293"/>
      <c r="H198" s="293"/>
      <c r="I198" s="293"/>
      <c r="J198" s="293"/>
      <c r="K198" s="416"/>
    </row>
    <row r="199">
      <c r="A199" s="416"/>
      <c r="B199" s="293"/>
      <c r="C199" s="417"/>
      <c r="D199" s="291"/>
      <c r="E199" s="293"/>
      <c r="F199" s="417"/>
      <c r="G199" s="293"/>
      <c r="H199" s="293"/>
      <c r="I199" s="293"/>
      <c r="J199" s="293"/>
      <c r="K199" s="416"/>
    </row>
    <row r="200">
      <c r="A200" s="416"/>
      <c r="B200" s="293"/>
      <c r="C200" s="417"/>
      <c r="D200" s="291"/>
      <c r="E200" s="293"/>
      <c r="F200" s="417"/>
      <c r="G200" s="293"/>
      <c r="H200" s="293"/>
      <c r="I200" s="293"/>
      <c r="J200" s="293"/>
      <c r="K200" s="416"/>
    </row>
    <row r="201">
      <c r="A201" s="416"/>
      <c r="B201" s="293"/>
      <c r="C201" s="417"/>
      <c r="D201" s="291"/>
      <c r="E201" s="293"/>
      <c r="F201" s="417"/>
      <c r="G201" s="293"/>
      <c r="H201" s="293"/>
      <c r="I201" s="293"/>
      <c r="J201" s="293"/>
      <c r="K201" s="416"/>
    </row>
    <row r="202">
      <c r="A202" s="416"/>
      <c r="B202" s="293"/>
      <c r="C202" s="417"/>
      <c r="D202" s="291"/>
      <c r="E202" s="293"/>
      <c r="F202" s="417"/>
      <c r="G202" s="293"/>
      <c r="H202" s="293"/>
      <c r="I202" s="293"/>
      <c r="J202" s="293"/>
      <c r="K202" s="416"/>
    </row>
    <row r="203">
      <c r="A203" s="416"/>
      <c r="B203" s="293"/>
      <c r="C203" s="417"/>
      <c r="D203" s="291"/>
      <c r="E203" s="293"/>
      <c r="F203" s="417"/>
      <c r="G203" s="293"/>
      <c r="H203" s="293"/>
      <c r="I203" s="293"/>
      <c r="J203" s="293"/>
      <c r="K203" s="416"/>
    </row>
    <row r="204">
      <c r="A204" s="416"/>
      <c r="B204" s="293"/>
      <c r="C204" s="417"/>
      <c r="D204" s="291"/>
      <c r="E204" s="293"/>
      <c r="F204" s="417"/>
      <c r="G204" s="293"/>
      <c r="H204" s="293"/>
      <c r="I204" s="293"/>
      <c r="J204" s="293"/>
      <c r="K204" s="416"/>
    </row>
    <row r="205">
      <c r="A205" s="416"/>
      <c r="B205" s="293"/>
      <c r="C205" s="417"/>
      <c r="D205" s="291"/>
      <c r="E205" s="293"/>
      <c r="F205" s="417"/>
      <c r="G205" s="293"/>
      <c r="H205" s="293"/>
      <c r="I205" s="293"/>
      <c r="J205" s="293"/>
      <c r="K205" s="416"/>
    </row>
    <row r="206">
      <c r="A206" s="416"/>
      <c r="B206" s="293"/>
      <c r="C206" s="417"/>
      <c r="D206" s="291"/>
      <c r="E206" s="293"/>
      <c r="F206" s="417"/>
      <c r="G206" s="293"/>
      <c r="H206" s="293"/>
      <c r="I206" s="293"/>
      <c r="J206" s="293"/>
      <c r="K206" s="416"/>
    </row>
    <row r="207">
      <c r="A207" s="416"/>
      <c r="B207" s="293"/>
      <c r="C207" s="417"/>
      <c r="D207" s="291"/>
      <c r="E207" s="293"/>
      <c r="F207" s="417"/>
      <c r="G207" s="293"/>
      <c r="H207" s="293"/>
      <c r="I207" s="293"/>
      <c r="J207" s="293"/>
      <c r="K207" s="416"/>
    </row>
    <row r="208">
      <c r="A208" s="416"/>
      <c r="B208" s="293"/>
      <c r="C208" s="417"/>
      <c r="D208" s="291"/>
      <c r="E208" s="293"/>
      <c r="F208" s="417"/>
      <c r="G208" s="293"/>
      <c r="H208" s="293"/>
      <c r="I208" s="293"/>
      <c r="J208" s="293"/>
      <c r="K208" s="416"/>
    </row>
    <row r="209">
      <c r="A209" s="416"/>
      <c r="B209" s="293"/>
      <c r="C209" s="417"/>
      <c r="D209" s="291"/>
      <c r="E209" s="293"/>
      <c r="F209" s="417"/>
      <c r="G209" s="293"/>
      <c r="H209" s="293"/>
      <c r="I209" s="293"/>
      <c r="J209" s="293"/>
      <c r="K209" s="416"/>
    </row>
    <row r="210">
      <c r="A210" s="416"/>
      <c r="B210" s="293"/>
      <c r="C210" s="417"/>
      <c r="D210" s="291"/>
      <c r="E210" s="293"/>
      <c r="F210" s="417"/>
      <c r="G210" s="293"/>
      <c r="H210" s="293"/>
      <c r="I210" s="293"/>
      <c r="J210" s="293"/>
      <c r="K210" s="416"/>
    </row>
    <row r="211">
      <c r="A211" s="416"/>
      <c r="B211" s="293"/>
      <c r="C211" s="417"/>
      <c r="D211" s="291"/>
      <c r="E211" s="293"/>
      <c r="F211" s="417"/>
      <c r="G211" s="293"/>
      <c r="H211" s="293"/>
      <c r="I211" s="293"/>
      <c r="J211" s="293"/>
      <c r="K211" s="416"/>
    </row>
    <row r="212">
      <c r="A212" s="416"/>
      <c r="B212" s="293"/>
      <c r="C212" s="417"/>
      <c r="D212" s="291"/>
      <c r="E212" s="293"/>
      <c r="F212" s="417"/>
      <c r="G212" s="293"/>
      <c r="H212" s="293"/>
      <c r="I212" s="293"/>
      <c r="J212" s="293"/>
      <c r="K212" s="416"/>
    </row>
    <row r="213">
      <c r="A213" s="416"/>
      <c r="B213" s="293"/>
      <c r="C213" s="417"/>
      <c r="D213" s="291"/>
      <c r="E213" s="293"/>
      <c r="F213" s="417"/>
      <c r="G213" s="293"/>
      <c r="H213" s="293"/>
      <c r="I213" s="293"/>
      <c r="J213" s="293"/>
      <c r="K213" s="416"/>
    </row>
    <row r="214">
      <c r="A214" s="416"/>
      <c r="B214" s="293"/>
      <c r="C214" s="417"/>
      <c r="D214" s="291"/>
      <c r="E214" s="293"/>
      <c r="F214" s="417"/>
      <c r="G214" s="293"/>
      <c r="H214" s="293"/>
      <c r="I214" s="293"/>
      <c r="J214" s="293"/>
      <c r="K214" s="416"/>
    </row>
    <row r="215">
      <c r="A215" s="416"/>
      <c r="B215" s="293"/>
      <c r="C215" s="417"/>
      <c r="D215" s="291"/>
      <c r="E215" s="293"/>
      <c r="F215" s="417"/>
      <c r="G215" s="293"/>
      <c r="H215" s="293"/>
      <c r="I215" s="293"/>
      <c r="J215" s="293"/>
      <c r="K215" s="416"/>
    </row>
    <row r="216">
      <c r="A216" s="416"/>
      <c r="B216" s="293"/>
      <c r="C216" s="417"/>
      <c r="D216" s="291"/>
      <c r="E216" s="293"/>
      <c r="F216" s="417"/>
      <c r="G216" s="293"/>
      <c r="H216" s="293"/>
      <c r="I216" s="293"/>
      <c r="J216" s="293"/>
      <c r="K216" s="416"/>
    </row>
    <row r="217">
      <c r="A217" s="416"/>
      <c r="B217" s="293"/>
      <c r="C217" s="417"/>
      <c r="D217" s="291"/>
      <c r="E217" s="293"/>
      <c r="F217" s="417"/>
      <c r="G217" s="293"/>
      <c r="H217" s="293"/>
      <c r="I217" s="293"/>
      <c r="J217" s="293"/>
      <c r="K217" s="416"/>
    </row>
    <row r="218">
      <c r="A218" s="416"/>
      <c r="B218" s="293"/>
      <c r="C218" s="417"/>
      <c r="D218" s="291"/>
      <c r="E218" s="293"/>
      <c r="F218" s="417"/>
      <c r="G218" s="293"/>
      <c r="H218" s="293"/>
      <c r="I218" s="293"/>
      <c r="J218" s="293"/>
      <c r="K218" s="416"/>
    </row>
    <row r="219">
      <c r="A219" s="416"/>
      <c r="B219" s="293"/>
      <c r="C219" s="417"/>
      <c r="D219" s="291"/>
      <c r="E219" s="293"/>
      <c r="F219" s="417"/>
      <c r="G219" s="293"/>
      <c r="H219" s="293"/>
      <c r="I219" s="293"/>
      <c r="J219" s="293"/>
      <c r="K219" s="416"/>
    </row>
    <row r="220">
      <c r="A220" s="416"/>
      <c r="B220" s="293"/>
      <c r="C220" s="417"/>
      <c r="D220" s="291"/>
      <c r="E220" s="293"/>
      <c r="F220" s="417"/>
      <c r="G220" s="293"/>
      <c r="H220" s="293"/>
      <c r="I220" s="293"/>
      <c r="J220" s="293"/>
      <c r="K220" s="416"/>
    </row>
    <row r="221">
      <c r="A221" s="416"/>
      <c r="B221" s="293"/>
      <c r="C221" s="417"/>
      <c r="D221" s="291"/>
      <c r="E221" s="293"/>
      <c r="F221" s="417"/>
      <c r="G221" s="293"/>
      <c r="H221" s="293"/>
      <c r="I221" s="293"/>
      <c r="J221" s="293"/>
      <c r="K221" s="416"/>
    </row>
    <row r="222">
      <c r="A222" s="416"/>
      <c r="B222" s="293"/>
      <c r="C222" s="417"/>
      <c r="D222" s="291"/>
      <c r="E222" s="293"/>
      <c r="F222" s="417"/>
      <c r="G222" s="293"/>
      <c r="H222" s="293"/>
      <c r="I222" s="293"/>
      <c r="J222" s="293"/>
      <c r="K222" s="416"/>
    </row>
    <row r="223">
      <c r="A223" s="416"/>
      <c r="B223" s="293"/>
      <c r="C223" s="417"/>
      <c r="D223" s="291"/>
      <c r="E223" s="293"/>
      <c r="F223" s="417"/>
      <c r="G223" s="293"/>
      <c r="H223" s="293"/>
      <c r="I223" s="293"/>
      <c r="J223" s="293"/>
      <c r="K223" s="416"/>
    </row>
    <row r="224">
      <c r="A224" s="416"/>
      <c r="B224" s="293"/>
      <c r="C224" s="417"/>
      <c r="D224" s="291"/>
      <c r="E224" s="293"/>
      <c r="F224" s="417"/>
      <c r="G224" s="293"/>
      <c r="H224" s="293"/>
      <c r="I224" s="293"/>
      <c r="J224" s="293"/>
      <c r="K224" s="416"/>
    </row>
    <row r="225">
      <c r="A225" s="416"/>
      <c r="B225" s="293"/>
      <c r="C225" s="417"/>
      <c r="D225" s="291"/>
      <c r="E225" s="293"/>
      <c r="F225" s="417"/>
      <c r="G225" s="293"/>
      <c r="H225" s="293"/>
      <c r="I225" s="293"/>
      <c r="J225" s="293"/>
      <c r="K225" s="416"/>
    </row>
    <row r="226">
      <c r="A226" s="416"/>
      <c r="B226" s="293"/>
      <c r="C226" s="417"/>
      <c r="D226" s="291"/>
      <c r="E226" s="293"/>
      <c r="F226" s="417"/>
      <c r="G226" s="293"/>
      <c r="H226" s="293"/>
      <c r="I226" s="293"/>
      <c r="J226" s="293"/>
      <c r="K226" s="416"/>
    </row>
    <row r="227">
      <c r="A227" s="416"/>
      <c r="B227" s="293"/>
      <c r="C227" s="417"/>
      <c r="D227" s="291"/>
      <c r="E227" s="293"/>
      <c r="F227" s="417"/>
      <c r="G227" s="293"/>
      <c r="H227" s="293"/>
      <c r="I227" s="293"/>
      <c r="J227" s="293"/>
      <c r="K227" s="416"/>
    </row>
    <row r="228">
      <c r="A228" s="416"/>
      <c r="B228" s="293"/>
      <c r="C228" s="417"/>
      <c r="D228" s="291"/>
      <c r="E228" s="293"/>
      <c r="F228" s="417"/>
      <c r="G228" s="293"/>
      <c r="H228" s="293"/>
      <c r="I228" s="293"/>
      <c r="J228" s="293"/>
      <c r="K228" s="416"/>
    </row>
    <row r="229">
      <c r="A229" s="416"/>
      <c r="B229" s="293"/>
      <c r="C229" s="417"/>
      <c r="D229" s="291"/>
      <c r="E229" s="293"/>
      <c r="F229" s="417"/>
      <c r="G229" s="293"/>
      <c r="H229" s="293"/>
      <c r="I229" s="293"/>
      <c r="J229" s="293"/>
      <c r="K229" s="416"/>
    </row>
    <row r="230">
      <c r="A230" s="416"/>
      <c r="B230" s="293"/>
      <c r="C230" s="417"/>
      <c r="D230" s="291"/>
      <c r="E230" s="293"/>
      <c r="F230" s="417"/>
      <c r="G230" s="293"/>
      <c r="H230" s="293"/>
      <c r="I230" s="293"/>
      <c r="J230" s="293"/>
      <c r="K230" s="416"/>
    </row>
    <row r="231">
      <c r="A231" s="416"/>
      <c r="B231" s="293"/>
      <c r="C231" s="417"/>
      <c r="D231" s="291"/>
      <c r="E231" s="293"/>
      <c r="F231" s="417"/>
      <c r="G231" s="293"/>
      <c r="H231" s="293"/>
      <c r="I231" s="293"/>
      <c r="J231" s="293"/>
      <c r="K231" s="416"/>
    </row>
    <row r="232">
      <c r="A232" s="416"/>
      <c r="B232" s="293"/>
      <c r="C232" s="417"/>
      <c r="D232" s="291"/>
      <c r="E232" s="293"/>
      <c r="F232" s="417"/>
      <c r="G232" s="293"/>
      <c r="H232" s="293"/>
      <c r="I232" s="293"/>
      <c r="J232" s="293"/>
      <c r="K232" s="416"/>
    </row>
    <row r="233">
      <c r="A233" s="416"/>
      <c r="B233" s="293"/>
      <c r="C233" s="417"/>
      <c r="D233" s="291"/>
      <c r="E233" s="293"/>
      <c r="F233" s="417"/>
      <c r="G233" s="293"/>
      <c r="H233" s="293"/>
      <c r="I233" s="293"/>
      <c r="J233" s="293"/>
      <c r="K233" s="416"/>
    </row>
    <row r="234">
      <c r="A234" s="416"/>
      <c r="B234" s="293"/>
      <c r="C234" s="417"/>
      <c r="D234" s="291"/>
      <c r="E234" s="293"/>
      <c r="F234" s="417"/>
      <c r="G234" s="293"/>
      <c r="H234" s="293"/>
      <c r="I234" s="293"/>
      <c r="J234" s="293"/>
      <c r="K234" s="416"/>
    </row>
    <row r="235">
      <c r="A235" s="416"/>
      <c r="B235" s="293"/>
      <c r="C235" s="417"/>
      <c r="D235" s="291"/>
      <c r="E235" s="293"/>
      <c r="F235" s="417"/>
      <c r="G235" s="293"/>
      <c r="H235" s="293"/>
      <c r="I235" s="293"/>
      <c r="J235" s="293"/>
      <c r="K235" s="416"/>
    </row>
    <row r="236">
      <c r="A236" s="416"/>
      <c r="B236" s="293"/>
      <c r="C236" s="417"/>
      <c r="D236" s="291"/>
      <c r="E236" s="293"/>
      <c r="F236" s="417"/>
      <c r="G236" s="293"/>
      <c r="H236" s="293"/>
      <c r="I236" s="293"/>
      <c r="J236" s="293"/>
      <c r="K236" s="416"/>
    </row>
    <row r="237">
      <c r="A237" s="416"/>
      <c r="B237" s="293"/>
      <c r="C237" s="417"/>
      <c r="D237" s="291"/>
      <c r="E237" s="293"/>
      <c r="F237" s="417"/>
      <c r="G237" s="293"/>
      <c r="H237" s="293"/>
      <c r="I237" s="293"/>
      <c r="J237" s="293"/>
      <c r="K237" s="416"/>
    </row>
    <row r="238">
      <c r="A238" s="416"/>
      <c r="B238" s="293"/>
      <c r="C238" s="417"/>
      <c r="D238" s="291"/>
      <c r="E238" s="293"/>
      <c r="F238" s="417"/>
      <c r="G238" s="293"/>
      <c r="H238" s="293"/>
      <c r="I238" s="293"/>
      <c r="J238" s="293"/>
      <c r="K238" s="416"/>
    </row>
    <row r="239">
      <c r="A239" s="416"/>
      <c r="B239" s="293"/>
      <c r="C239" s="417"/>
      <c r="D239" s="291"/>
      <c r="E239" s="293"/>
      <c r="F239" s="417"/>
      <c r="G239" s="293"/>
      <c r="H239" s="293"/>
      <c r="I239" s="293"/>
      <c r="J239" s="293"/>
      <c r="K239" s="416"/>
    </row>
    <row r="240">
      <c r="A240" s="416"/>
      <c r="B240" s="293"/>
      <c r="C240" s="417"/>
      <c r="D240" s="291"/>
      <c r="E240" s="293"/>
      <c r="F240" s="417"/>
      <c r="G240" s="293"/>
      <c r="H240" s="293"/>
      <c r="I240" s="293"/>
      <c r="J240" s="293"/>
      <c r="K240" s="416"/>
    </row>
    <row r="241">
      <c r="A241" s="416"/>
      <c r="B241" s="293"/>
      <c r="C241" s="417"/>
      <c r="D241" s="291"/>
      <c r="E241" s="293"/>
      <c r="F241" s="417"/>
      <c r="G241" s="293"/>
      <c r="H241" s="293"/>
      <c r="I241" s="293"/>
      <c r="J241" s="293"/>
      <c r="K241" s="416"/>
    </row>
    <row r="242">
      <c r="A242" s="416"/>
      <c r="B242" s="293"/>
      <c r="C242" s="417"/>
      <c r="D242" s="291"/>
      <c r="E242" s="293"/>
      <c r="F242" s="417"/>
      <c r="G242" s="293"/>
      <c r="H242" s="293"/>
      <c r="I242" s="293"/>
      <c r="J242" s="293"/>
      <c r="K242" s="416"/>
    </row>
    <row r="243">
      <c r="A243" s="416"/>
      <c r="B243" s="293"/>
      <c r="C243" s="417"/>
      <c r="D243" s="291"/>
      <c r="E243" s="293"/>
      <c r="F243" s="417"/>
      <c r="G243" s="293"/>
      <c r="H243" s="293"/>
      <c r="I243" s="293"/>
      <c r="J243" s="293"/>
      <c r="K243" s="416"/>
    </row>
    <row r="244">
      <c r="A244" s="416"/>
      <c r="B244" s="293"/>
      <c r="C244" s="417"/>
      <c r="D244" s="291"/>
      <c r="E244" s="293"/>
      <c r="F244" s="417"/>
      <c r="G244" s="293"/>
      <c r="H244" s="293"/>
      <c r="I244" s="293"/>
      <c r="J244" s="293"/>
      <c r="K244" s="416"/>
    </row>
    <row r="245">
      <c r="A245" s="416"/>
      <c r="B245" s="293"/>
      <c r="C245" s="417"/>
      <c r="D245" s="291"/>
      <c r="E245" s="293"/>
      <c r="F245" s="417"/>
      <c r="G245" s="293"/>
      <c r="H245" s="293"/>
      <c r="I245" s="293"/>
      <c r="J245" s="293"/>
      <c r="K245" s="416"/>
    </row>
    <row r="246">
      <c r="A246" s="416"/>
      <c r="B246" s="293"/>
      <c r="C246" s="417"/>
      <c r="D246" s="291"/>
      <c r="E246" s="293"/>
      <c r="F246" s="417"/>
      <c r="G246" s="293"/>
      <c r="H246" s="293"/>
      <c r="I246" s="293"/>
      <c r="J246" s="293"/>
      <c r="K246" s="416"/>
    </row>
    <row r="247">
      <c r="A247" s="416"/>
      <c r="B247" s="293"/>
      <c r="C247" s="417"/>
      <c r="D247" s="291"/>
      <c r="E247" s="293"/>
      <c r="F247" s="417"/>
      <c r="G247" s="293"/>
      <c r="H247" s="293"/>
      <c r="I247" s="293"/>
      <c r="J247" s="293"/>
      <c r="K247" s="416"/>
    </row>
    <row r="248">
      <c r="A248" s="416"/>
      <c r="B248" s="293"/>
      <c r="C248" s="417"/>
      <c r="D248" s="291"/>
      <c r="E248" s="293"/>
      <c r="F248" s="417"/>
      <c r="G248" s="293"/>
      <c r="H248" s="293"/>
      <c r="I248" s="293"/>
      <c r="J248" s="293"/>
      <c r="K248" s="416"/>
    </row>
    <row r="249">
      <c r="A249" s="416"/>
      <c r="B249" s="293"/>
      <c r="C249" s="417"/>
      <c r="D249" s="291"/>
      <c r="E249" s="293"/>
      <c r="F249" s="417"/>
      <c r="G249" s="293"/>
      <c r="H249" s="293"/>
      <c r="I249" s="293"/>
      <c r="J249" s="293"/>
      <c r="K249" s="416"/>
    </row>
    <row r="250">
      <c r="A250" s="416"/>
      <c r="B250" s="293"/>
      <c r="C250" s="417"/>
      <c r="D250" s="291"/>
      <c r="E250" s="293"/>
      <c r="F250" s="417"/>
      <c r="G250" s="293"/>
      <c r="H250" s="293"/>
      <c r="I250" s="293"/>
      <c r="J250" s="293"/>
      <c r="K250" s="416"/>
    </row>
    <row r="251">
      <c r="A251" s="416"/>
      <c r="B251" s="293"/>
      <c r="C251" s="417"/>
      <c r="D251" s="291"/>
      <c r="E251" s="293"/>
      <c r="F251" s="417"/>
      <c r="G251" s="293"/>
      <c r="H251" s="293"/>
      <c r="I251" s="293"/>
      <c r="J251" s="293"/>
      <c r="K251" s="416"/>
    </row>
    <row r="252">
      <c r="A252" s="416"/>
      <c r="B252" s="293"/>
      <c r="C252" s="417"/>
      <c r="D252" s="291"/>
      <c r="E252" s="293"/>
      <c r="F252" s="417"/>
      <c r="G252" s="293"/>
      <c r="H252" s="293"/>
      <c r="I252" s="293"/>
      <c r="J252" s="293"/>
      <c r="K252" s="416"/>
    </row>
    <row r="253">
      <c r="A253" s="416"/>
      <c r="B253" s="293"/>
      <c r="C253" s="417"/>
      <c r="D253" s="291"/>
      <c r="E253" s="293"/>
      <c r="F253" s="417"/>
      <c r="G253" s="293"/>
      <c r="H253" s="293"/>
      <c r="I253" s="293"/>
      <c r="J253" s="293"/>
      <c r="K253" s="416"/>
    </row>
    <row r="254">
      <c r="A254" s="416"/>
      <c r="B254" s="293"/>
      <c r="C254" s="417"/>
      <c r="D254" s="291"/>
      <c r="E254" s="293"/>
      <c r="F254" s="417"/>
      <c r="G254" s="293"/>
      <c r="H254" s="293"/>
      <c r="I254" s="293"/>
      <c r="J254" s="293"/>
      <c r="K254" s="416"/>
    </row>
    <row r="255">
      <c r="A255" s="416"/>
      <c r="B255" s="293"/>
      <c r="C255" s="417"/>
      <c r="D255" s="291"/>
      <c r="E255" s="293"/>
      <c r="F255" s="417"/>
      <c r="G255" s="293"/>
      <c r="H255" s="293"/>
      <c r="I255" s="293"/>
      <c r="J255" s="293"/>
      <c r="K255" s="416"/>
    </row>
    <row r="256">
      <c r="A256" s="416"/>
      <c r="B256" s="293"/>
      <c r="C256" s="417"/>
      <c r="D256" s="291"/>
      <c r="E256" s="293"/>
      <c r="F256" s="417"/>
      <c r="G256" s="293"/>
      <c r="H256" s="293"/>
      <c r="I256" s="293"/>
      <c r="J256" s="293"/>
      <c r="K256" s="416"/>
    </row>
    <row r="257">
      <c r="A257" s="416"/>
      <c r="B257" s="293"/>
      <c r="C257" s="417"/>
      <c r="D257" s="291"/>
      <c r="E257" s="293"/>
      <c r="F257" s="417"/>
      <c r="G257" s="293"/>
      <c r="H257" s="293"/>
      <c r="I257" s="293"/>
      <c r="J257" s="293"/>
      <c r="K257" s="416"/>
    </row>
    <row r="258">
      <c r="A258" s="416"/>
      <c r="B258" s="293"/>
      <c r="C258" s="417"/>
      <c r="D258" s="291"/>
      <c r="E258" s="293"/>
      <c r="F258" s="417"/>
      <c r="G258" s="293"/>
      <c r="H258" s="293"/>
      <c r="I258" s="293"/>
      <c r="J258" s="293"/>
      <c r="K258" s="416"/>
    </row>
    <row r="259">
      <c r="A259" s="416"/>
      <c r="B259" s="293"/>
      <c r="C259" s="417"/>
      <c r="D259" s="291"/>
      <c r="E259" s="293"/>
      <c r="F259" s="417"/>
      <c r="G259" s="293"/>
      <c r="H259" s="293"/>
      <c r="I259" s="293"/>
      <c r="J259" s="293"/>
      <c r="K259" s="416"/>
    </row>
    <row r="260">
      <c r="A260" s="416"/>
      <c r="B260" s="293"/>
      <c r="C260" s="417"/>
      <c r="D260" s="291"/>
      <c r="E260" s="293"/>
      <c r="F260" s="417"/>
      <c r="G260" s="293"/>
      <c r="H260" s="293"/>
      <c r="I260" s="293"/>
      <c r="J260" s="293"/>
      <c r="K260" s="416"/>
    </row>
    <row r="261">
      <c r="A261" s="416"/>
      <c r="B261" s="293"/>
      <c r="C261" s="417"/>
      <c r="D261" s="291"/>
      <c r="E261" s="293"/>
      <c r="F261" s="417"/>
      <c r="G261" s="293"/>
      <c r="H261" s="293"/>
      <c r="I261" s="293"/>
      <c r="J261" s="293"/>
      <c r="K261" s="416"/>
    </row>
    <row r="262">
      <c r="A262" s="416"/>
      <c r="B262" s="293"/>
      <c r="C262" s="417"/>
      <c r="D262" s="291"/>
      <c r="E262" s="293"/>
      <c r="F262" s="417"/>
      <c r="G262" s="293"/>
      <c r="H262" s="293"/>
      <c r="I262" s="293"/>
      <c r="J262" s="293"/>
      <c r="K262" s="416"/>
    </row>
    <row r="263">
      <c r="A263" s="416"/>
      <c r="B263" s="293"/>
      <c r="C263" s="417"/>
      <c r="D263" s="291"/>
      <c r="E263" s="293"/>
      <c r="F263" s="417"/>
      <c r="G263" s="293"/>
      <c r="H263" s="293"/>
      <c r="I263" s="293"/>
      <c r="J263" s="293"/>
      <c r="K263" s="416"/>
    </row>
    <row r="264">
      <c r="A264" s="416"/>
      <c r="B264" s="293"/>
      <c r="C264" s="417"/>
      <c r="D264" s="291"/>
      <c r="E264" s="293"/>
      <c r="F264" s="417"/>
      <c r="G264" s="293"/>
      <c r="H264" s="293"/>
      <c r="I264" s="293"/>
      <c r="J264" s="293"/>
      <c r="K264" s="416"/>
    </row>
    <row r="265">
      <c r="A265" s="416"/>
      <c r="B265" s="293"/>
      <c r="C265" s="417"/>
      <c r="D265" s="291"/>
      <c r="E265" s="293"/>
      <c r="F265" s="417"/>
      <c r="G265" s="293"/>
      <c r="H265" s="293"/>
      <c r="I265" s="293"/>
      <c r="J265" s="293"/>
      <c r="K265" s="416"/>
    </row>
    <row r="266">
      <c r="A266" s="416"/>
      <c r="B266" s="293"/>
      <c r="C266" s="417"/>
      <c r="D266" s="291"/>
      <c r="E266" s="293"/>
      <c r="F266" s="417"/>
      <c r="G266" s="293"/>
      <c r="H266" s="293"/>
      <c r="I266" s="293"/>
      <c r="J266" s="293"/>
      <c r="K266" s="416"/>
    </row>
    <row r="267">
      <c r="A267" s="416"/>
      <c r="B267" s="293"/>
      <c r="C267" s="417"/>
      <c r="D267" s="291"/>
      <c r="E267" s="293"/>
      <c r="F267" s="417"/>
      <c r="G267" s="293"/>
      <c r="H267" s="293"/>
      <c r="I267" s="293"/>
      <c r="J267" s="293"/>
      <c r="K267" s="416"/>
    </row>
    <row r="268">
      <c r="A268" s="416"/>
      <c r="B268" s="293"/>
      <c r="C268" s="417"/>
      <c r="D268" s="291"/>
      <c r="E268" s="293"/>
      <c r="F268" s="417"/>
      <c r="G268" s="293"/>
      <c r="H268" s="293"/>
      <c r="I268" s="293"/>
      <c r="J268" s="293"/>
      <c r="K268" s="416"/>
    </row>
    <row r="269">
      <c r="A269" s="416"/>
      <c r="B269" s="293"/>
      <c r="C269" s="417"/>
      <c r="D269" s="291"/>
      <c r="E269" s="293"/>
      <c r="F269" s="417"/>
      <c r="G269" s="293"/>
      <c r="H269" s="293"/>
      <c r="I269" s="293"/>
      <c r="J269" s="293"/>
      <c r="K269" s="416"/>
    </row>
    <row r="270">
      <c r="A270" s="416"/>
      <c r="B270" s="293"/>
      <c r="C270" s="417"/>
      <c r="D270" s="291"/>
      <c r="E270" s="293"/>
      <c r="F270" s="417"/>
      <c r="G270" s="293"/>
      <c r="H270" s="293"/>
      <c r="I270" s="293"/>
      <c r="J270" s="293"/>
      <c r="K270" s="416"/>
    </row>
    <row r="271">
      <c r="A271" s="416"/>
      <c r="B271" s="293"/>
      <c r="C271" s="417"/>
      <c r="D271" s="291"/>
      <c r="E271" s="293"/>
      <c r="F271" s="417"/>
      <c r="G271" s="293"/>
      <c r="H271" s="293"/>
      <c r="I271" s="293"/>
      <c r="J271" s="293"/>
      <c r="K271" s="416"/>
    </row>
    <row r="272">
      <c r="A272" s="416"/>
      <c r="B272" s="293"/>
      <c r="C272" s="417"/>
      <c r="D272" s="291"/>
      <c r="E272" s="293"/>
      <c r="F272" s="417"/>
      <c r="G272" s="293"/>
      <c r="H272" s="293"/>
      <c r="I272" s="293"/>
      <c r="J272" s="293"/>
      <c r="K272" s="416"/>
    </row>
    <row r="273">
      <c r="A273" s="416"/>
      <c r="B273" s="293"/>
      <c r="C273" s="417"/>
      <c r="D273" s="291"/>
      <c r="E273" s="293"/>
      <c r="F273" s="417"/>
      <c r="G273" s="293"/>
      <c r="H273" s="293"/>
      <c r="I273" s="293"/>
      <c r="J273" s="293"/>
      <c r="K273" s="416"/>
    </row>
    <row r="274">
      <c r="A274" s="416"/>
      <c r="B274" s="293"/>
      <c r="C274" s="417"/>
      <c r="D274" s="291"/>
      <c r="E274" s="293"/>
      <c r="F274" s="417"/>
      <c r="G274" s="293"/>
      <c r="H274" s="293"/>
      <c r="I274" s="293"/>
      <c r="J274" s="293"/>
      <c r="K274" s="416"/>
    </row>
    <row r="275">
      <c r="A275" s="416"/>
      <c r="B275" s="293"/>
      <c r="C275" s="417"/>
      <c r="D275" s="291"/>
      <c r="E275" s="293"/>
      <c r="F275" s="417"/>
      <c r="G275" s="293"/>
      <c r="H275" s="293"/>
      <c r="I275" s="293"/>
      <c r="J275" s="293"/>
      <c r="K275" s="416"/>
    </row>
    <row r="276">
      <c r="A276" s="416"/>
      <c r="B276" s="293"/>
      <c r="C276" s="417"/>
      <c r="D276" s="291"/>
      <c r="E276" s="293"/>
      <c r="F276" s="417"/>
      <c r="G276" s="293"/>
      <c r="H276" s="293"/>
      <c r="I276" s="293"/>
      <c r="J276" s="293"/>
      <c r="K276" s="416"/>
    </row>
    <row r="277">
      <c r="A277" s="416"/>
      <c r="B277" s="293"/>
      <c r="C277" s="417"/>
      <c r="D277" s="291"/>
      <c r="E277" s="293"/>
      <c r="F277" s="417"/>
      <c r="G277" s="293"/>
      <c r="H277" s="293"/>
      <c r="I277" s="293"/>
      <c r="J277" s="293"/>
      <c r="K277" s="416"/>
    </row>
    <row r="278">
      <c r="A278" s="416"/>
      <c r="B278" s="293"/>
      <c r="C278" s="417"/>
      <c r="D278" s="291"/>
      <c r="E278" s="293"/>
      <c r="F278" s="417"/>
      <c r="G278" s="293"/>
      <c r="H278" s="293"/>
      <c r="I278" s="293"/>
      <c r="J278" s="293"/>
      <c r="K278" s="416"/>
    </row>
    <row r="279">
      <c r="A279" s="416"/>
      <c r="B279" s="293"/>
      <c r="C279" s="417"/>
      <c r="D279" s="291"/>
      <c r="E279" s="293"/>
      <c r="F279" s="417"/>
      <c r="G279" s="293"/>
      <c r="H279" s="293"/>
      <c r="I279" s="293"/>
      <c r="J279" s="293"/>
      <c r="K279" s="416"/>
    </row>
    <row r="280">
      <c r="A280" s="416"/>
      <c r="B280" s="293"/>
      <c r="C280" s="417"/>
      <c r="D280" s="291"/>
      <c r="E280" s="293"/>
      <c r="F280" s="417"/>
      <c r="G280" s="293"/>
      <c r="H280" s="293"/>
      <c r="I280" s="293"/>
      <c r="J280" s="293"/>
      <c r="K280" s="416"/>
    </row>
    <row r="281">
      <c r="A281" s="416"/>
      <c r="B281" s="293"/>
      <c r="C281" s="417"/>
      <c r="D281" s="291"/>
      <c r="E281" s="293"/>
      <c r="F281" s="417"/>
      <c r="G281" s="293"/>
      <c r="H281" s="293"/>
      <c r="I281" s="293"/>
      <c r="J281" s="293"/>
      <c r="K281" s="416"/>
    </row>
    <row r="282">
      <c r="A282" s="416"/>
      <c r="B282" s="293"/>
      <c r="C282" s="417"/>
      <c r="D282" s="291"/>
      <c r="E282" s="293"/>
      <c r="F282" s="417"/>
      <c r="G282" s="293"/>
      <c r="H282" s="293"/>
      <c r="I282" s="293"/>
      <c r="J282" s="293"/>
      <c r="K282" s="416"/>
    </row>
    <row r="283">
      <c r="A283" s="416"/>
      <c r="B283" s="293"/>
      <c r="C283" s="417"/>
      <c r="D283" s="291"/>
      <c r="E283" s="293"/>
      <c r="F283" s="417"/>
      <c r="G283" s="293"/>
      <c r="H283" s="293"/>
      <c r="I283" s="293"/>
      <c r="J283" s="293"/>
      <c r="K283" s="416"/>
    </row>
    <row r="284">
      <c r="A284" s="416"/>
      <c r="B284" s="293"/>
      <c r="C284" s="417"/>
      <c r="D284" s="291"/>
      <c r="E284" s="293"/>
      <c r="F284" s="417"/>
      <c r="G284" s="293"/>
      <c r="H284" s="293"/>
      <c r="I284" s="293"/>
      <c r="J284" s="293"/>
      <c r="K284" s="416"/>
    </row>
    <row r="285">
      <c r="A285" s="416"/>
      <c r="B285" s="293"/>
      <c r="C285" s="417"/>
      <c r="D285" s="291"/>
      <c r="E285" s="293"/>
      <c r="F285" s="417"/>
      <c r="G285" s="293"/>
      <c r="H285" s="293"/>
      <c r="I285" s="293"/>
      <c r="J285" s="293"/>
      <c r="K285" s="416"/>
    </row>
    <row r="286">
      <c r="A286" s="416"/>
      <c r="B286" s="293"/>
      <c r="C286" s="417"/>
      <c r="D286" s="291"/>
      <c r="E286" s="293"/>
      <c r="F286" s="417"/>
      <c r="G286" s="293"/>
      <c r="H286" s="293"/>
      <c r="I286" s="293"/>
      <c r="J286" s="293"/>
      <c r="K286" s="416"/>
    </row>
    <row r="287">
      <c r="A287" s="416"/>
      <c r="B287" s="293"/>
      <c r="C287" s="417"/>
      <c r="D287" s="291"/>
      <c r="E287" s="293"/>
      <c r="F287" s="417"/>
      <c r="G287" s="293"/>
      <c r="H287" s="293"/>
      <c r="I287" s="293"/>
      <c r="J287" s="293"/>
      <c r="K287" s="416"/>
    </row>
    <row r="288">
      <c r="A288" s="416"/>
      <c r="B288" s="293"/>
      <c r="C288" s="417"/>
      <c r="D288" s="291"/>
      <c r="E288" s="293"/>
      <c r="F288" s="417"/>
      <c r="G288" s="293"/>
      <c r="H288" s="293"/>
      <c r="I288" s="293"/>
      <c r="J288" s="293"/>
      <c r="K288" s="416"/>
    </row>
    <row r="289">
      <c r="A289" s="416"/>
      <c r="B289" s="293"/>
      <c r="C289" s="417"/>
      <c r="D289" s="291"/>
      <c r="E289" s="293"/>
      <c r="F289" s="417"/>
      <c r="G289" s="293"/>
      <c r="H289" s="293"/>
      <c r="I289" s="293"/>
      <c r="J289" s="293"/>
      <c r="K289" s="416"/>
    </row>
    <row r="290">
      <c r="A290" s="416"/>
      <c r="B290" s="293"/>
      <c r="C290" s="417"/>
      <c r="D290" s="291"/>
      <c r="E290" s="293"/>
      <c r="F290" s="417"/>
      <c r="G290" s="293"/>
      <c r="H290" s="293"/>
      <c r="I290" s="293"/>
      <c r="J290" s="293"/>
      <c r="K290" s="416"/>
    </row>
    <row r="291">
      <c r="A291" s="416"/>
      <c r="B291" s="293"/>
      <c r="C291" s="417"/>
      <c r="D291" s="291"/>
      <c r="E291" s="293"/>
      <c r="F291" s="417"/>
      <c r="G291" s="293"/>
      <c r="H291" s="293"/>
      <c r="I291" s="293"/>
      <c r="J291" s="293"/>
      <c r="K291" s="416"/>
    </row>
    <row r="292">
      <c r="A292" s="416"/>
      <c r="B292" s="293"/>
      <c r="C292" s="417"/>
      <c r="D292" s="291"/>
      <c r="E292" s="293"/>
      <c r="F292" s="417"/>
      <c r="G292" s="293"/>
      <c r="H292" s="293"/>
      <c r="I292" s="293"/>
      <c r="J292" s="293"/>
      <c r="K292" s="416"/>
    </row>
    <row r="293">
      <c r="A293" s="416"/>
      <c r="B293" s="293"/>
      <c r="C293" s="417"/>
      <c r="D293" s="291"/>
      <c r="E293" s="293"/>
      <c r="F293" s="417"/>
      <c r="G293" s="293"/>
      <c r="H293" s="293"/>
      <c r="I293" s="293"/>
      <c r="J293" s="293"/>
      <c r="K293" s="416"/>
    </row>
    <row r="294">
      <c r="A294" s="416"/>
      <c r="B294" s="293"/>
      <c r="C294" s="417"/>
      <c r="D294" s="291"/>
      <c r="E294" s="293"/>
      <c r="F294" s="417"/>
      <c r="G294" s="293"/>
      <c r="H294" s="293"/>
      <c r="I294" s="293"/>
      <c r="J294" s="293"/>
      <c r="K294" s="416"/>
    </row>
    <row r="295">
      <c r="A295" s="416"/>
      <c r="B295" s="293"/>
      <c r="C295" s="417"/>
      <c r="D295" s="291"/>
      <c r="E295" s="293"/>
      <c r="F295" s="417"/>
      <c r="G295" s="293"/>
      <c r="H295" s="293"/>
      <c r="I295" s="293"/>
      <c r="J295" s="293"/>
      <c r="K295" s="416"/>
    </row>
    <row r="296">
      <c r="A296" s="416"/>
      <c r="B296" s="293"/>
      <c r="C296" s="417"/>
      <c r="D296" s="291"/>
      <c r="E296" s="293"/>
      <c r="F296" s="417"/>
      <c r="G296" s="293"/>
      <c r="H296" s="293"/>
      <c r="I296" s="293"/>
      <c r="J296" s="293"/>
      <c r="K296" s="416"/>
    </row>
    <row r="297">
      <c r="A297" s="416"/>
      <c r="B297" s="293"/>
      <c r="C297" s="417"/>
      <c r="D297" s="291"/>
      <c r="E297" s="293"/>
      <c r="F297" s="417"/>
      <c r="G297" s="293"/>
      <c r="H297" s="293"/>
      <c r="I297" s="293"/>
      <c r="J297" s="293"/>
      <c r="K297" s="416"/>
    </row>
    <row r="298">
      <c r="A298" s="416"/>
      <c r="B298" s="293"/>
      <c r="C298" s="417"/>
      <c r="D298" s="291"/>
      <c r="E298" s="293"/>
      <c r="F298" s="417"/>
      <c r="G298" s="293"/>
      <c r="H298" s="293"/>
      <c r="I298" s="293"/>
      <c r="J298" s="293"/>
      <c r="K298" s="416"/>
    </row>
    <row r="299">
      <c r="A299" s="416"/>
      <c r="B299" s="293"/>
      <c r="C299" s="417"/>
      <c r="D299" s="291"/>
      <c r="E299" s="293"/>
      <c r="F299" s="417"/>
      <c r="G299" s="293"/>
      <c r="H299" s="293"/>
      <c r="I299" s="293"/>
      <c r="J299" s="293"/>
      <c r="K299" s="416"/>
    </row>
    <row r="300">
      <c r="A300" s="416"/>
      <c r="B300" s="293"/>
      <c r="C300" s="417"/>
      <c r="D300" s="291"/>
      <c r="E300" s="293"/>
      <c r="F300" s="417"/>
      <c r="G300" s="293"/>
      <c r="H300" s="293"/>
      <c r="I300" s="293"/>
      <c r="J300" s="293"/>
      <c r="K300" s="416"/>
    </row>
    <row r="301">
      <c r="A301" s="416"/>
      <c r="B301" s="293"/>
      <c r="C301" s="417"/>
      <c r="D301" s="291"/>
      <c r="E301" s="293"/>
      <c r="F301" s="417"/>
      <c r="G301" s="293"/>
      <c r="H301" s="293"/>
      <c r="I301" s="293"/>
      <c r="J301" s="293"/>
      <c r="K301" s="416"/>
    </row>
    <row r="302">
      <c r="A302" s="416"/>
      <c r="B302" s="293"/>
      <c r="C302" s="417"/>
      <c r="D302" s="291"/>
      <c r="E302" s="293"/>
      <c r="F302" s="417"/>
      <c r="G302" s="293"/>
      <c r="H302" s="293"/>
      <c r="I302" s="293"/>
      <c r="J302" s="293"/>
      <c r="K302" s="416"/>
    </row>
    <row r="303">
      <c r="A303" s="416"/>
      <c r="B303" s="293"/>
      <c r="C303" s="417"/>
      <c r="D303" s="291"/>
      <c r="E303" s="293"/>
      <c r="F303" s="417"/>
      <c r="G303" s="293"/>
      <c r="H303" s="293"/>
      <c r="I303" s="293"/>
      <c r="J303" s="293"/>
      <c r="K303" s="416"/>
    </row>
    <row r="304">
      <c r="A304" s="416"/>
      <c r="B304" s="293"/>
      <c r="C304" s="417"/>
      <c r="D304" s="291"/>
      <c r="E304" s="293"/>
      <c r="F304" s="417"/>
      <c r="G304" s="293"/>
      <c r="H304" s="293"/>
      <c r="I304" s="293"/>
      <c r="J304" s="293"/>
      <c r="K304" s="416"/>
    </row>
    <row r="305">
      <c r="A305" s="416"/>
      <c r="B305" s="293"/>
      <c r="C305" s="417"/>
      <c r="D305" s="291"/>
      <c r="E305" s="293"/>
      <c r="F305" s="417"/>
      <c r="G305" s="293"/>
      <c r="H305" s="293"/>
      <c r="I305" s="293"/>
      <c r="J305" s="293"/>
      <c r="K305" s="416"/>
    </row>
    <row r="306">
      <c r="A306" s="416"/>
      <c r="B306" s="293"/>
      <c r="C306" s="417"/>
      <c r="D306" s="291"/>
      <c r="E306" s="293"/>
      <c r="F306" s="417"/>
      <c r="G306" s="293"/>
      <c r="H306" s="293"/>
      <c r="I306" s="293"/>
      <c r="J306" s="293"/>
      <c r="K306" s="416"/>
    </row>
    <row r="307">
      <c r="A307" s="416"/>
      <c r="B307" s="293"/>
      <c r="C307" s="417"/>
      <c r="D307" s="291"/>
      <c r="E307" s="293"/>
      <c r="F307" s="417"/>
      <c r="G307" s="293"/>
      <c r="H307" s="293"/>
      <c r="I307" s="293"/>
      <c r="J307" s="293"/>
      <c r="K307" s="416"/>
    </row>
    <row r="308">
      <c r="A308" s="416"/>
      <c r="B308" s="293"/>
      <c r="C308" s="417"/>
      <c r="D308" s="291"/>
      <c r="E308" s="293"/>
      <c r="F308" s="417"/>
      <c r="G308" s="293"/>
      <c r="H308" s="293"/>
      <c r="I308" s="293"/>
      <c r="J308" s="293"/>
      <c r="K308" s="416"/>
    </row>
    <row r="309">
      <c r="A309" s="416"/>
      <c r="B309" s="293"/>
      <c r="C309" s="417"/>
      <c r="D309" s="291"/>
      <c r="E309" s="293"/>
      <c r="F309" s="417"/>
      <c r="G309" s="293"/>
      <c r="H309" s="293"/>
      <c r="I309" s="293"/>
      <c r="J309" s="293"/>
      <c r="K309" s="416"/>
    </row>
    <row r="310">
      <c r="A310" s="416"/>
      <c r="B310" s="293"/>
      <c r="C310" s="417"/>
      <c r="D310" s="291"/>
      <c r="E310" s="293"/>
      <c r="F310" s="417"/>
      <c r="G310" s="293"/>
      <c r="H310" s="293"/>
      <c r="I310" s="293"/>
      <c r="J310" s="293"/>
      <c r="K310" s="416"/>
    </row>
    <row r="311">
      <c r="A311" s="416"/>
      <c r="B311" s="293"/>
      <c r="C311" s="417"/>
      <c r="D311" s="291"/>
      <c r="E311" s="293"/>
      <c r="F311" s="417"/>
      <c r="G311" s="293"/>
      <c r="H311" s="293"/>
      <c r="I311" s="293"/>
      <c r="J311" s="293"/>
      <c r="K311" s="416"/>
    </row>
    <row r="312">
      <c r="A312" s="416"/>
      <c r="B312" s="293"/>
      <c r="C312" s="417"/>
      <c r="D312" s="291"/>
      <c r="E312" s="293"/>
      <c r="F312" s="417"/>
      <c r="G312" s="293"/>
      <c r="H312" s="293"/>
      <c r="I312" s="293"/>
      <c r="J312" s="293"/>
      <c r="K312" s="416"/>
    </row>
    <row r="313">
      <c r="A313" s="416"/>
      <c r="B313" s="293"/>
      <c r="C313" s="417"/>
      <c r="D313" s="291"/>
      <c r="E313" s="293"/>
      <c r="F313" s="417"/>
      <c r="G313" s="293"/>
      <c r="H313" s="293"/>
      <c r="I313" s="293"/>
      <c r="J313" s="293"/>
      <c r="K313" s="416"/>
    </row>
    <row r="314">
      <c r="A314" s="416"/>
      <c r="B314" s="293"/>
      <c r="C314" s="417"/>
      <c r="D314" s="291"/>
      <c r="E314" s="293"/>
      <c r="F314" s="417"/>
      <c r="G314" s="293"/>
      <c r="H314" s="293"/>
      <c r="I314" s="293"/>
      <c r="J314" s="293"/>
      <c r="K314" s="416"/>
    </row>
    <row r="315">
      <c r="A315" s="416"/>
      <c r="B315" s="293"/>
      <c r="C315" s="417"/>
      <c r="D315" s="291"/>
      <c r="E315" s="293"/>
      <c r="F315" s="417"/>
      <c r="G315" s="293"/>
      <c r="H315" s="293"/>
      <c r="I315" s="293"/>
      <c r="J315" s="293"/>
      <c r="K315" s="416"/>
    </row>
    <row r="316">
      <c r="A316" s="416"/>
      <c r="B316" s="293"/>
      <c r="C316" s="417"/>
      <c r="D316" s="291"/>
      <c r="E316" s="293"/>
      <c r="F316" s="417"/>
      <c r="G316" s="293"/>
      <c r="H316" s="293"/>
      <c r="I316" s="293"/>
      <c r="J316" s="293"/>
      <c r="K316" s="416"/>
    </row>
    <row r="317">
      <c r="A317" s="416"/>
      <c r="B317" s="293"/>
      <c r="C317" s="417"/>
      <c r="D317" s="291"/>
      <c r="E317" s="293"/>
      <c r="F317" s="417"/>
      <c r="G317" s="293"/>
      <c r="H317" s="293"/>
      <c r="I317" s="293"/>
      <c r="J317" s="293"/>
      <c r="K317" s="416"/>
    </row>
    <row r="318">
      <c r="A318" s="416"/>
      <c r="B318" s="293"/>
      <c r="C318" s="417"/>
      <c r="D318" s="291"/>
      <c r="E318" s="293"/>
      <c r="F318" s="417"/>
      <c r="G318" s="293"/>
      <c r="H318" s="293"/>
      <c r="I318" s="293"/>
      <c r="J318" s="293"/>
      <c r="K318" s="416"/>
    </row>
    <row r="319">
      <c r="A319" s="416"/>
      <c r="B319" s="293"/>
      <c r="C319" s="417"/>
      <c r="D319" s="291"/>
      <c r="E319" s="293"/>
      <c r="F319" s="417"/>
      <c r="G319" s="293"/>
      <c r="H319" s="293"/>
      <c r="I319" s="293"/>
      <c r="J319" s="293"/>
      <c r="K319" s="416"/>
    </row>
    <row r="320">
      <c r="A320" s="416"/>
      <c r="B320" s="293"/>
      <c r="C320" s="417"/>
      <c r="D320" s="291"/>
      <c r="E320" s="293"/>
      <c r="F320" s="417"/>
      <c r="G320" s="293"/>
      <c r="H320" s="293"/>
      <c r="I320" s="293"/>
      <c r="J320" s="293"/>
      <c r="K320" s="416"/>
    </row>
    <row r="321">
      <c r="A321" s="416"/>
      <c r="B321" s="293"/>
      <c r="C321" s="417"/>
      <c r="D321" s="291"/>
      <c r="E321" s="293"/>
      <c r="F321" s="417"/>
      <c r="G321" s="293"/>
      <c r="H321" s="293"/>
      <c r="I321" s="293"/>
      <c r="J321" s="293"/>
      <c r="K321" s="416"/>
    </row>
    <row r="322">
      <c r="A322" s="416"/>
      <c r="B322" s="293"/>
      <c r="C322" s="417"/>
      <c r="D322" s="291"/>
      <c r="E322" s="293"/>
      <c r="F322" s="417"/>
      <c r="G322" s="293"/>
      <c r="H322" s="293"/>
      <c r="I322" s="293"/>
      <c r="J322" s="293"/>
      <c r="K322" s="416"/>
    </row>
    <row r="323">
      <c r="A323" s="416"/>
      <c r="B323" s="293"/>
      <c r="C323" s="417"/>
      <c r="D323" s="291"/>
      <c r="E323" s="293"/>
      <c r="F323" s="417"/>
      <c r="G323" s="293"/>
      <c r="H323" s="293"/>
      <c r="I323" s="293"/>
      <c r="J323" s="293"/>
      <c r="K323" s="416"/>
    </row>
    <row r="324">
      <c r="A324" s="416"/>
      <c r="B324" s="293"/>
      <c r="C324" s="417"/>
      <c r="D324" s="291"/>
      <c r="E324" s="293"/>
      <c r="F324" s="417"/>
      <c r="G324" s="293"/>
      <c r="H324" s="293"/>
      <c r="I324" s="293"/>
      <c r="J324" s="293"/>
      <c r="K324" s="416"/>
    </row>
    <row r="325">
      <c r="A325" s="416"/>
      <c r="B325" s="293"/>
      <c r="C325" s="417"/>
      <c r="D325" s="291"/>
      <c r="E325" s="293"/>
      <c r="F325" s="417"/>
      <c r="G325" s="293"/>
      <c r="H325" s="293"/>
      <c r="I325" s="293"/>
      <c r="J325" s="293"/>
      <c r="K325" s="416"/>
    </row>
    <row r="326">
      <c r="A326" s="416"/>
      <c r="B326" s="293"/>
      <c r="C326" s="417"/>
      <c r="D326" s="291"/>
      <c r="E326" s="293"/>
      <c r="F326" s="417"/>
      <c r="G326" s="293"/>
      <c r="H326" s="293"/>
      <c r="I326" s="293"/>
      <c r="J326" s="293"/>
      <c r="K326" s="416"/>
    </row>
    <row r="327">
      <c r="A327" s="416"/>
      <c r="B327" s="293"/>
      <c r="C327" s="417"/>
      <c r="D327" s="291"/>
      <c r="E327" s="293"/>
      <c r="F327" s="417"/>
      <c r="G327" s="293"/>
      <c r="H327" s="293"/>
      <c r="I327" s="293"/>
      <c r="J327" s="293"/>
      <c r="K327" s="416"/>
    </row>
    <row r="328">
      <c r="A328" s="416"/>
      <c r="B328" s="293"/>
      <c r="C328" s="417"/>
      <c r="D328" s="291"/>
      <c r="E328" s="293"/>
      <c r="F328" s="417"/>
      <c r="G328" s="293"/>
      <c r="H328" s="293"/>
      <c r="I328" s="293"/>
      <c r="J328" s="293"/>
      <c r="K328" s="416"/>
    </row>
    <row r="329">
      <c r="A329" s="416"/>
      <c r="B329" s="293"/>
      <c r="C329" s="417"/>
      <c r="D329" s="291"/>
      <c r="E329" s="293"/>
      <c r="F329" s="417"/>
      <c r="G329" s="293"/>
      <c r="H329" s="293"/>
      <c r="I329" s="293"/>
      <c r="J329" s="293"/>
      <c r="K329" s="416"/>
    </row>
    <row r="330">
      <c r="A330" s="416"/>
      <c r="B330" s="293"/>
      <c r="C330" s="417"/>
      <c r="D330" s="291"/>
      <c r="E330" s="293"/>
      <c r="F330" s="417"/>
      <c r="G330" s="293"/>
      <c r="H330" s="293"/>
      <c r="I330" s="293"/>
      <c r="J330" s="293"/>
      <c r="K330" s="416"/>
    </row>
    <row r="331">
      <c r="A331" s="416"/>
      <c r="B331" s="293"/>
      <c r="C331" s="417"/>
      <c r="D331" s="291"/>
      <c r="E331" s="293"/>
      <c r="F331" s="417"/>
      <c r="G331" s="293"/>
      <c r="H331" s="293"/>
      <c r="I331" s="293"/>
      <c r="J331" s="293"/>
      <c r="K331" s="416"/>
    </row>
    <row r="332">
      <c r="A332" s="416"/>
      <c r="B332" s="293"/>
      <c r="C332" s="417"/>
      <c r="D332" s="291"/>
      <c r="E332" s="293"/>
      <c r="F332" s="417"/>
      <c r="G332" s="293"/>
      <c r="H332" s="293"/>
      <c r="I332" s="293"/>
      <c r="J332" s="293"/>
      <c r="K332" s="416"/>
    </row>
    <row r="333">
      <c r="A333" s="416"/>
      <c r="B333" s="293"/>
      <c r="C333" s="417"/>
      <c r="D333" s="291"/>
      <c r="E333" s="293"/>
      <c r="F333" s="417"/>
      <c r="G333" s="293"/>
      <c r="H333" s="293"/>
      <c r="I333" s="293"/>
      <c r="J333" s="293"/>
      <c r="K333" s="416"/>
    </row>
    <row r="334">
      <c r="A334" s="416"/>
      <c r="B334" s="293"/>
      <c r="C334" s="417"/>
      <c r="D334" s="291"/>
      <c r="E334" s="293"/>
      <c r="F334" s="417"/>
      <c r="G334" s="293"/>
      <c r="H334" s="293"/>
      <c r="I334" s="293"/>
      <c r="J334" s="293"/>
      <c r="K334" s="416"/>
    </row>
    <row r="335">
      <c r="A335" s="416"/>
      <c r="B335" s="293"/>
      <c r="C335" s="417"/>
      <c r="D335" s="291"/>
      <c r="E335" s="293"/>
      <c r="F335" s="417"/>
      <c r="G335" s="293"/>
      <c r="H335" s="293"/>
      <c r="I335" s="293"/>
      <c r="J335" s="293"/>
      <c r="K335" s="416"/>
    </row>
    <row r="336">
      <c r="A336" s="416"/>
      <c r="B336" s="293"/>
      <c r="C336" s="417"/>
      <c r="D336" s="291"/>
      <c r="E336" s="293"/>
      <c r="F336" s="417"/>
      <c r="G336" s="293"/>
      <c r="H336" s="293"/>
      <c r="I336" s="293"/>
      <c r="J336" s="293"/>
      <c r="K336" s="416"/>
    </row>
    <row r="337">
      <c r="A337" s="416"/>
      <c r="B337" s="293"/>
      <c r="C337" s="417"/>
      <c r="D337" s="291"/>
      <c r="E337" s="293"/>
      <c r="F337" s="417"/>
      <c r="G337" s="293"/>
      <c r="H337" s="293"/>
      <c r="I337" s="293"/>
      <c r="J337" s="293"/>
      <c r="K337" s="416"/>
    </row>
    <row r="338">
      <c r="A338" s="416"/>
      <c r="B338" s="293"/>
      <c r="C338" s="417"/>
      <c r="D338" s="291"/>
      <c r="E338" s="293"/>
      <c r="F338" s="417"/>
      <c r="G338" s="293"/>
      <c r="H338" s="293"/>
      <c r="I338" s="293"/>
      <c r="J338" s="293"/>
      <c r="K338" s="416"/>
    </row>
    <row r="339">
      <c r="A339" s="416"/>
      <c r="B339" s="293"/>
      <c r="C339" s="417"/>
      <c r="D339" s="291"/>
      <c r="E339" s="293"/>
      <c r="F339" s="417"/>
      <c r="G339" s="293"/>
      <c r="H339" s="293"/>
      <c r="I339" s="293"/>
      <c r="J339" s="293"/>
      <c r="K339" s="416"/>
    </row>
    <row r="340">
      <c r="A340" s="416"/>
      <c r="B340" s="293"/>
      <c r="C340" s="417"/>
      <c r="D340" s="291"/>
      <c r="E340" s="293"/>
      <c r="F340" s="417"/>
      <c r="G340" s="293"/>
      <c r="H340" s="293"/>
      <c r="I340" s="293"/>
      <c r="J340" s="293"/>
      <c r="K340" s="416"/>
    </row>
    <row r="341">
      <c r="A341" s="416"/>
      <c r="B341" s="293"/>
      <c r="C341" s="417"/>
      <c r="D341" s="291"/>
      <c r="E341" s="293"/>
      <c r="F341" s="417"/>
      <c r="G341" s="293"/>
      <c r="H341" s="293"/>
      <c r="I341" s="293"/>
      <c r="J341" s="293"/>
      <c r="K341" s="416"/>
    </row>
    <row r="342">
      <c r="A342" s="416"/>
      <c r="B342" s="293"/>
      <c r="C342" s="417"/>
      <c r="D342" s="291"/>
      <c r="E342" s="293"/>
      <c r="F342" s="417"/>
      <c r="G342" s="293"/>
      <c r="H342" s="293"/>
      <c r="I342" s="293"/>
      <c r="J342" s="293"/>
      <c r="K342" s="416"/>
    </row>
    <row r="343">
      <c r="A343" s="416"/>
      <c r="B343" s="293"/>
      <c r="C343" s="417"/>
      <c r="D343" s="291"/>
      <c r="E343" s="293"/>
      <c r="F343" s="417"/>
      <c r="G343" s="293"/>
      <c r="H343" s="293"/>
      <c r="I343" s="293"/>
      <c r="J343" s="293"/>
      <c r="K343" s="416"/>
    </row>
    <row r="344">
      <c r="A344" s="416"/>
      <c r="B344" s="293"/>
      <c r="C344" s="417"/>
      <c r="D344" s="291"/>
      <c r="E344" s="293"/>
      <c r="F344" s="417"/>
      <c r="G344" s="293"/>
      <c r="H344" s="293"/>
      <c r="I344" s="293"/>
      <c r="J344" s="293"/>
      <c r="K344" s="416"/>
    </row>
    <row r="345">
      <c r="A345" s="416"/>
      <c r="B345" s="293"/>
      <c r="C345" s="417"/>
      <c r="D345" s="291"/>
      <c r="E345" s="293"/>
      <c r="F345" s="417"/>
      <c r="G345" s="293"/>
      <c r="H345" s="293"/>
      <c r="I345" s="293"/>
      <c r="J345" s="293"/>
      <c r="K345" s="416"/>
    </row>
    <row r="346">
      <c r="A346" s="416"/>
      <c r="B346" s="293"/>
      <c r="C346" s="417"/>
      <c r="D346" s="291"/>
      <c r="E346" s="293"/>
      <c r="F346" s="417"/>
      <c r="G346" s="293"/>
      <c r="H346" s="293"/>
      <c r="I346" s="293"/>
      <c r="J346" s="293"/>
      <c r="K346" s="416"/>
    </row>
    <row r="347">
      <c r="A347" s="416"/>
      <c r="B347" s="293"/>
      <c r="C347" s="417"/>
      <c r="D347" s="291"/>
      <c r="E347" s="293"/>
      <c r="F347" s="417"/>
      <c r="G347" s="293"/>
      <c r="H347" s="293"/>
      <c r="I347" s="293"/>
      <c r="J347" s="293"/>
      <c r="K347" s="416"/>
    </row>
    <row r="348">
      <c r="A348" s="416"/>
      <c r="B348" s="293"/>
      <c r="C348" s="417"/>
      <c r="D348" s="291"/>
      <c r="E348" s="293"/>
      <c r="F348" s="417"/>
      <c r="G348" s="293"/>
      <c r="H348" s="293"/>
      <c r="I348" s="293"/>
      <c r="J348" s="293"/>
      <c r="K348" s="416"/>
    </row>
    <row r="349">
      <c r="A349" s="416"/>
      <c r="B349" s="293"/>
      <c r="C349" s="417"/>
      <c r="D349" s="291"/>
      <c r="E349" s="293"/>
      <c r="F349" s="417"/>
      <c r="G349" s="293"/>
      <c r="H349" s="293"/>
      <c r="I349" s="293"/>
      <c r="J349" s="293"/>
      <c r="K349" s="416"/>
    </row>
    <row r="350">
      <c r="A350" s="416"/>
      <c r="B350" s="293"/>
      <c r="C350" s="417"/>
      <c r="D350" s="291"/>
      <c r="E350" s="293"/>
      <c r="F350" s="417"/>
      <c r="G350" s="293"/>
      <c r="H350" s="293"/>
      <c r="I350" s="293"/>
      <c r="J350" s="293"/>
      <c r="K350" s="416"/>
    </row>
    <row r="351">
      <c r="A351" s="416"/>
      <c r="B351" s="293"/>
      <c r="C351" s="417"/>
      <c r="D351" s="291"/>
      <c r="E351" s="293"/>
      <c r="F351" s="417"/>
      <c r="G351" s="293"/>
      <c r="H351" s="293"/>
      <c r="I351" s="293"/>
      <c r="J351" s="293"/>
      <c r="K351" s="416"/>
    </row>
    <row r="352">
      <c r="A352" s="416"/>
      <c r="B352" s="293"/>
      <c r="C352" s="417"/>
      <c r="D352" s="291"/>
      <c r="E352" s="293"/>
      <c r="F352" s="417"/>
      <c r="G352" s="293"/>
      <c r="H352" s="293"/>
      <c r="I352" s="293"/>
      <c r="J352" s="293"/>
      <c r="K352" s="416"/>
    </row>
    <row r="353">
      <c r="A353" s="416"/>
      <c r="B353" s="293"/>
      <c r="C353" s="417"/>
      <c r="D353" s="291"/>
      <c r="E353" s="293"/>
      <c r="F353" s="417"/>
      <c r="G353" s="293"/>
      <c r="H353" s="293"/>
      <c r="I353" s="293"/>
      <c r="J353" s="293"/>
      <c r="K353" s="416"/>
    </row>
    <row r="354">
      <c r="A354" s="416"/>
      <c r="B354" s="293"/>
      <c r="C354" s="417"/>
      <c r="D354" s="291"/>
      <c r="E354" s="293"/>
      <c r="F354" s="417"/>
      <c r="G354" s="293"/>
      <c r="H354" s="293"/>
      <c r="I354" s="293"/>
      <c r="J354" s="293"/>
      <c r="K354" s="416"/>
    </row>
    <row r="355">
      <c r="A355" s="416"/>
      <c r="B355" s="293"/>
      <c r="C355" s="417"/>
      <c r="D355" s="291"/>
      <c r="E355" s="293"/>
      <c r="F355" s="417"/>
      <c r="G355" s="293"/>
      <c r="H355" s="293"/>
      <c r="I355" s="293"/>
      <c r="J355" s="293"/>
      <c r="K355" s="416"/>
    </row>
    <row r="356">
      <c r="A356" s="416"/>
      <c r="B356" s="293"/>
      <c r="C356" s="417"/>
      <c r="D356" s="291"/>
      <c r="E356" s="293"/>
      <c r="F356" s="417"/>
      <c r="G356" s="293"/>
      <c r="H356" s="293"/>
      <c r="I356" s="293"/>
      <c r="J356" s="293"/>
      <c r="K356" s="416"/>
    </row>
    <row r="357">
      <c r="A357" s="416"/>
      <c r="B357" s="293"/>
      <c r="C357" s="417"/>
      <c r="D357" s="291"/>
      <c r="E357" s="293"/>
      <c r="F357" s="417"/>
      <c r="G357" s="293"/>
      <c r="H357" s="293"/>
      <c r="I357" s="293"/>
      <c r="J357" s="293"/>
      <c r="K357" s="416"/>
    </row>
    <row r="358">
      <c r="A358" s="416"/>
      <c r="B358" s="293"/>
      <c r="C358" s="417"/>
      <c r="D358" s="291"/>
      <c r="E358" s="293"/>
      <c r="F358" s="417"/>
      <c r="G358" s="293"/>
      <c r="H358" s="293"/>
      <c r="I358" s="293"/>
      <c r="J358" s="293"/>
      <c r="K358" s="416"/>
    </row>
    <row r="359">
      <c r="A359" s="416"/>
      <c r="B359" s="293"/>
      <c r="C359" s="417"/>
      <c r="D359" s="291"/>
      <c r="E359" s="293"/>
      <c r="F359" s="417"/>
      <c r="G359" s="293"/>
      <c r="H359" s="293"/>
      <c r="I359" s="293"/>
      <c r="J359" s="293"/>
      <c r="K359" s="416"/>
    </row>
    <row r="360">
      <c r="A360" s="416"/>
      <c r="B360" s="293"/>
      <c r="C360" s="417"/>
      <c r="D360" s="291"/>
      <c r="E360" s="293"/>
      <c r="F360" s="417"/>
      <c r="G360" s="293"/>
      <c r="H360" s="293"/>
      <c r="I360" s="293"/>
      <c r="J360" s="293"/>
      <c r="K360" s="416"/>
    </row>
    <row r="361">
      <c r="A361" s="416"/>
      <c r="B361" s="293"/>
      <c r="C361" s="417"/>
      <c r="D361" s="291"/>
      <c r="E361" s="293"/>
      <c r="F361" s="417"/>
      <c r="G361" s="293"/>
      <c r="H361" s="293"/>
      <c r="I361" s="293"/>
      <c r="J361" s="293"/>
      <c r="K361" s="416"/>
    </row>
    <row r="362">
      <c r="A362" s="416"/>
      <c r="B362" s="293"/>
      <c r="C362" s="417"/>
      <c r="D362" s="291"/>
      <c r="E362" s="293"/>
      <c r="F362" s="417"/>
      <c r="G362" s="293"/>
      <c r="H362" s="293"/>
      <c r="I362" s="293"/>
      <c r="J362" s="293"/>
      <c r="K362" s="416"/>
    </row>
    <row r="363">
      <c r="A363" s="416"/>
      <c r="B363" s="293"/>
      <c r="C363" s="417"/>
      <c r="D363" s="291"/>
      <c r="E363" s="293"/>
      <c r="F363" s="417"/>
      <c r="G363" s="293"/>
      <c r="H363" s="293"/>
      <c r="I363" s="293"/>
      <c r="J363" s="293"/>
      <c r="K363" s="416"/>
    </row>
    <row r="364">
      <c r="A364" s="416"/>
      <c r="B364" s="293"/>
      <c r="C364" s="417"/>
      <c r="D364" s="291"/>
      <c r="E364" s="293"/>
      <c r="F364" s="417"/>
      <c r="G364" s="293"/>
      <c r="H364" s="293"/>
      <c r="I364" s="293"/>
      <c r="J364" s="293"/>
      <c r="K364" s="416"/>
    </row>
    <row r="365">
      <c r="A365" s="416"/>
      <c r="B365" s="293"/>
      <c r="C365" s="417"/>
      <c r="D365" s="291"/>
      <c r="E365" s="293"/>
      <c r="F365" s="417"/>
      <c r="G365" s="293"/>
      <c r="H365" s="293"/>
      <c r="I365" s="293"/>
      <c r="J365" s="293"/>
      <c r="K365" s="416"/>
    </row>
    <row r="366">
      <c r="A366" s="416"/>
      <c r="B366" s="293"/>
      <c r="C366" s="417"/>
      <c r="D366" s="291"/>
      <c r="E366" s="293"/>
      <c r="F366" s="417"/>
      <c r="G366" s="293"/>
      <c r="H366" s="293"/>
      <c r="I366" s="293"/>
      <c r="J366" s="293"/>
      <c r="K366" s="416"/>
    </row>
    <row r="367">
      <c r="A367" s="416"/>
      <c r="B367" s="293"/>
      <c r="C367" s="417"/>
      <c r="D367" s="291"/>
      <c r="E367" s="293"/>
      <c r="F367" s="417"/>
      <c r="G367" s="293"/>
      <c r="H367" s="293"/>
      <c r="I367" s="293"/>
      <c r="J367" s="293"/>
      <c r="K367" s="416"/>
    </row>
    <row r="368">
      <c r="A368" s="416"/>
      <c r="B368" s="293"/>
      <c r="C368" s="417"/>
      <c r="D368" s="291"/>
      <c r="E368" s="293"/>
      <c r="F368" s="417"/>
      <c r="G368" s="293"/>
      <c r="H368" s="293"/>
      <c r="I368" s="293"/>
      <c r="J368" s="293"/>
      <c r="K368" s="416"/>
    </row>
    <row r="369">
      <c r="A369" s="416"/>
      <c r="B369" s="293"/>
      <c r="C369" s="417"/>
      <c r="D369" s="291"/>
      <c r="E369" s="293"/>
      <c r="F369" s="417"/>
      <c r="G369" s="293"/>
      <c r="H369" s="293"/>
      <c r="I369" s="293"/>
      <c r="J369" s="293"/>
      <c r="K369" s="416"/>
    </row>
    <row r="370">
      <c r="A370" s="416"/>
      <c r="B370" s="293"/>
      <c r="C370" s="417"/>
      <c r="D370" s="291"/>
      <c r="E370" s="293"/>
      <c r="F370" s="417"/>
      <c r="G370" s="293"/>
      <c r="H370" s="293"/>
      <c r="I370" s="293"/>
      <c r="J370" s="293"/>
      <c r="K370" s="416"/>
    </row>
    <row r="371">
      <c r="A371" s="416"/>
      <c r="B371" s="293"/>
      <c r="C371" s="417"/>
      <c r="D371" s="291"/>
      <c r="E371" s="293"/>
      <c r="F371" s="417"/>
      <c r="G371" s="293"/>
      <c r="H371" s="293"/>
      <c r="I371" s="293"/>
      <c r="J371" s="293"/>
      <c r="K371" s="416"/>
    </row>
    <row r="372">
      <c r="A372" s="416"/>
      <c r="B372" s="293"/>
      <c r="C372" s="417"/>
      <c r="D372" s="291"/>
      <c r="E372" s="293"/>
      <c r="F372" s="417"/>
      <c r="G372" s="293"/>
      <c r="H372" s="293"/>
      <c r="I372" s="293"/>
      <c r="J372" s="293"/>
      <c r="K372" s="416"/>
    </row>
    <row r="373">
      <c r="A373" s="416"/>
      <c r="B373" s="293"/>
      <c r="C373" s="417"/>
      <c r="D373" s="291"/>
      <c r="E373" s="293"/>
      <c r="F373" s="417"/>
      <c r="G373" s="293"/>
      <c r="H373" s="293"/>
      <c r="I373" s="293"/>
      <c r="J373" s="293"/>
      <c r="K373" s="416"/>
    </row>
    <row r="374">
      <c r="A374" s="416"/>
      <c r="B374" s="293"/>
      <c r="C374" s="417"/>
      <c r="D374" s="291"/>
      <c r="E374" s="293"/>
      <c r="F374" s="417"/>
      <c r="G374" s="293"/>
      <c r="H374" s="293"/>
      <c r="I374" s="293"/>
      <c r="J374" s="293"/>
      <c r="K374" s="416"/>
    </row>
    <row r="375">
      <c r="A375" s="416"/>
      <c r="B375" s="293"/>
      <c r="C375" s="417"/>
      <c r="D375" s="291"/>
      <c r="E375" s="293"/>
      <c r="F375" s="417"/>
      <c r="G375" s="293"/>
      <c r="H375" s="293"/>
      <c r="I375" s="293"/>
      <c r="J375" s="293"/>
      <c r="K375" s="416"/>
    </row>
    <row r="376">
      <c r="A376" s="416"/>
      <c r="B376" s="293"/>
      <c r="C376" s="417"/>
      <c r="D376" s="291"/>
      <c r="E376" s="293"/>
      <c r="F376" s="417"/>
      <c r="G376" s="293"/>
      <c r="H376" s="293"/>
      <c r="I376" s="293"/>
      <c r="J376" s="293"/>
      <c r="K376" s="416"/>
    </row>
    <row r="377">
      <c r="A377" s="416"/>
      <c r="B377" s="293"/>
      <c r="C377" s="417"/>
      <c r="D377" s="291"/>
      <c r="E377" s="293"/>
      <c r="F377" s="417"/>
      <c r="G377" s="293"/>
      <c r="H377" s="293"/>
      <c r="I377" s="293"/>
      <c r="J377" s="293"/>
      <c r="K377" s="416"/>
    </row>
    <row r="378">
      <c r="A378" s="416"/>
      <c r="B378" s="293"/>
      <c r="C378" s="417"/>
      <c r="D378" s="291"/>
      <c r="E378" s="293"/>
      <c r="F378" s="417"/>
      <c r="G378" s="293"/>
      <c r="H378" s="293"/>
      <c r="I378" s="293"/>
      <c r="J378" s="293"/>
      <c r="K378" s="416"/>
    </row>
    <row r="379">
      <c r="A379" s="416"/>
      <c r="B379" s="293"/>
      <c r="C379" s="417"/>
      <c r="D379" s="291"/>
      <c r="E379" s="293"/>
      <c r="F379" s="417"/>
      <c r="G379" s="293"/>
      <c r="H379" s="293"/>
      <c r="I379" s="293"/>
      <c r="J379" s="293"/>
      <c r="K379" s="416"/>
    </row>
    <row r="380">
      <c r="A380" s="416"/>
      <c r="B380" s="293"/>
      <c r="C380" s="417"/>
      <c r="D380" s="291"/>
      <c r="E380" s="293"/>
      <c r="F380" s="417"/>
      <c r="G380" s="293"/>
      <c r="H380" s="293"/>
      <c r="I380" s="293"/>
      <c r="J380" s="293"/>
      <c r="K380" s="416"/>
    </row>
    <row r="381">
      <c r="A381" s="416"/>
      <c r="B381" s="293"/>
      <c r="C381" s="417"/>
      <c r="D381" s="291"/>
      <c r="E381" s="293"/>
      <c r="F381" s="417"/>
      <c r="G381" s="293"/>
      <c r="H381" s="293"/>
      <c r="I381" s="293"/>
      <c r="J381" s="293"/>
      <c r="K381" s="416"/>
    </row>
    <row r="382">
      <c r="A382" s="416"/>
      <c r="B382" s="293"/>
      <c r="C382" s="417"/>
      <c r="D382" s="291"/>
      <c r="E382" s="293"/>
      <c r="F382" s="417"/>
      <c r="G382" s="293"/>
      <c r="H382" s="293"/>
      <c r="I382" s="293"/>
      <c r="J382" s="293"/>
      <c r="K382" s="416"/>
    </row>
    <row r="383">
      <c r="A383" s="416"/>
      <c r="B383" s="293"/>
      <c r="C383" s="417"/>
      <c r="D383" s="291"/>
      <c r="E383" s="293"/>
      <c r="F383" s="417"/>
      <c r="G383" s="293"/>
      <c r="H383" s="293"/>
      <c r="I383" s="293"/>
      <c r="J383" s="293"/>
      <c r="K383" s="416"/>
    </row>
    <row r="384">
      <c r="A384" s="416"/>
      <c r="B384" s="293"/>
      <c r="C384" s="417"/>
      <c r="D384" s="291"/>
      <c r="E384" s="293"/>
      <c r="F384" s="417"/>
      <c r="G384" s="293"/>
      <c r="H384" s="293"/>
      <c r="I384" s="293"/>
      <c r="J384" s="293"/>
      <c r="K384" s="416"/>
    </row>
    <row r="385">
      <c r="A385" s="416"/>
      <c r="B385" s="293"/>
      <c r="C385" s="417"/>
      <c r="D385" s="291"/>
      <c r="E385" s="293"/>
      <c r="F385" s="417"/>
      <c r="G385" s="293"/>
      <c r="H385" s="293"/>
      <c r="I385" s="293"/>
      <c r="J385" s="293"/>
      <c r="K385" s="416"/>
    </row>
    <row r="386">
      <c r="A386" s="416"/>
      <c r="B386" s="293"/>
      <c r="C386" s="417"/>
      <c r="D386" s="291"/>
      <c r="E386" s="293"/>
      <c r="F386" s="417"/>
      <c r="G386" s="293"/>
      <c r="H386" s="293"/>
      <c r="I386" s="293"/>
      <c r="J386" s="293"/>
      <c r="K386" s="416"/>
    </row>
    <row r="387">
      <c r="A387" s="416"/>
      <c r="B387" s="293"/>
      <c r="C387" s="417"/>
      <c r="D387" s="291"/>
      <c r="E387" s="293"/>
      <c r="F387" s="417"/>
      <c r="G387" s="293"/>
      <c r="H387" s="293"/>
      <c r="I387" s="293"/>
      <c r="J387" s="293"/>
      <c r="K387" s="416"/>
    </row>
    <row r="388">
      <c r="A388" s="416"/>
      <c r="B388" s="293"/>
      <c r="C388" s="417"/>
      <c r="D388" s="291"/>
      <c r="E388" s="293"/>
      <c r="F388" s="417"/>
      <c r="G388" s="293"/>
      <c r="H388" s="293"/>
      <c r="I388" s="293"/>
      <c r="J388" s="293"/>
      <c r="K388" s="416"/>
    </row>
    <row r="389">
      <c r="A389" s="416"/>
      <c r="B389" s="293"/>
      <c r="C389" s="417"/>
      <c r="D389" s="291"/>
      <c r="E389" s="293"/>
      <c r="F389" s="417"/>
      <c r="G389" s="293"/>
      <c r="H389" s="293"/>
      <c r="I389" s="293"/>
      <c r="J389" s="293"/>
      <c r="K389" s="416"/>
    </row>
    <row r="390">
      <c r="A390" s="416"/>
      <c r="B390" s="293"/>
      <c r="C390" s="417"/>
      <c r="D390" s="291"/>
      <c r="E390" s="293"/>
      <c r="F390" s="417"/>
      <c r="G390" s="293"/>
      <c r="H390" s="293"/>
      <c r="I390" s="293"/>
      <c r="J390" s="293"/>
      <c r="K390" s="416"/>
    </row>
    <row r="391">
      <c r="A391" s="416"/>
      <c r="B391" s="293"/>
      <c r="C391" s="417"/>
      <c r="D391" s="291"/>
      <c r="E391" s="293"/>
      <c r="F391" s="417"/>
      <c r="G391" s="293"/>
      <c r="H391" s="293"/>
      <c r="I391" s="293"/>
      <c r="J391" s="293"/>
      <c r="K391" s="416"/>
    </row>
    <row r="392">
      <c r="A392" s="416"/>
      <c r="B392" s="293"/>
      <c r="C392" s="417"/>
      <c r="D392" s="291"/>
      <c r="E392" s="293"/>
      <c r="F392" s="417"/>
      <c r="G392" s="293"/>
      <c r="H392" s="293"/>
      <c r="I392" s="293"/>
      <c r="J392" s="293"/>
      <c r="K392" s="416"/>
    </row>
    <row r="393">
      <c r="A393" s="416"/>
      <c r="B393" s="293"/>
      <c r="C393" s="417"/>
      <c r="D393" s="291"/>
      <c r="E393" s="293"/>
      <c r="F393" s="417"/>
      <c r="G393" s="293"/>
      <c r="H393" s="293"/>
      <c r="I393" s="293"/>
      <c r="J393" s="293"/>
      <c r="K393" s="416"/>
    </row>
    <row r="394">
      <c r="A394" s="416"/>
      <c r="B394" s="293"/>
      <c r="C394" s="417"/>
      <c r="D394" s="291"/>
      <c r="E394" s="293"/>
      <c r="F394" s="417"/>
      <c r="G394" s="293"/>
      <c r="H394" s="293"/>
      <c r="I394" s="293"/>
      <c r="J394" s="293"/>
      <c r="K394" s="416"/>
    </row>
    <row r="395">
      <c r="A395" s="416"/>
      <c r="B395" s="293"/>
      <c r="C395" s="417"/>
      <c r="D395" s="291"/>
      <c r="E395" s="293"/>
      <c r="F395" s="417"/>
      <c r="G395" s="293"/>
      <c r="H395" s="293"/>
      <c r="I395" s="293"/>
      <c r="J395" s="293"/>
      <c r="K395" s="416"/>
    </row>
    <row r="396">
      <c r="A396" s="416"/>
      <c r="B396" s="293"/>
      <c r="C396" s="417"/>
      <c r="D396" s="291"/>
      <c r="E396" s="293"/>
      <c r="F396" s="417"/>
      <c r="G396" s="293"/>
      <c r="H396" s="293"/>
      <c r="I396" s="293"/>
      <c r="J396" s="293"/>
      <c r="K396" s="416"/>
    </row>
    <row r="397">
      <c r="A397" s="416"/>
      <c r="B397" s="293"/>
      <c r="C397" s="417"/>
      <c r="D397" s="291"/>
      <c r="E397" s="293"/>
      <c r="F397" s="417"/>
      <c r="G397" s="293"/>
      <c r="H397" s="293"/>
      <c r="I397" s="293"/>
      <c r="J397" s="293"/>
      <c r="K397" s="416"/>
    </row>
    <row r="398">
      <c r="A398" s="416"/>
      <c r="B398" s="293"/>
      <c r="C398" s="417"/>
      <c r="D398" s="291"/>
      <c r="E398" s="293"/>
      <c r="F398" s="417"/>
      <c r="G398" s="293"/>
      <c r="H398" s="293"/>
      <c r="I398" s="293"/>
      <c r="J398" s="293"/>
      <c r="K398" s="416"/>
    </row>
    <row r="399">
      <c r="A399" s="416"/>
      <c r="B399" s="293"/>
      <c r="C399" s="417"/>
      <c r="D399" s="291"/>
      <c r="E399" s="293"/>
      <c r="F399" s="417"/>
      <c r="G399" s="293"/>
      <c r="H399" s="293"/>
      <c r="I399" s="293"/>
      <c r="J399" s="293"/>
      <c r="K399" s="416"/>
    </row>
    <row r="400">
      <c r="A400" s="416"/>
      <c r="B400" s="293"/>
      <c r="C400" s="417"/>
      <c r="D400" s="291"/>
      <c r="E400" s="293"/>
      <c r="F400" s="417"/>
      <c r="G400" s="293"/>
      <c r="H400" s="293"/>
      <c r="I400" s="293"/>
      <c r="J400" s="293"/>
      <c r="K400" s="416"/>
    </row>
    <row r="401">
      <c r="A401" s="416"/>
      <c r="B401" s="293"/>
      <c r="C401" s="417"/>
      <c r="D401" s="291"/>
      <c r="E401" s="293"/>
      <c r="F401" s="417"/>
      <c r="G401" s="293"/>
      <c r="H401" s="293"/>
      <c r="I401" s="293"/>
      <c r="J401" s="293"/>
      <c r="K401" s="416"/>
    </row>
    <row r="402">
      <c r="A402" s="416"/>
      <c r="B402" s="293"/>
      <c r="C402" s="417"/>
      <c r="D402" s="291"/>
      <c r="E402" s="293"/>
      <c r="F402" s="417"/>
      <c r="G402" s="293"/>
      <c r="H402" s="293"/>
      <c r="I402" s="293"/>
      <c r="J402" s="293"/>
      <c r="K402" s="416"/>
    </row>
    <row r="403">
      <c r="A403" s="416"/>
      <c r="B403" s="293"/>
      <c r="C403" s="417"/>
      <c r="D403" s="291"/>
      <c r="E403" s="293"/>
      <c r="F403" s="417"/>
      <c r="G403" s="293"/>
      <c r="H403" s="293"/>
      <c r="I403" s="293"/>
      <c r="J403" s="293"/>
      <c r="K403" s="416"/>
    </row>
    <row r="404">
      <c r="A404" s="416"/>
      <c r="B404" s="293"/>
      <c r="C404" s="417"/>
      <c r="D404" s="291"/>
      <c r="E404" s="293"/>
      <c r="F404" s="417"/>
      <c r="G404" s="293"/>
      <c r="H404" s="293"/>
      <c r="I404" s="293"/>
      <c r="J404" s="293"/>
      <c r="K404" s="416"/>
    </row>
    <row r="405">
      <c r="A405" s="416"/>
      <c r="B405" s="293"/>
      <c r="C405" s="417"/>
      <c r="D405" s="291"/>
      <c r="E405" s="293"/>
      <c r="F405" s="417"/>
      <c r="G405" s="293"/>
      <c r="H405" s="293"/>
      <c r="I405" s="293"/>
      <c r="J405" s="293"/>
      <c r="K405" s="416"/>
    </row>
    <row r="406">
      <c r="A406" s="416"/>
      <c r="B406" s="293"/>
      <c r="C406" s="417"/>
      <c r="D406" s="291"/>
      <c r="E406" s="293"/>
      <c r="F406" s="417"/>
      <c r="G406" s="293"/>
      <c r="H406" s="293"/>
      <c r="I406" s="293"/>
      <c r="J406" s="293"/>
      <c r="K406" s="416"/>
    </row>
    <row r="407">
      <c r="A407" s="416"/>
      <c r="B407" s="293"/>
      <c r="C407" s="417"/>
      <c r="D407" s="291"/>
      <c r="E407" s="293"/>
      <c r="F407" s="417"/>
      <c r="G407" s="293"/>
      <c r="H407" s="293"/>
      <c r="I407" s="293"/>
      <c r="J407" s="293"/>
      <c r="K407" s="416"/>
    </row>
    <row r="408">
      <c r="A408" s="416"/>
      <c r="B408" s="293"/>
      <c r="C408" s="417"/>
      <c r="D408" s="291"/>
      <c r="E408" s="293"/>
      <c r="F408" s="417"/>
      <c r="G408" s="293"/>
      <c r="H408" s="293"/>
      <c r="I408" s="293"/>
      <c r="J408" s="293"/>
      <c r="K408" s="416"/>
    </row>
    <row r="409">
      <c r="A409" s="416"/>
      <c r="B409" s="293"/>
      <c r="C409" s="417"/>
      <c r="D409" s="291"/>
      <c r="E409" s="293"/>
      <c r="F409" s="417"/>
      <c r="G409" s="293"/>
      <c r="H409" s="293"/>
      <c r="I409" s="293"/>
      <c r="J409" s="293"/>
      <c r="K409" s="416"/>
    </row>
    <row r="410">
      <c r="A410" s="416"/>
      <c r="B410" s="293"/>
      <c r="C410" s="417"/>
      <c r="D410" s="291"/>
      <c r="E410" s="293"/>
      <c r="F410" s="417"/>
      <c r="G410" s="293"/>
      <c r="H410" s="293"/>
      <c r="I410" s="293"/>
      <c r="J410" s="293"/>
      <c r="K410" s="416"/>
    </row>
    <row r="411">
      <c r="A411" s="416"/>
      <c r="B411" s="293"/>
      <c r="C411" s="417"/>
      <c r="D411" s="291"/>
      <c r="E411" s="293"/>
      <c r="F411" s="417"/>
      <c r="G411" s="293"/>
      <c r="H411" s="293"/>
      <c r="I411" s="293"/>
      <c r="J411" s="293"/>
      <c r="K411" s="416"/>
    </row>
    <row r="412">
      <c r="A412" s="416"/>
      <c r="B412" s="293"/>
      <c r="C412" s="417"/>
      <c r="D412" s="291"/>
      <c r="E412" s="293"/>
      <c r="F412" s="417"/>
      <c r="G412" s="293"/>
      <c r="H412" s="293"/>
      <c r="I412" s="293"/>
      <c r="J412" s="293"/>
      <c r="K412" s="416"/>
    </row>
    <row r="413">
      <c r="A413" s="416"/>
      <c r="B413" s="293"/>
      <c r="C413" s="417"/>
      <c r="D413" s="291"/>
      <c r="E413" s="293"/>
      <c r="F413" s="417"/>
      <c r="G413" s="293"/>
      <c r="H413" s="293"/>
      <c r="I413" s="293"/>
      <c r="J413" s="293"/>
      <c r="K413" s="416"/>
    </row>
    <row r="414">
      <c r="A414" s="416"/>
      <c r="B414" s="293"/>
      <c r="C414" s="417"/>
      <c r="D414" s="291"/>
      <c r="E414" s="293"/>
      <c r="F414" s="417"/>
      <c r="G414" s="293"/>
      <c r="H414" s="293"/>
      <c r="I414" s="293"/>
      <c r="J414" s="293"/>
      <c r="K414" s="416"/>
    </row>
    <row r="415">
      <c r="A415" s="416"/>
      <c r="B415" s="293"/>
      <c r="C415" s="417"/>
      <c r="D415" s="291"/>
      <c r="E415" s="293"/>
      <c r="F415" s="417"/>
      <c r="G415" s="293"/>
      <c r="H415" s="293"/>
      <c r="I415" s="293"/>
      <c r="J415" s="293"/>
      <c r="K415" s="416"/>
    </row>
    <row r="416">
      <c r="A416" s="416"/>
      <c r="B416" s="293"/>
      <c r="C416" s="417"/>
      <c r="D416" s="291"/>
      <c r="E416" s="293"/>
      <c r="F416" s="417"/>
      <c r="G416" s="293"/>
      <c r="H416" s="293"/>
      <c r="I416" s="293"/>
      <c r="J416" s="293"/>
      <c r="K416" s="416"/>
    </row>
    <row r="417">
      <c r="A417" s="416"/>
      <c r="B417" s="293"/>
      <c r="C417" s="417"/>
      <c r="D417" s="291"/>
      <c r="E417" s="293"/>
      <c r="F417" s="417"/>
      <c r="G417" s="293"/>
      <c r="H417" s="293"/>
      <c r="I417" s="293"/>
      <c r="J417" s="293"/>
      <c r="K417" s="416"/>
    </row>
    <row r="418">
      <c r="A418" s="416"/>
      <c r="B418" s="293"/>
      <c r="C418" s="417"/>
      <c r="D418" s="291"/>
      <c r="E418" s="293"/>
      <c r="F418" s="417"/>
      <c r="G418" s="293"/>
      <c r="H418" s="293"/>
      <c r="I418" s="293"/>
      <c r="J418" s="293"/>
      <c r="K418" s="416"/>
    </row>
    <row r="419">
      <c r="A419" s="416"/>
      <c r="B419" s="293"/>
      <c r="C419" s="417"/>
      <c r="D419" s="291"/>
      <c r="E419" s="293"/>
      <c r="F419" s="417"/>
      <c r="G419" s="293"/>
      <c r="H419" s="293"/>
      <c r="I419" s="293"/>
      <c r="J419" s="293"/>
      <c r="K419" s="416"/>
    </row>
    <row r="420">
      <c r="A420" s="416"/>
      <c r="B420" s="293"/>
      <c r="C420" s="417"/>
      <c r="D420" s="291"/>
      <c r="E420" s="293"/>
      <c r="F420" s="417"/>
      <c r="G420" s="293"/>
      <c r="H420" s="293"/>
      <c r="I420" s="293"/>
      <c r="J420" s="293"/>
      <c r="K420" s="416"/>
    </row>
    <row r="421">
      <c r="A421" s="416"/>
      <c r="B421" s="293"/>
      <c r="C421" s="417"/>
      <c r="D421" s="291"/>
      <c r="E421" s="293"/>
      <c r="F421" s="417"/>
      <c r="G421" s="293"/>
      <c r="H421" s="293"/>
      <c r="I421" s="293"/>
      <c r="J421" s="293"/>
      <c r="K421" s="416"/>
    </row>
    <row r="422">
      <c r="A422" s="416"/>
      <c r="B422" s="293"/>
      <c r="C422" s="417"/>
      <c r="D422" s="291"/>
      <c r="E422" s="293"/>
      <c r="F422" s="417"/>
      <c r="G422" s="293"/>
      <c r="H422" s="293"/>
      <c r="I422" s="293"/>
      <c r="J422" s="293"/>
      <c r="K422" s="416"/>
    </row>
    <row r="423">
      <c r="A423" s="416"/>
      <c r="B423" s="293"/>
      <c r="C423" s="417"/>
      <c r="D423" s="291"/>
      <c r="E423" s="293"/>
      <c r="F423" s="417"/>
      <c r="G423" s="293"/>
      <c r="H423" s="293"/>
      <c r="I423" s="293"/>
      <c r="J423" s="293"/>
      <c r="K423" s="416"/>
    </row>
    <row r="424">
      <c r="A424" s="416"/>
      <c r="B424" s="293"/>
      <c r="C424" s="417"/>
      <c r="D424" s="291"/>
      <c r="E424" s="293"/>
      <c r="F424" s="417"/>
      <c r="G424" s="293"/>
      <c r="H424" s="293"/>
      <c r="I424" s="293"/>
      <c r="J424" s="293"/>
      <c r="K424" s="416"/>
    </row>
    <row r="425">
      <c r="A425" s="416"/>
      <c r="B425" s="293"/>
      <c r="C425" s="417"/>
      <c r="D425" s="291"/>
      <c r="E425" s="293"/>
      <c r="F425" s="417"/>
      <c r="G425" s="293"/>
      <c r="H425" s="293"/>
      <c r="I425" s="293"/>
      <c r="J425" s="293"/>
      <c r="K425" s="416"/>
    </row>
    <row r="426">
      <c r="A426" s="416"/>
      <c r="B426" s="293"/>
      <c r="C426" s="417"/>
      <c r="D426" s="291"/>
      <c r="E426" s="293"/>
      <c r="F426" s="417"/>
      <c r="G426" s="293"/>
      <c r="H426" s="293"/>
      <c r="I426" s="293"/>
      <c r="J426" s="293"/>
      <c r="K426" s="416"/>
    </row>
    <row r="427">
      <c r="A427" s="416"/>
      <c r="B427" s="293"/>
      <c r="C427" s="417"/>
      <c r="D427" s="291"/>
      <c r="E427" s="293"/>
      <c r="F427" s="417"/>
      <c r="G427" s="293"/>
      <c r="H427" s="293"/>
      <c r="I427" s="293"/>
      <c r="J427" s="293"/>
      <c r="K427" s="416"/>
    </row>
    <row r="428">
      <c r="A428" s="416"/>
      <c r="B428" s="293"/>
      <c r="C428" s="417"/>
      <c r="D428" s="291"/>
      <c r="E428" s="293"/>
      <c r="F428" s="417"/>
      <c r="G428" s="293"/>
      <c r="H428" s="293"/>
      <c r="I428" s="293"/>
      <c r="J428" s="293"/>
      <c r="K428" s="416"/>
    </row>
    <row r="429">
      <c r="A429" s="416"/>
      <c r="B429" s="293"/>
      <c r="C429" s="417"/>
      <c r="D429" s="291"/>
      <c r="E429" s="293"/>
      <c r="F429" s="417"/>
      <c r="G429" s="293"/>
      <c r="H429" s="293"/>
      <c r="I429" s="293"/>
      <c r="J429" s="293"/>
      <c r="K429" s="416"/>
    </row>
    <row r="430">
      <c r="A430" s="416"/>
      <c r="B430" s="293"/>
      <c r="C430" s="417"/>
      <c r="D430" s="291"/>
      <c r="E430" s="293"/>
      <c r="F430" s="417"/>
      <c r="G430" s="293"/>
      <c r="H430" s="293"/>
      <c r="I430" s="293"/>
      <c r="J430" s="293"/>
      <c r="K430" s="416"/>
    </row>
    <row r="431">
      <c r="A431" s="416"/>
      <c r="B431" s="293"/>
      <c r="C431" s="417"/>
      <c r="D431" s="291"/>
      <c r="E431" s="293"/>
      <c r="F431" s="417"/>
      <c r="G431" s="293"/>
      <c r="H431" s="293"/>
      <c r="I431" s="293"/>
      <c r="J431" s="293"/>
      <c r="K431" s="416"/>
    </row>
    <row r="432">
      <c r="A432" s="416"/>
      <c r="B432" s="293"/>
      <c r="C432" s="417"/>
      <c r="D432" s="291"/>
      <c r="E432" s="293"/>
      <c r="F432" s="417"/>
      <c r="G432" s="293"/>
      <c r="H432" s="293"/>
      <c r="I432" s="293"/>
      <c r="J432" s="293"/>
      <c r="K432" s="416"/>
    </row>
    <row r="433">
      <c r="A433" s="416"/>
      <c r="B433" s="293"/>
      <c r="C433" s="417"/>
      <c r="D433" s="291"/>
      <c r="E433" s="293"/>
      <c r="F433" s="417"/>
      <c r="G433" s="293"/>
      <c r="H433" s="293"/>
      <c r="I433" s="293"/>
      <c r="J433" s="293"/>
      <c r="K433" s="416"/>
    </row>
    <row r="434">
      <c r="A434" s="416"/>
      <c r="B434" s="293"/>
      <c r="C434" s="417"/>
      <c r="D434" s="291"/>
      <c r="E434" s="293"/>
      <c r="F434" s="417"/>
      <c r="G434" s="293"/>
      <c r="H434" s="293"/>
      <c r="I434" s="293"/>
      <c r="J434" s="293"/>
      <c r="K434" s="416"/>
    </row>
    <row r="435">
      <c r="A435" s="416"/>
      <c r="B435" s="293"/>
      <c r="C435" s="417"/>
      <c r="D435" s="291"/>
      <c r="E435" s="293"/>
      <c r="F435" s="417"/>
      <c r="G435" s="293"/>
      <c r="H435" s="293"/>
      <c r="I435" s="293"/>
      <c r="J435" s="293"/>
      <c r="K435" s="416"/>
    </row>
    <row r="436">
      <c r="A436" s="416"/>
      <c r="B436" s="293"/>
      <c r="C436" s="417"/>
      <c r="D436" s="291"/>
      <c r="E436" s="293"/>
      <c r="F436" s="417"/>
      <c r="G436" s="293"/>
      <c r="H436" s="293"/>
      <c r="I436" s="293"/>
      <c r="J436" s="293"/>
      <c r="K436" s="416"/>
    </row>
    <row r="437">
      <c r="A437" s="416"/>
      <c r="B437" s="293"/>
      <c r="C437" s="417"/>
      <c r="D437" s="291"/>
      <c r="E437" s="293"/>
      <c r="F437" s="417"/>
      <c r="G437" s="293"/>
      <c r="H437" s="293"/>
      <c r="I437" s="293"/>
      <c r="J437" s="293"/>
      <c r="K437" s="416"/>
    </row>
    <row r="438">
      <c r="A438" s="416"/>
      <c r="B438" s="293"/>
      <c r="C438" s="417"/>
      <c r="D438" s="291"/>
      <c r="E438" s="293"/>
      <c r="F438" s="417"/>
      <c r="G438" s="293"/>
      <c r="H438" s="293"/>
      <c r="I438" s="293"/>
      <c r="J438" s="293"/>
      <c r="K438" s="416"/>
    </row>
    <row r="439">
      <c r="A439" s="416"/>
      <c r="B439" s="293"/>
      <c r="C439" s="417"/>
      <c r="D439" s="291"/>
      <c r="E439" s="293"/>
      <c r="F439" s="417"/>
      <c r="G439" s="293"/>
      <c r="H439" s="293"/>
      <c r="I439" s="293"/>
      <c r="J439" s="293"/>
      <c r="K439" s="416"/>
    </row>
    <row r="440">
      <c r="A440" s="416"/>
      <c r="B440" s="293"/>
      <c r="C440" s="417"/>
      <c r="D440" s="291"/>
      <c r="E440" s="293"/>
      <c r="F440" s="417"/>
      <c r="G440" s="293"/>
      <c r="H440" s="293"/>
      <c r="I440" s="293"/>
      <c r="J440" s="293"/>
      <c r="K440" s="416"/>
    </row>
    <row r="441">
      <c r="A441" s="416"/>
      <c r="B441" s="293"/>
      <c r="C441" s="417"/>
      <c r="D441" s="291"/>
      <c r="E441" s="293"/>
      <c r="F441" s="417"/>
      <c r="G441" s="293"/>
      <c r="H441" s="293"/>
      <c r="I441" s="293"/>
      <c r="J441" s="293"/>
      <c r="K441" s="416"/>
    </row>
    <row r="442">
      <c r="A442" s="416"/>
      <c r="B442" s="293"/>
      <c r="C442" s="417"/>
      <c r="D442" s="291"/>
      <c r="E442" s="293"/>
      <c r="F442" s="417"/>
      <c r="G442" s="293"/>
      <c r="H442" s="293"/>
      <c r="I442" s="293"/>
      <c r="J442" s="293"/>
      <c r="K442" s="416"/>
    </row>
    <row r="443">
      <c r="A443" s="416"/>
      <c r="B443" s="293"/>
      <c r="C443" s="417"/>
      <c r="D443" s="291"/>
      <c r="E443" s="293"/>
      <c r="F443" s="417"/>
      <c r="G443" s="293"/>
      <c r="H443" s="293"/>
      <c r="I443" s="293"/>
      <c r="J443" s="293"/>
      <c r="K443" s="416"/>
    </row>
    <row r="444">
      <c r="A444" s="416"/>
      <c r="B444" s="293"/>
      <c r="C444" s="417"/>
      <c r="D444" s="291"/>
      <c r="E444" s="293"/>
      <c r="F444" s="417"/>
      <c r="G444" s="293"/>
      <c r="H444" s="293"/>
      <c r="I444" s="293"/>
      <c r="J444" s="293"/>
      <c r="K444" s="416"/>
    </row>
    <row r="445">
      <c r="A445" s="416"/>
      <c r="B445" s="293"/>
      <c r="C445" s="417"/>
      <c r="D445" s="291"/>
      <c r="E445" s="293"/>
      <c r="F445" s="417"/>
      <c r="G445" s="293"/>
      <c r="H445" s="293"/>
      <c r="I445" s="293"/>
      <c r="J445" s="293"/>
      <c r="K445" s="416"/>
    </row>
    <row r="446">
      <c r="A446" s="416"/>
      <c r="B446" s="293"/>
      <c r="C446" s="417"/>
      <c r="D446" s="291"/>
      <c r="E446" s="293"/>
      <c r="F446" s="417"/>
      <c r="G446" s="293"/>
      <c r="H446" s="293"/>
      <c r="I446" s="293"/>
      <c r="J446" s="293"/>
      <c r="K446" s="416"/>
    </row>
    <row r="447">
      <c r="A447" s="416"/>
      <c r="B447" s="293"/>
      <c r="C447" s="417"/>
      <c r="D447" s="291"/>
      <c r="E447" s="293"/>
      <c r="F447" s="417"/>
      <c r="G447" s="293"/>
      <c r="H447" s="293"/>
      <c r="I447" s="293"/>
      <c r="J447" s="293"/>
      <c r="K447" s="416"/>
    </row>
    <row r="448">
      <c r="A448" s="416"/>
      <c r="B448" s="293"/>
      <c r="C448" s="417"/>
      <c r="D448" s="291"/>
      <c r="E448" s="293"/>
      <c r="F448" s="417"/>
      <c r="G448" s="293"/>
      <c r="H448" s="293"/>
      <c r="I448" s="293"/>
      <c r="J448" s="293"/>
      <c r="K448" s="416"/>
    </row>
    <row r="449">
      <c r="A449" s="416"/>
      <c r="B449" s="293"/>
      <c r="C449" s="417"/>
      <c r="D449" s="291"/>
      <c r="E449" s="293"/>
      <c r="F449" s="417"/>
      <c r="G449" s="293"/>
      <c r="H449" s="293"/>
      <c r="I449" s="293"/>
      <c r="J449" s="293"/>
      <c r="K449" s="416"/>
    </row>
    <row r="450">
      <c r="A450" s="416"/>
      <c r="B450" s="293"/>
      <c r="C450" s="417"/>
      <c r="D450" s="291"/>
      <c r="E450" s="293"/>
      <c r="F450" s="417"/>
      <c r="G450" s="293"/>
      <c r="H450" s="293"/>
      <c r="I450" s="293"/>
      <c r="J450" s="293"/>
      <c r="K450" s="416"/>
    </row>
    <row r="451">
      <c r="A451" s="416"/>
      <c r="B451" s="293"/>
      <c r="C451" s="417"/>
      <c r="D451" s="291"/>
      <c r="E451" s="293"/>
      <c r="F451" s="417"/>
      <c r="G451" s="293"/>
      <c r="H451" s="293"/>
      <c r="I451" s="293"/>
      <c r="J451" s="293"/>
      <c r="K451" s="416"/>
    </row>
    <row r="452">
      <c r="A452" s="416"/>
      <c r="B452" s="293"/>
      <c r="C452" s="417"/>
      <c r="D452" s="291"/>
      <c r="E452" s="293"/>
      <c r="F452" s="417"/>
      <c r="G452" s="293"/>
      <c r="H452" s="293"/>
      <c r="I452" s="293"/>
      <c r="J452" s="293"/>
      <c r="K452" s="416"/>
    </row>
    <row r="453">
      <c r="A453" s="416"/>
      <c r="B453" s="293"/>
      <c r="C453" s="417"/>
      <c r="D453" s="291"/>
      <c r="E453" s="293"/>
      <c r="F453" s="417"/>
      <c r="G453" s="293"/>
      <c r="H453" s="293"/>
      <c r="I453" s="293"/>
      <c r="J453" s="293"/>
      <c r="K453" s="416"/>
    </row>
    <row r="454">
      <c r="A454" s="416"/>
      <c r="B454" s="293"/>
      <c r="C454" s="417"/>
      <c r="D454" s="291"/>
      <c r="E454" s="293"/>
      <c r="F454" s="417"/>
      <c r="G454" s="293"/>
      <c r="H454" s="293"/>
      <c r="I454" s="293"/>
      <c r="J454" s="293"/>
      <c r="K454" s="416"/>
    </row>
    <row r="455">
      <c r="A455" s="416"/>
      <c r="B455" s="293"/>
      <c r="C455" s="417"/>
      <c r="D455" s="291"/>
      <c r="E455" s="293"/>
      <c r="F455" s="417"/>
      <c r="G455" s="293"/>
      <c r="H455" s="293"/>
      <c r="I455" s="293"/>
      <c r="J455" s="293"/>
      <c r="K455" s="416"/>
    </row>
    <row r="456">
      <c r="A456" s="416"/>
      <c r="B456" s="293"/>
      <c r="C456" s="417"/>
      <c r="D456" s="291"/>
      <c r="E456" s="293"/>
      <c r="F456" s="417"/>
      <c r="G456" s="293"/>
      <c r="H456" s="293"/>
      <c r="I456" s="293"/>
      <c r="J456" s="293"/>
      <c r="K456" s="416"/>
    </row>
    <row r="457">
      <c r="A457" s="416"/>
      <c r="B457" s="293"/>
      <c r="C457" s="417"/>
      <c r="D457" s="291"/>
      <c r="E457" s="293"/>
      <c r="F457" s="417"/>
      <c r="G457" s="293"/>
      <c r="H457" s="293"/>
      <c r="I457" s="293"/>
      <c r="J457" s="293"/>
      <c r="K457" s="416"/>
    </row>
    <row r="458">
      <c r="A458" s="416"/>
      <c r="B458" s="293"/>
      <c r="C458" s="417"/>
      <c r="D458" s="291"/>
      <c r="E458" s="293"/>
      <c r="F458" s="417"/>
      <c r="G458" s="293"/>
      <c r="H458" s="293"/>
      <c r="I458" s="293"/>
      <c r="J458" s="293"/>
      <c r="K458" s="416"/>
    </row>
    <row r="459">
      <c r="A459" s="416"/>
      <c r="B459" s="293"/>
      <c r="C459" s="417"/>
      <c r="D459" s="291"/>
      <c r="E459" s="293"/>
      <c r="F459" s="417"/>
      <c r="G459" s="293"/>
      <c r="H459" s="293"/>
      <c r="I459" s="293"/>
      <c r="J459" s="293"/>
      <c r="K459" s="416"/>
    </row>
    <row r="460">
      <c r="A460" s="416"/>
      <c r="B460" s="293"/>
      <c r="C460" s="417"/>
      <c r="D460" s="291"/>
      <c r="E460" s="293"/>
      <c r="F460" s="417"/>
      <c r="G460" s="293"/>
      <c r="H460" s="293"/>
      <c r="I460" s="293"/>
      <c r="J460" s="293"/>
      <c r="K460" s="416"/>
    </row>
    <row r="461">
      <c r="A461" s="416"/>
      <c r="B461" s="293"/>
      <c r="C461" s="417"/>
      <c r="D461" s="291"/>
      <c r="E461" s="293"/>
      <c r="F461" s="417"/>
      <c r="G461" s="293"/>
      <c r="H461" s="293"/>
      <c r="I461" s="293"/>
      <c r="J461" s="293"/>
      <c r="K461" s="416"/>
    </row>
    <row r="462">
      <c r="A462" s="416"/>
      <c r="B462" s="293"/>
      <c r="C462" s="417"/>
      <c r="D462" s="291"/>
      <c r="E462" s="293"/>
      <c r="F462" s="417"/>
      <c r="G462" s="293"/>
      <c r="H462" s="293"/>
      <c r="I462" s="293"/>
      <c r="J462" s="293"/>
      <c r="K462" s="416"/>
    </row>
    <row r="463">
      <c r="A463" s="416"/>
      <c r="B463" s="293"/>
      <c r="C463" s="417"/>
      <c r="D463" s="291"/>
      <c r="E463" s="293"/>
      <c r="F463" s="417"/>
      <c r="G463" s="293"/>
      <c r="H463" s="293"/>
      <c r="I463" s="293"/>
      <c r="J463" s="293"/>
      <c r="K463" s="416"/>
    </row>
    <row r="464">
      <c r="A464" s="416"/>
      <c r="B464" s="293"/>
      <c r="C464" s="417"/>
      <c r="D464" s="291"/>
      <c r="E464" s="293"/>
      <c r="F464" s="417"/>
      <c r="G464" s="293"/>
      <c r="H464" s="293"/>
      <c r="I464" s="293"/>
      <c r="J464" s="293"/>
      <c r="K464" s="416"/>
    </row>
    <row r="465">
      <c r="A465" s="416"/>
      <c r="B465" s="293"/>
      <c r="C465" s="417"/>
      <c r="D465" s="291"/>
      <c r="E465" s="293"/>
      <c r="F465" s="417"/>
      <c r="G465" s="293"/>
      <c r="H465" s="293"/>
      <c r="I465" s="293"/>
      <c r="J465" s="293"/>
      <c r="K465" s="416"/>
    </row>
    <row r="466">
      <c r="A466" s="416"/>
      <c r="B466" s="293"/>
      <c r="C466" s="417"/>
      <c r="D466" s="291"/>
      <c r="E466" s="293"/>
      <c r="F466" s="417"/>
      <c r="G466" s="293"/>
      <c r="H466" s="293"/>
      <c r="I466" s="293"/>
      <c r="J466" s="293"/>
      <c r="K466" s="416"/>
    </row>
    <row r="467">
      <c r="A467" s="416"/>
      <c r="B467" s="293"/>
      <c r="C467" s="417"/>
      <c r="D467" s="291"/>
      <c r="E467" s="293"/>
      <c r="F467" s="417"/>
      <c r="G467" s="293"/>
      <c r="H467" s="293"/>
      <c r="I467" s="293"/>
      <c r="J467" s="293"/>
      <c r="K467" s="416"/>
    </row>
    <row r="468">
      <c r="A468" s="416"/>
      <c r="B468" s="293"/>
      <c r="C468" s="417"/>
      <c r="D468" s="291"/>
      <c r="E468" s="293"/>
      <c r="F468" s="417"/>
      <c r="G468" s="293"/>
      <c r="H468" s="293"/>
      <c r="I468" s="293"/>
      <c r="J468" s="293"/>
      <c r="K468" s="416"/>
    </row>
    <row r="469">
      <c r="A469" s="416"/>
      <c r="B469" s="293"/>
      <c r="C469" s="417"/>
      <c r="D469" s="291"/>
      <c r="E469" s="293"/>
      <c r="F469" s="417"/>
      <c r="G469" s="293"/>
      <c r="H469" s="293"/>
      <c r="I469" s="293"/>
      <c r="J469" s="293"/>
      <c r="K469" s="416"/>
    </row>
    <row r="470">
      <c r="A470" s="416"/>
      <c r="B470" s="293"/>
      <c r="C470" s="417"/>
      <c r="D470" s="291"/>
      <c r="E470" s="293"/>
      <c r="F470" s="417"/>
      <c r="G470" s="293"/>
      <c r="H470" s="293"/>
      <c r="I470" s="293"/>
      <c r="J470" s="293"/>
      <c r="K470" s="416"/>
    </row>
    <row r="471">
      <c r="A471" s="416"/>
      <c r="B471" s="293"/>
      <c r="C471" s="417"/>
      <c r="D471" s="291"/>
      <c r="E471" s="293"/>
      <c r="F471" s="417"/>
      <c r="G471" s="293"/>
      <c r="H471" s="293"/>
      <c r="I471" s="293"/>
      <c r="J471" s="293"/>
      <c r="K471" s="416"/>
    </row>
    <row r="472">
      <c r="A472" s="416"/>
      <c r="B472" s="293"/>
      <c r="C472" s="417"/>
      <c r="D472" s="291"/>
      <c r="E472" s="293"/>
      <c r="F472" s="417"/>
      <c r="G472" s="293"/>
      <c r="H472" s="293"/>
      <c r="I472" s="293"/>
      <c r="J472" s="293"/>
      <c r="K472" s="416"/>
    </row>
    <row r="473">
      <c r="A473" s="416"/>
      <c r="B473" s="293"/>
      <c r="C473" s="417"/>
      <c r="D473" s="291"/>
      <c r="E473" s="293"/>
      <c r="F473" s="417"/>
      <c r="G473" s="293"/>
      <c r="H473" s="293"/>
      <c r="I473" s="293"/>
      <c r="J473" s="293"/>
      <c r="K473" s="416"/>
    </row>
    <row r="474">
      <c r="A474" s="416"/>
      <c r="B474" s="293"/>
      <c r="C474" s="417"/>
      <c r="D474" s="291"/>
      <c r="E474" s="293"/>
      <c r="F474" s="417"/>
      <c r="G474" s="293"/>
      <c r="H474" s="293"/>
      <c r="I474" s="293"/>
      <c r="J474" s="293"/>
      <c r="K474" s="416"/>
    </row>
    <row r="475">
      <c r="A475" s="416"/>
      <c r="B475" s="293"/>
      <c r="C475" s="417"/>
      <c r="D475" s="291"/>
      <c r="E475" s="293"/>
      <c r="F475" s="417"/>
      <c r="G475" s="293"/>
      <c r="H475" s="293"/>
      <c r="I475" s="293"/>
      <c r="J475" s="293"/>
      <c r="K475" s="416"/>
    </row>
    <row r="476">
      <c r="A476" s="416"/>
      <c r="B476" s="293"/>
      <c r="C476" s="417"/>
      <c r="D476" s="291"/>
      <c r="E476" s="293"/>
      <c r="F476" s="417"/>
      <c r="G476" s="293"/>
      <c r="H476" s="293"/>
      <c r="I476" s="293"/>
      <c r="J476" s="293"/>
      <c r="K476" s="416"/>
    </row>
    <row r="477">
      <c r="A477" s="416"/>
      <c r="B477" s="293"/>
      <c r="C477" s="417"/>
      <c r="D477" s="291"/>
      <c r="E477" s="293"/>
      <c r="F477" s="417"/>
      <c r="G477" s="293"/>
      <c r="H477" s="293"/>
      <c r="I477" s="293"/>
      <c r="J477" s="293"/>
      <c r="K477" s="416"/>
    </row>
    <row r="478">
      <c r="A478" s="416"/>
      <c r="B478" s="293"/>
      <c r="C478" s="417"/>
      <c r="D478" s="291"/>
      <c r="E478" s="293"/>
      <c r="F478" s="417"/>
      <c r="G478" s="293"/>
      <c r="H478" s="293"/>
      <c r="I478" s="293"/>
      <c r="J478" s="293"/>
      <c r="K478" s="416"/>
    </row>
    <row r="479">
      <c r="A479" s="416"/>
      <c r="B479" s="293"/>
      <c r="C479" s="417"/>
      <c r="D479" s="291"/>
      <c r="E479" s="293"/>
      <c r="F479" s="417"/>
      <c r="G479" s="293"/>
      <c r="H479" s="293"/>
      <c r="I479" s="293"/>
      <c r="J479" s="293"/>
      <c r="K479" s="416"/>
    </row>
    <row r="480">
      <c r="A480" s="416"/>
      <c r="B480" s="293"/>
      <c r="C480" s="417"/>
      <c r="D480" s="291"/>
      <c r="E480" s="293"/>
      <c r="F480" s="417"/>
      <c r="G480" s="293"/>
      <c r="H480" s="293"/>
      <c r="I480" s="293"/>
      <c r="J480" s="293"/>
      <c r="K480" s="416"/>
    </row>
    <row r="481">
      <c r="A481" s="416"/>
      <c r="B481" s="293"/>
      <c r="C481" s="417"/>
      <c r="D481" s="291"/>
      <c r="E481" s="293"/>
      <c r="F481" s="417"/>
      <c r="G481" s="293"/>
      <c r="H481" s="293"/>
      <c r="I481" s="293"/>
      <c r="J481" s="293"/>
      <c r="K481" s="416"/>
    </row>
    <row r="482">
      <c r="A482" s="416"/>
      <c r="B482" s="293"/>
      <c r="C482" s="417"/>
      <c r="D482" s="291"/>
      <c r="E482" s="293"/>
      <c r="F482" s="417"/>
      <c r="G482" s="293"/>
      <c r="H482" s="293"/>
      <c r="I482" s="293"/>
      <c r="J482" s="293"/>
      <c r="K482" s="416"/>
    </row>
    <row r="483">
      <c r="A483" s="416"/>
      <c r="B483" s="293"/>
      <c r="C483" s="417"/>
      <c r="D483" s="291"/>
      <c r="E483" s="293"/>
      <c r="F483" s="417"/>
      <c r="G483" s="293"/>
      <c r="H483" s="293"/>
      <c r="I483" s="293"/>
      <c r="J483" s="293"/>
      <c r="K483" s="416"/>
    </row>
    <row r="484">
      <c r="A484" s="416"/>
      <c r="B484" s="293"/>
      <c r="C484" s="417"/>
      <c r="D484" s="291"/>
      <c r="E484" s="293"/>
      <c r="F484" s="417"/>
      <c r="G484" s="293"/>
      <c r="H484" s="293"/>
      <c r="I484" s="293"/>
      <c r="J484" s="293"/>
      <c r="K484" s="416"/>
    </row>
    <row r="485">
      <c r="A485" s="416"/>
      <c r="B485" s="293"/>
      <c r="C485" s="417"/>
      <c r="D485" s="291"/>
      <c r="E485" s="293"/>
      <c r="F485" s="417"/>
      <c r="G485" s="293"/>
      <c r="H485" s="293"/>
      <c r="I485" s="293"/>
      <c r="J485" s="293"/>
      <c r="K485" s="416"/>
    </row>
    <row r="486">
      <c r="A486" s="416"/>
      <c r="B486" s="293"/>
      <c r="C486" s="417"/>
      <c r="D486" s="291"/>
      <c r="E486" s="293"/>
      <c r="F486" s="417"/>
      <c r="G486" s="293"/>
      <c r="H486" s="293"/>
      <c r="I486" s="293"/>
      <c r="J486" s="293"/>
      <c r="K486" s="416"/>
    </row>
    <row r="487">
      <c r="A487" s="416"/>
      <c r="B487" s="293"/>
      <c r="C487" s="417"/>
      <c r="D487" s="291"/>
      <c r="E487" s="293"/>
      <c r="F487" s="417"/>
      <c r="G487" s="293"/>
      <c r="H487" s="293"/>
      <c r="I487" s="293"/>
      <c r="J487" s="293"/>
      <c r="K487" s="416"/>
    </row>
    <row r="488">
      <c r="A488" s="416"/>
      <c r="B488" s="293"/>
      <c r="C488" s="417"/>
      <c r="D488" s="291"/>
      <c r="E488" s="293"/>
      <c r="F488" s="417"/>
      <c r="G488" s="293"/>
      <c r="H488" s="293"/>
      <c r="I488" s="293"/>
      <c r="J488" s="293"/>
      <c r="K488" s="416"/>
    </row>
    <row r="489">
      <c r="A489" s="416"/>
      <c r="B489" s="293"/>
      <c r="C489" s="417"/>
      <c r="D489" s="291"/>
      <c r="E489" s="293"/>
      <c r="F489" s="417"/>
      <c r="G489" s="293"/>
      <c r="H489" s="293"/>
      <c r="I489" s="293"/>
      <c r="J489" s="293"/>
      <c r="K489" s="416"/>
    </row>
    <row r="490">
      <c r="A490" s="416"/>
      <c r="B490" s="293"/>
      <c r="C490" s="417"/>
      <c r="D490" s="291"/>
      <c r="E490" s="293"/>
      <c r="F490" s="417"/>
      <c r="G490" s="293"/>
      <c r="H490" s="293"/>
      <c r="I490" s="293"/>
      <c r="J490" s="293"/>
      <c r="K490" s="416"/>
    </row>
    <row r="491">
      <c r="A491" s="416"/>
      <c r="B491" s="293"/>
      <c r="C491" s="417"/>
      <c r="D491" s="291"/>
      <c r="E491" s="293"/>
      <c r="F491" s="417"/>
      <c r="G491" s="293"/>
      <c r="H491" s="293"/>
      <c r="I491" s="293"/>
      <c r="J491" s="293"/>
      <c r="K491" s="416"/>
    </row>
    <row r="492">
      <c r="A492" s="416"/>
      <c r="B492" s="293"/>
      <c r="C492" s="417"/>
      <c r="D492" s="291"/>
      <c r="E492" s="293"/>
      <c r="F492" s="417"/>
      <c r="G492" s="293"/>
      <c r="H492" s="293"/>
      <c r="I492" s="293"/>
      <c r="J492" s="293"/>
      <c r="K492" s="416"/>
    </row>
    <row r="493">
      <c r="A493" s="416"/>
      <c r="B493" s="293"/>
      <c r="C493" s="417"/>
      <c r="D493" s="291"/>
      <c r="E493" s="293"/>
      <c r="F493" s="417"/>
      <c r="G493" s="293"/>
      <c r="H493" s="293"/>
      <c r="I493" s="293"/>
      <c r="J493" s="293"/>
      <c r="K493" s="416"/>
    </row>
    <row r="494">
      <c r="A494" s="416"/>
      <c r="B494" s="293"/>
      <c r="C494" s="417"/>
      <c r="D494" s="291"/>
      <c r="E494" s="293"/>
      <c r="F494" s="417"/>
      <c r="G494" s="293"/>
      <c r="H494" s="293"/>
      <c r="I494" s="293"/>
      <c r="J494" s="293"/>
      <c r="K494" s="416"/>
    </row>
    <row r="495">
      <c r="A495" s="416"/>
      <c r="B495" s="293"/>
      <c r="C495" s="417"/>
      <c r="D495" s="291"/>
      <c r="E495" s="293"/>
      <c r="F495" s="417"/>
      <c r="G495" s="293"/>
      <c r="H495" s="293"/>
      <c r="I495" s="293"/>
      <c r="J495" s="293"/>
      <c r="K495" s="416"/>
    </row>
    <row r="496">
      <c r="A496" s="416"/>
      <c r="B496" s="293"/>
      <c r="C496" s="417"/>
      <c r="D496" s="291"/>
      <c r="E496" s="293"/>
      <c r="F496" s="417"/>
      <c r="G496" s="293"/>
      <c r="H496" s="293"/>
      <c r="I496" s="293"/>
      <c r="J496" s="293"/>
      <c r="K496" s="416"/>
    </row>
    <row r="497">
      <c r="A497" s="416"/>
      <c r="B497" s="293"/>
      <c r="C497" s="417"/>
      <c r="D497" s="291"/>
      <c r="E497" s="293"/>
      <c r="F497" s="417"/>
      <c r="G497" s="293"/>
      <c r="H497" s="293"/>
      <c r="I497" s="293"/>
      <c r="J497" s="293"/>
      <c r="K497" s="416"/>
    </row>
    <row r="498">
      <c r="A498" s="416"/>
      <c r="B498" s="293"/>
      <c r="C498" s="417"/>
      <c r="D498" s="291"/>
      <c r="E498" s="293"/>
      <c r="F498" s="417"/>
      <c r="G498" s="293"/>
      <c r="H498" s="293"/>
      <c r="I498" s="293"/>
      <c r="J498" s="293"/>
      <c r="K498" s="416"/>
    </row>
    <row r="499">
      <c r="A499" s="416"/>
      <c r="B499" s="293"/>
      <c r="C499" s="417"/>
      <c r="D499" s="291"/>
      <c r="E499" s="293"/>
      <c r="F499" s="417"/>
      <c r="G499" s="293"/>
      <c r="H499" s="293"/>
      <c r="I499" s="293"/>
      <c r="J499" s="293"/>
      <c r="K499" s="416"/>
    </row>
    <row r="500">
      <c r="A500" s="416"/>
      <c r="B500" s="293"/>
      <c r="C500" s="417"/>
      <c r="D500" s="291"/>
      <c r="E500" s="293"/>
      <c r="F500" s="417"/>
      <c r="G500" s="293"/>
      <c r="H500" s="293"/>
      <c r="I500" s="293"/>
      <c r="J500" s="293"/>
      <c r="K500" s="416"/>
    </row>
    <row r="501">
      <c r="A501" s="416"/>
      <c r="B501" s="293"/>
      <c r="C501" s="417"/>
      <c r="D501" s="291"/>
      <c r="E501" s="293"/>
      <c r="F501" s="417"/>
      <c r="G501" s="293"/>
      <c r="H501" s="293"/>
      <c r="I501" s="293"/>
      <c r="J501" s="293"/>
      <c r="K501" s="416"/>
    </row>
    <row r="502">
      <c r="A502" s="416"/>
      <c r="B502" s="293"/>
      <c r="C502" s="417"/>
      <c r="D502" s="291"/>
      <c r="E502" s="293"/>
      <c r="F502" s="417"/>
      <c r="G502" s="293"/>
      <c r="H502" s="293"/>
      <c r="I502" s="293"/>
      <c r="J502" s="293"/>
      <c r="K502" s="416"/>
    </row>
    <row r="503">
      <c r="A503" s="416"/>
      <c r="B503" s="293"/>
      <c r="C503" s="417"/>
      <c r="D503" s="291"/>
      <c r="E503" s="293"/>
      <c r="F503" s="417"/>
      <c r="G503" s="293"/>
      <c r="H503" s="293"/>
      <c r="I503" s="293"/>
      <c r="J503" s="293"/>
      <c r="K503" s="416"/>
    </row>
    <row r="504">
      <c r="A504" s="416"/>
      <c r="B504" s="293"/>
      <c r="C504" s="417"/>
      <c r="D504" s="291"/>
      <c r="E504" s="293"/>
      <c r="F504" s="417"/>
      <c r="G504" s="293"/>
      <c r="H504" s="293"/>
      <c r="I504" s="293"/>
      <c r="J504" s="293"/>
      <c r="K504" s="416"/>
    </row>
    <row r="505">
      <c r="A505" s="416"/>
      <c r="B505" s="293"/>
      <c r="C505" s="417"/>
      <c r="D505" s="291"/>
      <c r="E505" s="293"/>
      <c r="F505" s="417"/>
      <c r="G505" s="293"/>
      <c r="H505" s="293"/>
      <c r="I505" s="293"/>
      <c r="J505" s="293"/>
      <c r="K505" s="416"/>
    </row>
    <row r="506">
      <c r="A506" s="416"/>
      <c r="B506" s="293"/>
      <c r="C506" s="417"/>
      <c r="D506" s="291"/>
      <c r="E506" s="293"/>
      <c r="F506" s="417"/>
      <c r="G506" s="293"/>
      <c r="H506" s="293"/>
      <c r="I506" s="293"/>
      <c r="J506" s="293"/>
      <c r="K506" s="416"/>
    </row>
    <row r="507">
      <c r="A507" s="416"/>
      <c r="B507" s="293"/>
      <c r="C507" s="417"/>
      <c r="D507" s="291"/>
      <c r="E507" s="293"/>
      <c r="F507" s="417"/>
      <c r="G507" s="293"/>
      <c r="H507" s="293"/>
      <c r="I507" s="293"/>
      <c r="J507" s="293"/>
      <c r="K507" s="416"/>
    </row>
    <row r="508">
      <c r="A508" s="416"/>
      <c r="B508" s="293"/>
      <c r="C508" s="417"/>
      <c r="D508" s="291"/>
      <c r="E508" s="293"/>
      <c r="F508" s="417"/>
      <c r="G508" s="293"/>
      <c r="H508" s="293"/>
      <c r="I508" s="293"/>
      <c r="J508" s="293"/>
      <c r="K508" s="416"/>
    </row>
    <row r="509">
      <c r="A509" s="416"/>
      <c r="B509" s="293"/>
      <c r="C509" s="417"/>
      <c r="D509" s="291"/>
      <c r="E509" s="293"/>
      <c r="F509" s="417"/>
      <c r="G509" s="293"/>
      <c r="H509" s="293"/>
      <c r="I509" s="293"/>
      <c r="J509" s="293"/>
      <c r="K509" s="416"/>
    </row>
    <row r="510">
      <c r="A510" s="416"/>
      <c r="B510" s="293"/>
      <c r="C510" s="417"/>
      <c r="D510" s="291"/>
      <c r="E510" s="293"/>
      <c r="F510" s="417"/>
      <c r="G510" s="293"/>
      <c r="H510" s="293"/>
      <c r="I510" s="293"/>
      <c r="J510" s="293"/>
      <c r="K510" s="416"/>
    </row>
    <row r="511">
      <c r="A511" s="416"/>
      <c r="B511" s="293"/>
      <c r="C511" s="417"/>
      <c r="D511" s="291"/>
      <c r="E511" s="293"/>
      <c r="F511" s="417"/>
      <c r="G511" s="293"/>
      <c r="H511" s="293"/>
      <c r="I511" s="293"/>
      <c r="J511" s="293"/>
      <c r="K511" s="416"/>
    </row>
    <row r="512">
      <c r="A512" s="416"/>
      <c r="B512" s="293"/>
      <c r="C512" s="417"/>
      <c r="D512" s="291"/>
      <c r="E512" s="293"/>
      <c r="F512" s="417"/>
      <c r="G512" s="293"/>
      <c r="H512" s="293"/>
      <c r="I512" s="293"/>
      <c r="J512" s="293"/>
      <c r="K512" s="416"/>
    </row>
    <row r="513">
      <c r="A513" s="416"/>
      <c r="B513" s="293"/>
      <c r="C513" s="417"/>
      <c r="D513" s="291"/>
      <c r="E513" s="293"/>
      <c r="F513" s="417"/>
      <c r="G513" s="293"/>
      <c r="H513" s="293"/>
      <c r="I513" s="293"/>
      <c r="J513" s="293"/>
      <c r="K513" s="416"/>
    </row>
    <row r="514">
      <c r="A514" s="416"/>
      <c r="B514" s="293"/>
      <c r="C514" s="417"/>
      <c r="D514" s="291"/>
      <c r="E514" s="293"/>
      <c r="F514" s="417"/>
      <c r="G514" s="293"/>
      <c r="H514" s="293"/>
      <c r="I514" s="293"/>
      <c r="J514" s="293"/>
      <c r="K514" s="416"/>
    </row>
    <row r="515">
      <c r="A515" s="416"/>
      <c r="B515" s="293"/>
      <c r="C515" s="417"/>
      <c r="D515" s="291"/>
      <c r="E515" s="293"/>
      <c r="F515" s="417"/>
      <c r="G515" s="293"/>
      <c r="H515" s="293"/>
      <c r="I515" s="293"/>
      <c r="J515" s="293"/>
      <c r="K515" s="416"/>
    </row>
    <row r="516">
      <c r="A516" s="416"/>
      <c r="B516" s="293"/>
      <c r="C516" s="417"/>
      <c r="D516" s="291"/>
      <c r="E516" s="293"/>
      <c r="F516" s="417"/>
      <c r="G516" s="293"/>
      <c r="H516" s="293"/>
      <c r="I516" s="293"/>
      <c r="J516" s="293"/>
      <c r="K516" s="416"/>
    </row>
    <row r="517">
      <c r="A517" s="416"/>
      <c r="B517" s="293"/>
      <c r="C517" s="417"/>
      <c r="D517" s="291"/>
      <c r="E517" s="293"/>
      <c r="F517" s="417"/>
      <c r="G517" s="293"/>
      <c r="H517" s="293"/>
      <c r="I517" s="293"/>
      <c r="J517" s="293"/>
      <c r="K517" s="416"/>
    </row>
    <row r="518">
      <c r="A518" s="416"/>
      <c r="B518" s="293"/>
      <c r="C518" s="417"/>
      <c r="D518" s="291"/>
      <c r="E518" s="293"/>
      <c r="F518" s="417"/>
      <c r="G518" s="293"/>
      <c r="H518" s="293"/>
      <c r="I518" s="293"/>
      <c r="J518" s="293"/>
      <c r="K518" s="416"/>
    </row>
    <row r="519">
      <c r="A519" s="416"/>
      <c r="B519" s="293"/>
      <c r="C519" s="417"/>
      <c r="D519" s="291"/>
      <c r="E519" s="293"/>
      <c r="F519" s="417"/>
      <c r="G519" s="293"/>
      <c r="H519" s="293"/>
      <c r="I519" s="293"/>
      <c r="J519" s="293"/>
      <c r="K519" s="416"/>
    </row>
    <row r="520">
      <c r="A520" s="416"/>
      <c r="B520" s="293"/>
      <c r="C520" s="417"/>
      <c r="D520" s="291"/>
      <c r="E520" s="293"/>
      <c r="F520" s="417"/>
      <c r="G520" s="293"/>
      <c r="H520" s="293"/>
      <c r="I520" s="293"/>
      <c r="J520" s="293"/>
      <c r="K520" s="416"/>
    </row>
    <row r="521">
      <c r="A521" s="416"/>
      <c r="B521" s="293"/>
      <c r="C521" s="417"/>
      <c r="D521" s="291"/>
      <c r="E521" s="293"/>
      <c r="F521" s="417"/>
      <c r="G521" s="293"/>
      <c r="H521" s="293"/>
      <c r="I521" s="293"/>
      <c r="J521" s="293"/>
      <c r="K521" s="416"/>
    </row>
    <row r="522">
      <c r="A522" s="416"/>
      <c r="B522" s="293"/>
      <c r="C522" s="417"/>
      <c r="D522" s="291"/>
      <c r="E522" s="293"/>
      <c r="F522" s="417"/>
      <c r="G522" s="293"/>
      <c r="H522" s="293"/>
      <c r="I522" s="293"/>
      <c r="J522" s="293"/>
      <c r="K522" s="416"/>
    </row>
    <row r="523">
      <c r="A523" s="416"/>
      <c r="B523" s="293"/>
      <c r="C523" s="417"/>
      <c r="D523" s="291"/>
      <c r="E523" s="293"/>
      <c r="F523" s="417"/>
      <c r="G523" s="293"/>
      <c r="H523" s="293"/>
      <c r="I523" s="293"/>
      <c r="J523" s="293"/>
      <c r="K523" s="416"/>
    </row>
    <row r="524">
      <c r="A524" s="416"/>
      <c r="B524" s="293"/>
      <c r="C524" s="417"/>
      <c r="D524" s="291"/>
      <c r="E524" s="293"/>
      <c r="F524" s="417"/>
      <c r="G524" s="293"/>
      <c r="H524" s="293"/>
      <c r="I524" s="293"/>
      <c r="J524" s="293"/>
      <c r="K524" s="416"/>
    </row>
    <row r="525">
      <c r="A525" s="416"/>
      <c r="B525" s="293"/>
      <c r="C525" s="417"/>
      <c r="D525" s="291"/>
      <c r="E525" s="293"/>
      <c r="F525" s="417"/>
      <c r="G525" s="293"/>
      <c r="H525" s="293"/>
      <c r="I525" s="293"/>
      <c r="J525" s="293"/>
      <c r="K525" s="416"/>
    </row>
    <row r="526">
      <c r="A526" s="416"/>
      <c r="B526" s="293"/>
      <c r="C526" s="417"/>
      <c r="D526" s="291"/>
      <c r="E526" s="293"/>
      <c r="F526" s="417"/>
      <c r="G526" s="293"/>
      <c r="H526" s="293"/>
      <c r="I526" s="293"/>
      <c r="J526" s="293"/>
      <c r="K526" s="416"/>
    </row>
    <row r="527">
      <c r="A527" s="416"/>
      <c r="B527" s="293"/>
      <c r="C527" s="417"/>
      <c r="D527" s="291"/>
      <c r="E527" s="293"/>
      <c r="F527" s="417"/>
      <c r="G527" s="293"/>
      <c r="H527" s="293"/>
      <c r="I527" s="293"/>
      <c r="J527" s="293"/>
      <c r="K527" s="416"/>
    </row>
    <row r="528">
      <c r="A528" s="416"/>
      <c r="B528" s="293"/>
      <c r="C528" s="417"/>
      <c r="D528" s="291"/>
      <c r="E528" s="293"/>
      <c r="F528" s="417"/>
      <c r="G528" s="293"/>
      <c r="H528" s="293"/>
      <c r="I528" s="293"/>
      <c r="J528" s="293"/>
      <c r="K528" s="416"/>
    </row>
    <row r="529">
      <c r="A529" s="416"/>
      <c r="B529" s="293"/>
      <c r="C529" s="417"/>
      <c r="D529" s="291"/>
      <c r="E529" s="293"/>
      <c r="F529" s="417"/>
      <c r="G529" s="293"/>
      <c r="H529" s="293"/>
      <c r="I529" s="293"/>
      <c r="J529" s="293"/>
      <c r="K529" s="416"/>
    </row>
    <row r="530">
      <c r="A530" s="416"/>
      <c r="B530" s="293"/>
      <c r="C530" s="417"/>
      <c r="D530" s="291"/>
      <c r="E530" s="293"/>
      <c r="F530" s="417"/>
      <c r="G530" s="293"/>
      <c r="H530" s="293"/>
      <c r="I530" s="293"/>
      <c r="J530" s="293"/>
      <c r="K530" s="416"/>
    </row>
    <row r="531">
      <c r="A531" s="416"/>
      <c r="B531" s="293"/>
      <c r="C531" s="417"/>
      <c r="D531" s="291"/>
      <c r="E531" s="293"/>
      <c r="F531" s="417"/>
      <c r="G531" s="293"/>
      <c r="H531" s="293"/>
      <c r="I531" s="293"/>
      <c r="J531" s="293"/>
      <c r="K531" s="416"/>
    </row>
    <row r="532">
      <c r="A532" s="416"/>
      <c r="B532" s="293"/>
      <c r="C532" s="417"/>
      <c r="D532" s="291"/>
      <c r="E532" s="293"/>
      <c r="F532" s="417"/>
      <c r="G532" s="293"/>
      <c r="H532" s="293"/>
      <c r="I532" s="293"/>
      <c r="J532" s="293"/>
      <c r="K532" s="416"/>
    </row>
    <row r="533">
      <c r="A533" s="416"/>
      <c r="B533" s="293"/>
      <c r="C533" s="417"/>
      <c r="D533" s="291"/>
      <c r="E533" s="293"/>
      <c r="F533" s="417"/>
      <c r="G533" s="293"/>
      <c r="H533" s="293"/>
      <c r="I533" s="293"/>
      <c r="J533" s="293"/>
      <c r="K533" s="416"/>
    </row>
    <row r="534">
      <c r="A534" s="416"/>
      <c r="B534" s="293"/>
      <c r="C534" s="417"/>
      <c r="D534" s="291"/>
      <c r="E534" s="293"/>
      <c r="F534" s="417"/>
      <c r="G534" s="293"/>
      <c r="H534" s="293"/>
      <c r="I534" s="293"/>
      <c r="J534" s="293"/>
      <c r="K534" s="416"/>
    </row>
    <row r="535">
      <c r="A535" s="416"/>
      <c r="B535" s="293"/>
      <c r="C535" s="417"/>
      <c r="D535" s="291"/>
      <c r="E535" s="293"/>
      <c r="F535" s="417"/>
      <c r="G535" s="293"/>
      <c r="H535" s="293"/>
      <c r="I535" s="293"/>
      <c r="J535" s="293"/>
      <c r="K535" s="416"/>
    </row>
    <row r="536">
      <c r="A536" s="416"/>
      <c r="B536" s="293"/>
      <c r="C536" s="417"/>
      <c r="D536" s="291"/>
      <c r="E536" s="293"/>
      <c r="F536" s="417"/>
      <c r="G536" s="293"/>
      <c r="H536" s="293"/>
      <c r="I536" s="293"/>
      <c r="J536" s="293"/>
      <c r="K536" s="416"/>
    </row>
    <row r="537">
      <c r="A537" s="416"/>
      <c r="B537" s="293"/>
      <c r="C537" s="417"/>
      <c r="D537" s="291"/>
      <c r="E537" s="293"/>
      <c r="F537" s="417"/>
      <c r="G537" s="293"/>
      <c r="H537" s="293"/>
      <c r="I537" s="293"/>
      <c r="J537" s="293"/>
      <c r="K537" s="416"/>
    </row>
    <row r="538">
      <c r="A538" s="416"/>
      <c r="B538" s="293"/>
      <c r="C538" s="417"/>
      <c r="D538" s="291"/>
      <c r="E538" s="293"/>
      <c r="F538" s="417"/>
      <c r="G538" s="293"/>
      <c r="H538" s="293"/>
      <c r="I538" s="293"/>
      <c r="J538" s="293"/>
      <c r="K538" s="416"/>
    </row>
    <row r="539">
      <c r="A539" s="416"/>
      <c r="B539" s="293"/>
      <c r="C539" s="417"/>
      <c r="D539" s="291"/>
      <c r="E539" s="293"/>
      <c r="F539" s="417"/>
      <c r="G539" s="293"/>
      <c r="H539" s="293"/>
      <c r="I539" s="293"/>
      <c r="J539" s="293"/>
      <c r="K539" s="416"/>
    </row>
    <row r="540">
      <c r="A540" s="416"/>
      <c r="B540" s="293"/>
      <c r="C540" s="417"/>
      <c r="D540" s="291"/>
      <c r="E540" s="293"/>
      <c r="F540" s="417"/>
      <c r="G540" s="293"/>
      <c r="H540" s="293"/>
      <c r="I540" s="293"/>
      <c r="J540" s="293"/>
      <c r="K540" s="416"/>
    </row>
    <row r="541">
      <c r="A541" s="416"/>
      <c r="B541" s="293"/>
      <c r="C541" s="417"/>
      <c r="D541" s="291"/>
      <c r="E541" s="293"/>
      <c r="F541" s="417"/>
      <c r="G541" s="293"/>
      <c r="H541" s="293"/>
      <c r="I541" s="293"/>
      <c r="J541" s="293"/>
      <c r="K541" s="416"/>
    </row>
    <row r="542">
      <c r="A542" s="416"/>
      <c r="B542" s="293"/>
      <c r="C542" s="417"/>
      <c r="D542" s="291"/>
      <c r="E542" s="293"/>
      <c r="F542" s="417"/>
      <c r="G542" s="293"/>
      <c r="H542" s="293"/>
      <c r="I542" s="293"/>
      <c r="J542" s="293"/>
      <c r="K542" s="416"/>
    </row>
    <row r="543">
      <c r="A543" s="416"/>
      <c r="B543" s="293"/>
      <c r="C543" s="417"/>
      <c r="D543" s="291"/>
      <c r="E543" s="293"/>
      <c r="F543" s="417"/>
      <c r="G543" s="293"/>
      <c r="H543" s="293"/>
      <c r="I543" s="293"/>
      <c r="J543" s="293"/>
      <c r="K543" s="416"/>
    </row>
    <row r="544">
      <c r="A544" s="416"/>
      <c r="B544" s="293"/>
      <c r="C544" s="417"/>
      <c r="D544" s="291"/>
      <c r="E544" s="293"/>
      <c r="F544" s="417"/>
      <c r="G544" s="293"/>
      <c r="H544" s="293"/>
      <c r="I544" s="293"/>
      <c r="J544" s="293"/>
      <c r="K544" s="416"/>
    </row>
    <row r="545">
      <c r="A545" s="416"/>
      <c r="B545" s="293"/>
      <c r="C545" s="417"/>
      <c r="D545" s="291"/>
      <c r="E545" s="293"/>
      <c r="F545" s="417"/>
      <c r="G545" s="293"/>
      <c r="H545" s="293"/>
      <c r="I545" s="293"/>
      <c r="J545" s="293"/>
      <c r="K545" s="416"/>
    </row>
    <row r="546">
      <c r="A546" s="416"/>
      <c r="B546" s="293"/>
      <c r="C546" s="417"/>
      <c r="D546" s="291"/>
      <c r="E546" s="293"/>
      <c r="F546" s="417"/>
      <c r="G546" s="293"/>
      <c r="H546" s="293"/>
      <c r="I546" s="293"/>
      <c r="J546" s="293"/>
      <c r="K546" s="416"/>
    </row>
    <row r="547">
      <c r="A547" s="416"/>
      <c r="B547" s="293"/>
      <c r="C547" s="417"/>
      <c r="D547" s="291"/>
      <c r="E547" s="293"/>
      <c r="F547" s="417"/>
      <c r="G547" s="293"/>
      <c r="H547" s="293"/>
      <c r="I547" s="293"/>
      <c r="J547" s="293"/>
      <c r="K547" s="416"/>
    </row>
    <row r="548">
      <c r="A548" s="416"/>
      <c r="B548" s="293"/>
      <c r="C548" s="417"/>
      <c r="D548" s="291"/>
      <c r="E548" s="293"/>
      <c r="F548" s="417"/>
      <c r="G548" s="293"/>
      <c r="H548" s="293"/>
      <c r="I548" s="293"/>
      <c r="J548" s="293"/>
      <c r="K548" s="416"/>
    </row>
    <row r="549">
      <c r="A549" s="416"/>
      <c r="B549" s="293"/>
      <c r="C549" s="417"/>
      <c r="D549" s="291"/>
      <c r="E549" s="293"/>
      <c r="F549" s="417"/>
      <c r="G549" s="293"/>
      <c r="H549" s="293"/>
      <c r="I549" s="293"/>
      <c r="J549" s="293"/>
      <c r="K549" s="416"/>
    </row>
    <row r="550">
      <c r="A550" s="416"/>
      <c r="B550" s="293"/>
      <c r="C550" s="417"/>
      <c r="D550" s="291"/>
      <c r="E550" s="293"/>
      <c r="F550" s="417"/>
      <c r="G550" s="293"/>
      <c r="H550" s="293"/>
      <c r="I550" s="293"/>
      <c r="J550" s="293"/>
      <c r="K550" s="416"/>
    </row>
    <row r="551">
      <c r="A551" s="416"/>
      <c r="B551" s="293"/>
      <c r="C551" s="417"/>
      <c r="D551" s="291"/>
      <c r="E551" s="293"/>
      <c r="F551" s="417"/>
      <c r="G551" s="293"/>
      <c r="H551" s="293"/>
      <c r="I551" s="293"/>
      <c r="J551" s="293"/>
      <c r="K551" s="416"/>
    </row>
    <row r="552">
      <c r="A552" s="416"/>
      <c r="B552" s="293"/>
      <c r="C552" s="417"/>
      <c r="D552" s="291"/>
      <c r="E552" s="293"/>
      <c r="F552" s="417"/>
      <c r="G552" s="293"/>
      <c r="H552" s="293"/>
      <c r="I552" s="293"/>
      <c r="J552" s="293"/>
      <c r="K552" s="416"/>
    </row>
    <row r="553">
      <c r="A553" s="416"/>
      <c r="B553" s="293"/>
      <c r="C553" s="417"/>
      <c r="D553" s="291"/>
      <c r="E553" s="293"/>
      <c r="F553" s="417"/>
      <c r="G553" s="293"/>
      <c r="H553" s="293"/>
      <c r="I553" s="293"/>
      <c r="J553" s="293"/>
      <c r="K553" s="416"/>
    </row>
    <row r="554">
      <c r="A554" s="416"/>
      <c r="B554" s="293"/>
      <c r="C554" s="417"/>
      <c r="D554" s="291"/>
      <c r="E554" s="293"/>
      <c r="F554" s="417"/>
      <c r="G554" s="293"/>
      <c r="H554" s="293"/>
      <c r="I554" s="293"/>
      <c r="J554" s="293"/>
      <c r="K554" s="416"/>
    </row>
    <row r="555">
      <c r="A555" s="416"/>
      <c r="B555" s="293"/>
      <c r="C555" s="417"/>
      <c r="D555" s="291"/>
      <c r="E555" s="293"/>
      <c r="F555" s="417"/>
      <c r="G555" s="293"/>
      <c r="H555" s="293"/>
      <c r="I555" s="293"/>
      <c r="J555" s="293"/>
      <c r="K555" s="416"/>
    </row>
    <row r="556">
      <c r="A556" s="416"/>
      <c r="B556" s="293"/>
      <c r="C556" s="417"/>
      <c r="D556" s="291"/>
      <c r="E556" s="293"/>
      <c r="F556" s="417"/>
      <c r="G556" s="293"/>
      <c r="H556" s="293"/>
      <c r="I556" s="293"/>
      <c r="J556" s="293"/>
      <c r="K556" s="416"/>
    </row>
    <row r="557">
      <c r="A557" s="416"/>
      <c r="B557" s="293"/>
      <c r="C557" s="417"/>
      <c r="D557" s="291"/>
      <c r="E557" s="293"/>
      <c r="F557" s="417"/>
      <c r="G557" s="293"/>
      <c r="H557" s="293"/>
      <c r="I557" s="293"/>
      <c r="J557" s="293"/>
      <c r="K557" s="416"/>
    </row>
    <row r="558">
      <c r="A558" s="416"/>
      <c r="B558" s="293"/>
      <c r="C558" s="417"/>
      <c r="D558" s="291"/>
      <c r="E558" s="293"/>
      <c r="F558" s="417"/>
      <c r="G558" s="293"/>
      <c r="H558" s="293"/>
      <c r="I558" s="293"/>
      <c r="J558" s="293"/>
      <c r="K558" s="416"/>
    </row>
    <row r="559">
      <c r="A559" s="416"/>
      <c r="B559" s="293"/>
      <c r="C559" s="417"/>
      <c r="D559" s="291"/>
      <c r="E559" s="293"/>
      <c r="F559" s="417"/>
      <c r="G559" s="293"/>
      <c r="H559" s="293"/>
      <c r="I559" s="293"/>
      <c r="J559" s="293"/>
      <c r="K559" s="416"/>
    </row>
    <row r="560">
      <c r="A560" s="416"/>
      <c r="B560" s="293"/>
      <c r="C560" s="417"/>
      <c r="D560" s="291"/>
      <c r="E560" s="293"/>
      <c r="F560" s="417"/>
      <c r="G560" s="293"/>
      <c r="H560" s="293"/>
      <c r="I560" s="293"/>
      <c r="J560" s="293"/>
      <c r="K560" s="416"/>
    </row>
    <row r="561">
      <c r="A561" s="416"/>
      <c r="B561" s="293"/>
      <c r="C561" s="417"/>
      <c r="D561" s="291"/>
      <c r="E561" s="293"/>
      <c r="F561" s="417"/>
      <c r="G561" s="293"/>
      <c r="H561" s="293"/>
      <c r="I561" s="293"/>
      <c r="J561" s="293"/>
      <c r="K561" s="416"/>
    </row>
    <row r="562">
      <c r="A562" s="416"/>
      <c r="B562" s="293"/>
      <c r="C562" s="417"/>
      <c r="D562" s="291"/>
      <c r="E562" s="293"/>
      <c r="F562" s="417"/>
      <c r="G562" s="293"/>
      <c r="H562" s="293"/>
      <c r="I562" s="293"/>
      <c r="J562" s="293"/>
      <c r="K562" s="416"/>
    </row>
    <row r="563">
      <c r="A563" s="416"/>
      <c r="B563" s="293"/>
      <c r="C563" s="417"/>
      <c r="D563" s="291"/>
      <c r="E563" s="293"/>
      <c r="F563" s="417"/>
      <c r="G563" s="293"/>
      <c r="H563" s="293"/>
      <c r="I563" s="293"/>
      <c r="J563" s="293"/>
      <c r="K563" s="416"/>
    </row>
    <row r="564">
      <c r="A564" s="416"/>
      <c r="B564" s="293"/>
      <c r="C564" s="417"/>
      <c r="D564" s="291"/>
      <c r="E564" s="293"/>
      <c r="F564" s="417"/>
      <c r="G564" s="293"/>
      <c r="H564" s="293"/>
      <c r="I564" s="293"/>
      <c r="J564" s="293"/>
      <c r="K564" s="416"/>
    </row>
    <row r="565">
      <c r="A565" s="416"/>
      <c r="B565" s="293"/>
      <c r="C565" s="417"/>
      <c r="D565" s="291"/>
      <c r="E565" s="293"/>
      <c r="F565" s="417"/>
      <c r="G565" s="293"/>
      <c r="H565" s="293"/>
      <c r="I565" s="293"/>
      <c r="J565" s="293"/>
      <c r="K565" s="416"/>
    </row>
    <row r="566">
      <c r="A566" s="416"/>
      <c r="B566" s="293"/>
      <c r="C566" s="417"/>
      <c r="D566" s="291"/>
      <c r="E566" s="293"/>
      <c r="F566" s="417"/>
      <c r="G566" s="293"/>
      <c r="H566" s="293"/>
      <c r="I566" s="293"/>
      <c r="J566" s="293"/>
      <c r="K566" s="416"/>
    </row>
    <row r="567">
      <c r="A567" s="416"/>
      <c r="B567" s="293"/>
      <c r="C567" s="417"/>
      <c r="D567" s="291"/>
      <c r="E567" s="293"/>
      <c r="F567" s="417"/>
      <c r="G567" s="293"/>
      <c r="H567" s="293"/>
      <c r="I567" s="293"/>
      <c r="J567" s="293"/>
      <c r="K567" s="416"/>
    </row>
    <row r="568">
      <c r="A568" s="416"/>
      <c r="B568" s="293"/>
      <c r="C568" s="417"/>
      <c r="D568" s="291"/>
      <c r="E568" s="293"/>
      <c r="F568" s="417"/>
      <c r="G568" s="293"/>
      <c r="H568" s="293"/>
      <c r="I568" s="293"/>
      <c r="J568" s="293"/>
      <c r="K568" s="416"/>
    </row>
    <row r="569">
      <c r="A569" s="416"/>
      <c r="B569" s="293"/>
      <c r="C569" s="417"/>
      <c r="D569" s="291"/>
      <c r="E569" s="293"/>
      <c r="F569" s="417"/>
      <c r="G569" s="293"/>
      <c r="H569" s="293"/>
      <c r="I569" s="293"/>
      <c r="J569" s="293"/>
      <c r="K569" s="416"/>
    </row>
    <row r="570">
      <c r="A570" s="416"/>
      <c r="B570" s="293"/>
      <c r="C570" s="417"/>
      <c r="D570" s="291"/>
      <c r="E570" s="293"/>
      <c r="F570" s="417"/>
      <c r="G570" s="293"/>
      <c r="H570" s="293"/>
      <c r="I570" s="293"/>
      <c r="J570" s="293"/>
      <c r="K570" s="416"/>
    </row>
    <row r="571">
      <c r="A571" s="416"/>
      <c r="B571" s="293"/>
      <c r="C571" s="417"/>
      <c r="D571" s="291"/>
      <c r="E571" s="293"/>
      <c r="F571" s="417"/>
      <c r="G571" s="293"/>
      <c r="H571" s="293"/>
      <c r="I571" s="293"/>
      <c r="J571" s="293"/>
      <c r="K571" s="416"/>
    </row>
    <row r="572">
      <c r="A572" s="416"/>
      <c r="B572" s="293"/>
      <c r="C572" s="417"/>
      <c r="D572" s="291"/>
      <c r="E572" s="293"/>
      <c r="F572" s="417"/>
      <c r="G572" s="293"/>
      <c r="H572" s="293"/>
      <c r="I572" s="293"/>
      <c r="J572" s="293"/>
      <c r="K572" s="416"/>
    </row>
    <row r="573">
      <c r="A573" s="416"/>
      <c r="B573" s="293"/>
      <c r="C573" s="417"/>
      <c r="D573" s="291"/>
      <c r="E573" s="293"/>
      <c r="F573" s="417"/>
      <c r="G573" s="293"/>
      <c r="H573" s="293"/>
      <c r="I573" s="293"/>
      <c r="J573" s="293"/>
      <c r="K573" s="416"/>
    </row>
    <row r="574">
      <c r="A574" s="416"/>
      <c r="B574" s="293"/>
      <c r="C574" s="417"/>
      <c r="D574" s="291"/>
      <c r="E574" s="293"/>
      <c r="F574" s="417"/>
      <c r="G574" s="293"/>
      <c r="H574" s="293"/>
      <c r="I574" s="293"/>
      <c r="J574" s="293"/>
      <c r="K574" s="416"/>
    </row>
    <row r="575">
      <c r="A575" s="416"/>
      <c r="B575" s="293"/>
      <c r="C575" s="417"/>
      <c r="D575" s="291"/>
      <c r="E575" s="293"/>
      <c r="F575" s="417"/>
      <c r="G575" s="293"/>
      <c r="H575" s="293"/>
      <c r="I575" s="293"/>
      <c r="J575" s="293"/>
      <c r="K575" s="416"/>
    </row>
    <row r="576">
      <c r="A576" s="416"/>
      <c r="B576" s="293"/>
      <c r="C576" s="417"/>
      <c r="D576" s="291"/>
      <c r="E576" s="293"/>
      <c r="F576" s="417"/>
      <c r="G576" s="293"/>
      <c r="H576" s="293"/>
      <c r="I576" s="293"/>
      <c r="J576" s="293"/>
      <c r="K576" s="416"/>
    </row>
    <row r="577">
      <c r="A577" s="416"/>
      <c r="B577" s="293"/>
      <c r="C577" s="417"/>
      <c r="D577" s="291"/>
      <c r="E577" s="293"/>
      <c r="F577" s="417"/>
      <c r="G577" s="293"/>
      <c r="H577" s="293"/>
      <c r="I577" s="293"/>
      <c r="J577" s="293"/>
      <c r="K577" s="416"/>
    </row>
    <row r="578">
      <c r="A578" s="416"/>
      <c r="B578" s="293"/>
      <c r="C578" s="417"/>
      <c r="D578" s="291"/>
      <c r="E578" s="293"/>
      <c r="F578" s="417"/>
      <c r="G578" s="293"/>
      <c r="H578" s="293"/>
      <c r="I578" s="293"/>
      <c r="J578" s="293"/>
      <c r="K578" s="416"/>
    </row>
    <row r="579">
      <c r="A579" s="416"/>
      <c r="B579" s="293"/>
      <c r="C579" s="417"/>
      <c r="D579" s="291"/>
      <c r="E579" s="293"/>
      <c r="F579" s="417"/>
      <c r="G579" s="293"/>
      <c r="H579" s="293"/>
      <c r="I579" s="293"/>
      <c r="J579" s="293"/>
      <c r="K579" s="416"/>
    </row>
    <row r="580">
      <c r="A580" s="416"/>
      <c r="B580" s="293"/>
      <c r="C580" s="417"/>
      <c r="D580" s="291"/>
      <c r="E580" s="293"/>
      <c r="F580" s="417"/>
      <c r="G580" s="293"/>
      <c r="H580" s="293"/>
      <c r="I580" s="293"/>
      <c r="J580" s="293"/>
      <c r="K580" s="416"/>
    </row>
    <row r="581">
      <c r="A581" s="416"/>
      <c r="B581" s="293"/>
      <c r="C581" s="417"/>
      <c r="D581" s="291"/>
      <c r="E581" s="293"/>
      <c r="F581" s="417"/>
      <c r="G581" s="293"/>
      <c r="H581" s="293"/>
      <c r="I581" s="293"/>
      <c r="J581" s="293"/>
      <c r="K581" s="416"/>
    </row>
    <row r="582">
      <c r="A582" s="416"/>
      <c r="B582" s="293"/>
      <c r="C582" s="417"/>
      <c r="D582" s="291"/>
      <c r="E582" s="293"/>
      <c r="F582" s="417"/>
      <c r="G582" s="293"/>
      <c r="H582" s="293"/>
      <c r="I582" s="293"/>
      <c r="J582" s="293"/>
      <c r="K582" s="416"/>
    </row>
    <row r="583">
      <c r="A583" s="416"/>
      <c r="B583" s="293"/>
      <c r="C583" s="417"/>
      <c r="D583" s="291"/>
      <c r="E583" s="293"/>
      <c r="F583" s="417"/>
      <c r="G583" s="293"/>
      <c r="H583" s="293"/>
      <c r="I583" s="293"/>
      <c r="J583" s="293"/>
      <c r="K583" s="416"/>
    </row>
    <row r="584">
      <c r="A584" s="416"/>
      <c r="B584" s="293"/>
      <c r="C584" s="417"/>
      <c r="D584" s="291"/>
      <c r="E584" s="293"/>
      <c r="F584" s="417"/>
      <c r="G584" s="293"/>
      <c r="H584" s="293"/>
      <c r="I584" s="293"/>
      <c r="J584" s="293"/>
      <c r="K584" s="416"/>
    </row>
    <row r="585">
      <c r="A585" s="416"/>
      <c r="B585" s="293"/>
      <c r="C585" s="417"/>
      <c r="D585" s="291"/>
      <c r="E585" s="293"/>
      <c r="F585" s="417"/>
      <c r="G585" s="293"/>
      <c r="H585" s="293"/>
      <c r="I585" s="293"/>
      <c r="J585" s="293"/>
      <c r="K585" s="416"/>
    </row>
    <row r="586">
      <c r="A586" s="416"/>
      <c r="B586" s="293"/>
      <c r="C586" s="417"/>
      <c r="D586" s="291"/>
      <c r="E586" s="293"/>
      <c r="F586" s="417"/>
      <c r="G586" s="293"/>
      <c r="H586" s="293"/>
      <c r="I586" s="293"/>
      <c r="J586" s="293"/>
      <c r="K586" s="416"/>
    </row>
    <row r="587">
      <c r="A587" s="416"/>
      <c r="B587" s="293"/>
      <c r="C587" s="417"/>
      <c r="D587" s="291"/>
      <c r="E587" s="293"/>
      <c r="F587" s="417"/>
      <c r="G587" s="293"/>
      <c r="H587" s="293"/>
      <c r="I587" s="293"/>
      <c r="J587" s="293"/>
      <c r="K587" s="416"/>
    </row>
    <row r="588">
      <c r="A588" s="416"/>
      <c r="B588" s="293"/>
      <c r="C588" s="417"/>
      <c r="D588" s="291"/>
      <c r="E588" s="293"/>
      <c r="F588" s="417"/>
      <c r="G588" s="293"/>
      <c r="H588" s="293"/>
      <c r="I588" s="293"/>
      <c r="J588" s="293"/>
      <c r="K588" s="416"/>
    </row>
    <row r="589">
      <c r="A589" s="416"/>
      <c r="B589" s="293"/>
      <c r="C589" s="417"/>
      <c r="D589" s="291"/>
      <c r="E589" s="293"/>
      <c r="F589" s="417"/>
      <c r="G589" s="293"/>
      <c r="H589" s="293"/>
      <c r="I589" s="293"/>
      <c r="J589" s="293"/>
      <c r="K589" s="416"/>
    </row>
    <row r="590">
      <c r="A590" s="416"/>
      <c r="B590" s="293"/>
      <c r="C590" s="417"/>
      <c r="D590" s="291"/>
      <c r="E590" s="293"/>
      <c r="F590" s="417"/>
      <c r="G590" s="293"/>
      <c r="H590" s="293"/>
      <c r="I590" s="293"/>
      <c r="J590" s="293"/>
      <c r="K590" s="416"/>
    </row>
    <row r="591">
      <c r="A591" s="416"/>
      <c r="B591" s="293"/>
      <c r="C591" s="417"/>
      <c r="D591" s="291"/>
      <c r="E591" s="293"/>
      <c r="F591" s="417"/>
      <c r="G591" s="293"/>
      <c r="H591" s="293"/>
      <c r="I591" s="293"/>
      <c r="J591" s="293"/>
      <c r="K591" s="416"/>
    </row>
    <row r="592">
      <c r="A592" s="416"/>
      <c r="B592" s="293"/>
      <c r="C592" s="417"/>
      <c r="D592" s="291"/>
      <c r="E592" s="293"/>
      <c r="F592" s="417"/>
      <c r="G592" s="293"/>
      <c r="H592" s="293"/>
      <c r="I592" s="293"/>
      <c r="J592" s="293"/>
      <c r="K592" s="416"/>
    </row>
    <row r="593">
      <c r="A593" s="416"/>
      <c r="B593" s="293"/>
      <c r="C593" s="417"/>
      <c r="D593" s="291"/>
      <c r="E593" s="293"/>
      <c r="F593" s="417"/>
      <c r="G593" s="293"/>
      <c r="H593" s="293"/>
      <c r="I593" s="293"/>
      <c r="J593" s="293"/>
      <c r="K593" s="416"/>
    </row>
    <row r="594">
      <c r="A594" s="416"/>
      <c r="B594" s="293"/>
      <c r="C594" s="417"/>
      <c r="D594" s="291"/>
      <c r="E594" s="293"/>
      <c r="F594" s="417"/>
      <c r="G594" s="293"/>
      <c r="H594" s="293"/>
      <c r="I594" s="293"/>
      <c r="J594" s="293"/>
      <c r="K594" s="416"/>
    </row>
    <row r="595">
      <c r="A595" s="416"/>
      <c r="B595" s="293"/>
      <c r="C595" s="417"/>
      <c r="D595" s="291"/>
      <c r="E595" s="293"/>
      <c r="F595" s="417"/>
      <c r="G595" s="293"/>
      <c r="H595" s="293"/>
      <c r="I595" s="293"/>
      <c r="J595" s="293"/>
      <c r="K595" s="416"/>
    </row>
    <row r="596">
      <c r="A596" s="416"/>
      <c r="B596" s="293"/>
      <c r="C596" s="417"/>
      <c r="D596" s="291"/>
      <c r="E596" s="293"/>
      <c r="F596" s="417"/>
      <c r="G596" s="293"/>
      <c r="H596" s="293"/>
      <c r="I596" s="293"/>
      <c r="J596" s="293"/>
      <c r="K596" s="416"/>
    </row>
    <row r="597">
      <c r="A597" s="416"/>
      <c r="B597" s="293"/>
      <c r="C597" s="417"/>
      <c r="D597" s="291"/>
      <c r="E597" s="293"/>
      <c r="F597" s="417"/>
      <c r="G597" s="293"/>
      <c r="H597" s="293"/>
      <c r="I597" s="293"/>
      <c r="J597" s="293"/>
      <c r="K597" s="416"/>
    </row>
    <row r="598">
      <c r="A598" s="416"/>
      <c r="B598" s="293"/>
      <c r="C598" s="417"/>
      <c r="D598" s="291"/>
      <c r="E598" s="293"/>
      <c r="F598" s="417"/>
      <c r="G598" s="293"/>
      <c r="H598" s="293"/>
      <c r="I598" s="293"/>
      <c r="J598" s="293"/>
      <c r="K598" s="416"/>
    </row>
    <row r="599">
      <c r="A599" s="416"/>
      <c r="B599" s="293"/>
      <c r="C599" s="417"/>
      <c r="D599" s="291"/>
      <c r="E599" s="293"/>
      <c r="F599" s="417"/>
      <c r="G599" s="293"/>
      <c r="H599" s="293"/>
      <c r="I599" s="293"/>
      <c r="J599" s="293"/>
      <c r="K599" s="416"/>
    </row>
    <row r="600">
      <c r="A600" s="416"/>
      <c r="B600" s="293"/>
      <c r="C600" s="417"/>
      <c r="D600" s="291"/>
      <c r="E600" s="293"/>
      <c r="F600" s="417"/>
      <c r="G600" s="293"/>
      <c r="H600" s="293"/>
      <c r="I600" s="293"/>
      <c r="J600" s="293"/>
      <c r="K600" s="416"/>
    </row>
    <row r="601">
      <c r="A601" s="416"/>
      <c r="B601" s="293"/>
      <c r="C601" s="417"/>
      <c r="D601" s="291"/>
      <c r="E601" s="293"/>
      <c r="F601" s="417"/>
      <c r="G601" s="293"/>
      <c r="H601" s="293"/>
      <c r="I601" s="293"/>
      <c r="J601" s="293"/>
      <c r="K601" s="416"/>
    </row>
    <row r="602">
      <c r="A602" s="416"/>
      <c r="B602" s="293"/>
      <c r="C602" s="417"/>
      <c r="D602" s="291"/>
      <c r="E602" s="293"/>
      <c r="F602" s="417"/>
      <c r="G602" s="293"/>
      <c r="H602" s="293"/>
      <c r="I602" s="293"/>
      <c r="J602" s="293"/>
      <c r="K602" s="416"/>
    </row>
    <row r="603">
      <c r="A603" s="416"/>
      <c r="B603" s="293"/>
      <c r="C603" s="417"/>
      <c r="D603" s="291"/>
      <c r="E603" s="293"/>
      <c r="F603" s="417"/>
      <c r="G603" s="293"/>
      <c r="H603" s="293"/>
      <c r="I603" s="293"/>
      <c r="J603" s="293"/>
      <c r="K603" s="416"/>
    </row>
    <row r="604">
      <c r="A604" s="416"/>
      <c r="B604" s="293"/>
      <c r="C604" s="417"/>
      <c r="D604" s="291"/>
      <c r="E604" s="293"/>
      <c r="F604" s="417"/>
      <c r="G604" s="293"/>
      <c r="H604" s="293"/>
      <c r="I604" s="293"/>
      <c r="J604" s="293"/>
      <c r="K604" s="416"/>
    </row>
    <row r="605">
      <c r="A605" s="416"/>
      <c r="B605" s="293"/>
      <c r="C605" s="417"/>
      <c r="D605" s="291"/>
      <c r="E605" s="293"/>
      <c r="F605" s="417"/>
      <c r="G605" s="293"/>
      <c r="H605" s="293"/>
      <c r="I605" s="293"/>
      <c r="J605" s="293"/>
      <c r="K605" s="416"/>
    </row>
    <row r="606">
      <c r="A606" s="416"/>
      <c r="B606" s="293"/>
      <c r="C606" s="417"/>
      <c r="D606" s="291"/>
      <c r="E606" s="293"/>
      <c r="F606" s="417"/>
      <c r="G606" s="293"/>
      <c r="H606" s="293"/>
      <c r="I606" s="293"/>
      <c r="J606" s="293"/>
      <c r="K606" s="416"/>
    </row>
    <row r="607">
      <c r="A607" s="416"/>
      <c r="B607" s="293"/>
      <c r="C607" s="417"/>
      <c r="D607" s="291"/>
      <c r="E607" s="293"/>
      <c r="F607" s="417"/>
      <c r="G607" s="293"/>
      <c r="H607" s="293"/>
      <c r="I607" s="293"/>
      <c r="J607" s="293"/>
      <c r="K607" s="416"/>
    </row>
    <row r="608">
      <c r="A608" s="416"/>
      <c r="B608" s="293"/>
      <c r="C608" s="417"/>
      <c r="D608" s="291"/>
      <c r="E608" s="293"/>
      <c r="F608" s="417"/>
      <c r="G608" s="293"/>
      <c r="H608" s="293"/>
      <c r="I608" s="293"/>
      <c r="J608" s="293"/>
      <c r="K608" s="416"/>
    </row>
    <row r="609">
      <c r="A609" s="416"/>
      <c r="B609" s="293"/>
      <c r="C609" s="417"/>
      <c r="D609" s="291"/>
      <c r="E609" s="293"/>
      <c r="F609" s="417"/>
      <c r="G609" s="293"/>
      <c r="H609" s="293"/>
      <c r="I609" s="293"/>
      <c r="J609" s="293"/>
      <c r="K609" s="416"/>
    </row>
    <row r="610">
      <c r="A610" s="416"/>
      <c r="B610" s="293"/>
      <c r="C610" s="417"/>
      <c r="D610" s="291"/>
      <c r="E610" s="293"/>
      <c r="F610" s="417"/>
      <c r="G610" s="293"/>
      <c r="H610" s="293"/>
      <c r="I610" s="293"/>
      <c r="J610" s="293"/>
      <c r="K610" s="416"/>
    </row>
    <row r="611">
      <c r="A611" s="416"/>
      <c r="B611" s="293"/>
      <c r="C611" s="417"/>
      <c r="D611" s="291"/>
      <c r="E611" s="293"/>
      <c r="F611" s="417"/>
      <c r="G611" s="293"/>
      <c r="H611" s="293"/>
      <c r="I611" s="293"/>
      <c r="J611" s="293"/>
      <c r="K611" s="416"/>
    </row>
    <row r="612">
      <c r="A612" s="416"/>
      <c r="B612" s="293"/>
      <c r="C612" s="417"/>
      <c r="D612" s="291"/>
      <c r="E612" s="293"/>
      <c r="F612" s="417"/>
      <c r="G612" s="293"/>
      <c r="H612" s="293"/>
      <c r="I612" s="293"/>
      <c r="J612" s="293"/>
      <c r="K612" s="416"/>
    </row>
    <row r="613">
      <c r="A613" s="416"/>
      <c r="B613" s="293"/>
      <c r="C613" s="417"/>
      <c r="D613" s="291"/>
      <c r="E613" s="293"/>
      <c r="F613" s="417"/>
      <c r="G613" s="293"/>
      <c r="H613" s="293"/>
      <c r="I613" s="293"/>
      <c r="J613" s="293"/>
      <c r="K613" s="416"/>
    </row>
    <row r="614">
      <c r="A614" s="416"/>
      <c r="B614" s="293"/>
      <c r="C614" s="417"/>
      <c r="D614" s="291"/>
      <c r="E614" s="293"/>
      <c r="F614" s="417"/>
      <c r="G614" s="293"/>
      <c r="H614" s="293"/>
      <c r="I614" s="293"/>
      <c r="J614" s="293"/>
      <c r="K614" s="416"/>
    </row>
    <row r="615">
      <c r="A615" s="416"/>
      <c r="B615" s="293"/>
      <c r="C615" s="417"/>
      <c r="D615" s="291"/>
      <c r="E615" s="293"/>
      <c r="F615" s="417"/>
      <c r="G615" s="293"/>
      <c r="H615" s="293"/>
      <c r="I615" s="293"/>
      <c r="J615" s="293"/>
      <c r="K615" s="416"/>
    </row>
    <row r="616">
      <c r="A616" s="416"/>
      <c r="B616" s="293"/>
      <c r="C616" s="417"/>
      <c r="D616" s="291"/>
      <c r="E616" s="293"/>
      <c r="F616" s="417"/>
      <c r="G616" s="293"/>
      <c r="H616" s="293"/>
      <c r="I616" s="293"/>
      <c r="J616" s="293"/>
      <c r="K616" s="416"/>
    </row>
    <row r="617">
      <c r="A617" s="416"/>
      <c r="B617" s="293"/>
      <c r="C617" s="417"/>
      <c r="D617" s="291"/>
      <c r="E617" s="293"/>
      <c r="F617" s="417"/>
      <c r="G617" s="293"/>
      <c r="H617" s="293"/>
      <c r="I617" s="293"/>
      <c r="J617" s="293"/>
      <c r="K617" s="416"/>
    </row>
    <row r="618">
      <c r="A618" s="416"/>
      <c r="B618" s="293"/>
      <c r="C618" s="417"/>
      <c r="D618" s="291"/>
      <c r="E618" s="293"/>
      <c r="F618" s="417"/>
      <c r="G618" s="293"/>
      <c r="H618" s="293"/>
      <c r="I618" s="293"/>
      <c r="J618" s="293"/>
      <c r="K618" s="416"/>
    </row>
    <row r="619">
      <c r="A619" s="416"/>
      <c r="B619" s="293"/>
      <c r="C619" s="417"/>
      <c r="D619" s="291"/>
      <c r="E619" s="293"/>
      <c r="F619" s="417"/>
      <c r="G619" s="293"/>
      <c r="H619" s="293"/>
      <c r="I619" s="293"/>
      <c r="J619" s="293"/>
      <c r="K619" s="416"/>
    </row>
    <row r="620">
      <c r="A620" s="416"/>
      <c r="B620" s="293"/>
      <c r="C620" s="417"/>
      <c r="D620" s="291"/>
      <c r="E620" s="293"/>
      <c r="F620" s="417"/>
      <c r="G620" s="293"/>
      <c r="H620" s="293"/>
      <c r="I620" s="293"/>
      <c r="J620" s="293"/>
      <c r="K620" s="416"/>
    </row>
    <row r="621">
      <c r="A621" s="416"/>
      <c r="B621" s="293"/>
      <c r="C621" s="417"/>
      <c r="D621" s="291"/>
      <c r="E621" s="293"/>
      <c r="F621" s="417"/>
      <c r="G621" s="293"/>
      <c r="H621" s="293"/>
      <c r="I621" s="293"/>
      <c r="J621" s="293"/>
      <c r="K621" s="416"/>
    </row>
    <row r="622">
      <c r="A622" s="416"/>
      <c r="B622" s="293"/>
      <c r="C622" s="417"/>
      <c r="D622" s="291"/>
      <c r="E622" s="293"/>
      <c r="F622" s="417"/>
      <c r="G622" s="293"/>
      <c r="H622" s="293"/>
      <c r="I622" s="293"/>
      <c r="J622" s="293"/>
      <c r="K622" s="416"/>
    </row>
    <row r="623">
      <c r="A623" s="416"/>
      <c r="B623" s="293"/>
      <c r="C623" s="417"/>
      <c r="D623" s="291"/>
      <c r="E623" s="293"/>
      <c r="F623" s="417"/>
      <c r="G623" s="293"/>
      <c r="H623" s="293"/>
      <c r="I623" s="293"/>
      <c r="J623" s="293"/>
      <c r="K623" s="416"/>
    </row>
    <row r="624">
      <c r="A624" s="416"/>
      <c r="B624" s="293"/>
      <c r="C624" s="417"/>
      <c r="D624" s="291"/>
      <c r="E624" s="293"/>
      <c r="F624" s="417"/>
      <c r="G624" s="293"/>
      <c r="H624" s="293"/>
      <c r="I624" s="293"/>
      <c r="J624" s="293"/>
      <c r="K624" s="416"/>
    </row>
    <row r="625">
      <c r="A625" s="416"/>
      <c r="B625" s="293"/>
      <c r="C625" s="417"/>
      <c r="D625" s="291"/>
      <c r="E625" s="293"/>
      <c r="F625" s="417"/>
      <c r="G625" s="293"/>
      <c r="H625" s="293"/>
      <c r="I625" s="293"/>
      <c r="J625" s="293"/>
      <c r="K625" s="416"/>
    </row>
    <row r="626">
      <c r="A626" s="416"/>
      <c r="B626" s="293"/>
      <c r="C626" s="417"/>
      <c r="D626" s="291"/>
      <c r="E626" s="293"/>
      <c r="F626" s="417"/>
      <c r="G626" s="293"/>
      <c r="H626" s="293"/>
      <c r="I626" s="293"/>
      <c r="J626" s="293"/>
      <c r="K626" s="416"/>
    </row>
    <row r="627">
      <c r="A627" s="416"/>
      <c r="B627" s="293"/>
      <c r="C627" s="417"/>
      <c r="D627" s="291"/>
      <c r="E627" s="293"/>
      <c r="F627" s="417"/>
      <c r="G627" s="293"/>
      <c r="H627" s="293"/>
      <c r="I627" s="293"/>
      <c r="J627" s="293"/>
      <c r="K627" s="416"/>
    </row>
    <row r="628">
      <c r="A628" s="416"/>
      <c r="B628" s="293"/>
      <c r="C628" s="417"/>
      <c r="D628" s="291"/>
      <c r="E628" s="293"/>
      <c r="F628" s="417"/>
      <c r="G628" s="293"/>
      <c r="H628" s="293"/>
      <c r="I628" s="293"/>
      <c r="J628" s="293"/>
      <c r="K628" s="416"/>
    </row>
    <row r="629">
      <c r="A629" s="416"/>
      <c r="B629" s="293"/>
      <c r="C629" s="417"/>
      <c r="D629" s="291"/>
      <c r="E629" s="293"/>
      <c r="F629" s="417"/>
      <c r="G629" s="293"/>
      <c r="H629" s="293"/>
      <c r="I629" s="293"/>
      <c r="J629" s="293"/>
      <c r="K629" s="416"/>
    </row>
    <row r="630">
      <c r="A630" s="416"/>
      <c r="B630" s="293"/>
      <c r="C630" s="417"/>
      <c r="D630" s="291"/>
      <c r="E630" s="293"/>
      <c r="F630" s="417"/>
      <c r="G630" s="293"/>
      <c r="H630" s="293"/>
      <c r="I630" s="293"/>
      <c r="J630" s="293"/>
      <c r="K630" s="416"/>
    </row>
    <row r="631">
      <c r="A631" s="416"/>
      <c r="B631" s="293"/>
      <c r="C631" s="417"/>
      <c r="D631" s="291"/>
      <c r="E631" s="293"/>
      <c r="F631" s="417"/>
      <c r="G631" s="293"/>
      <c r="H631" s="293"/>
      <c r="I631" s="293"/>
      <c r="J631" s="293"/>
      <c r="K631" s="416"/>
    </row>
    <row r="632">
      <c r="A632" s="416"/>
      <c r="B632" s="293"/>
      <c r="C632" s="417"/>
      <c r="D632" s="291"/>
      <c r="E632" s="293"/>
      <c r="F632" s="417"/>
      <c r="G632" s="293"/>
      <c r="H632" s="293"/>
      <c r="I632" s="293"/>
      <c r="J632" s="293"/>
      <c r="K632" s="416"/>
    </row>
    <row r="633">
      <c r="A633" s="416"/>
      <c r="B633" s="293"/>
      <c r="C633" s="417"/>
      <c r="D633" s="291"/>
      <c r="E633" s="293"/>
      <c r="F633" s="417"/>
      <c r="G633" s="293"/>
      <c r="H633" s="293"/>
      <c r="I633" s="293"/>
      <c r="J633" s="293"/>
      <c r="K633" s="416"/>
    </row>
    <row r="634">
      <c r="A634" s="416"/>
      <c r="B634" s="293"/>
      <c r="C634" s="417"/>
      <c r="D634" s="291"/>
      <c r="E634" s="293"/>
      <c r="F634" s="417"/>
      <c r="G634" s="293"/>
      <c r="H634" s="293"/>
      <c r="I634" s="293"/>
      <c r="J634" s="293"/>
      <c r="K634" s="416"/>
    </row>
    <row r="635">
      <c r="A635" s="416"/>
      <c r="B635" s="293"/>
      <c r="C635" s="417"/>
      <c r="D635" s="291"/>
      <c r="E635" s="293"/>
      <c r="F635" s="417"/>
      <c r="G635" s="293"/>
      <c r="H635" s="293"/>
      <c r="I635" s="293"/>
      <c r="J635" s="293"/>
      <c r="K635" s="416"/>
    </row>
    <row r="636">
      <c r="A636" s="416"/>
      <c r="B636" s="293"/>
      <c r="C636" s="417"/>
      <c r="D636" s="291"/>
      <c r="E636" s="293"/>
      <c r="F636" s="417"/>
      <c r="G636" s="293"/>
      <c r="H636" s="293"/>
      <c r="I636" s="293"/>
      <c r="J636" s="293"/>
      <c r="K636" s="416"/>
    </row>
    <row r="637">
      <c r="A637" s="416"/>
      <c r="B637" s="293"/>
      <c r="C637" s="417"/>
      <c r="D637" s="291"/>
      <c r="E637" s="293"/>
      <c r="F637" s="417"/>
      <c r="G637" s="293"/>
      <c r="H637" s="293"/>
      <c r="I637" s="293"/>
      <c r="J637" s="293"/>
      <c r="K637" s="416"/>
    </row>
    <row r="638">
      <c r="A638" s="416"/>
      <c r="B638" s="293"/>
      <c r="C638" s="417"/>
      <c r="D638" s="291"/>
      <c r="E638" s="293"/>
      <c r="F638" s="417"/>
      <c r="G638" s="293"/>
      <c r="H638" s="293"/>
      <c r="I638" s="293"/>
      <c r="J638" s="293"/>
      <c r="K638" s="416"/>
    </row>
    <row r="639">
      <c r="A639" s="416"/>
      <c r="B639" s="293"/>
      <c r="C639" s="417"/>
      <c r="D639" s="291"/>
      <c r="E639" s="293"/>
      <c r="F639" s="417"/>
      <c r="G639" s="293"/>
      <c r="H639" s="293"/>
      <c r="I639" s="293"/>
      <c r="J639" s="293"/>
      <c r="K639" s="416"/>
    </row>
    <row r="640">
      <c r="A640" s="416"/>
      <c r="B640" s="293"/>
      <c r="C640" s="417"/>
      <c r="D640" s="291"/>
      <c r="E640" s="293"/>
      <c r="F640" s="417"/>
      <c r="G640" s="293"/>
      <c r="H640" s="293"/>
      <c r="I640" s="293"/>
      <c r="J640" s="293"/>
      <c r="K640" s="416"/>
    </row>
    <row r="641">
      <c r="A641" s="416"/>
      <c r="B641" s="293"/>
      <c r="C641" s="417"/>
      <c r="D641" s="291"/>
      <c r="E641" s="293"/>
      <c r="F641" s="417"/>
      <c r="G641" s="293"/>
      <c r="H641" s="293"/>
      <c r="I641" s="293"/>
      <c r="J641" s="293"/>
      <c r="K641" s="416"/>
    </row>
    <row r="642">
      <c r="A642" s="416"/>
      <c r="B642" s="293"/>
      <c r="C642" s="417"/>
      <c r="D642" s="291"/>
      <c r="E642" s="293"/>
      <c r="F642" s="417"/>
      <c r="G642" s="293"/>
      <c r="H642" s="293"/>
      <c r="I642" s="293"/>
      <c r="J642" s="293"/>
      <c r="K642" s="416"/>
    </row>
    <row r="643">
      <c r="A643" s="416"/>
      <c r="B643" s="293"/>
      <c r="C643" s="417"/>
      <c r="D643" s="291"/>
      <c r="E643" s="293"/>
      <c r="F643" s="417"/>
      <c r="G643" s="293"/>
      <c r="H643" s="293"/>
      <c r="I643" s="293"/>
      <c r="J643" s="293"/>
      <c r="K643" s="416"/>
    </row>
    <row r="644">
      <c r="A644" s="416"/>
      <c r="B644" s="293"/>
      <c r="C644" s="417"/>
      <c r="D644" s="291"/>
      <c r="E644" s="293"/>
      <c r="F644" s="417"/>
      <c r="G644" s="293"/>
      <c r="H644" s="293"/>
      <c r="I644" s="293"/>
      <c r="J644" s="293"/>
      <c r="K644" s="416"/>
    </row>
    <row r="645">
      <c r="A645" s="416"/>
      <c r="B645" s="293"/>
      <c r="C645" s="417"/>
      <c r="D645" s="291"/>
      <c r="E645" s="293"/>
      <c r="F645" s="417"/>
      <c r="G645" s="293"/>
      <c r="H645" s="293"/>
      <c r="I645" s="293"/>
      <c r="J645" s="293"/>
      <c r="K645" s="416"/>
    </row>
    <row r="646">
      <c r="A646" s="416"/>
      <c r="B646" s="293"/>
      <c r="C646" s="417"/>
      <c r="D646" s="291"/>
      <c r="E646" s="293"/>
      <c r="F646" s="417"/>
      <c r="G646" s="293"/>
      <c r="H646" s="293"/>
      <c r="I646" s="293"/>
      <c r="J646" s="293"/>
      <c r="K646" s="416"/>
    </row>
    <row r="647">
      <c r="A647" s="416"/>
      <c r="B647" s="293"/>
      <c r="C647" s="417"/>
      <c r="D647" s="291"/>
      <c r="E647" s="293"/>
      <c r="F647" s="417"/>
      <c r="G647" s="293"/>
      <c r="H647" s="293"/>
      <c r="I647" s="293"/>
      <c r="J647" s="293"/>
      <c r="K647" s="416"/>
    </row>
    <row r="648">
      <c r="A648" s="416"/>
      <c r="B648" s="293"/>
      <c r="C648" s="417"/>
      <c r="D648" s="291"/>
      <c r="E648" s="293"/>
      <c r="F648" s="417"/>
      <c r="G648" s="293"/>
      <c r="H648" s="293"/>
      <c r="I648" s="293"/>
      <c r="J648" s="293"/>
      <c r="K648" s="416"/>
    </row>
    <row r="649">
      <c r="A649" s="416"/>
      <c r="B649" s="293"/>
      <c r="C649" s="417"/>
      <c r="D649" s="291"/>
      <c r="E649" s="293"/>
      <c r="F649" s="417"/>
      <c r="G649" s="293"/>
      <c r="H649" s="293"/>
      <c r="I649" s="293"/>
      <c r="J649" s="293"/>
      <c r="K649" s="416"/>
    </row>
    <row r="650">
      <c r="A650" s="416"/>
      <c r="B650" s="293"/>
      <c r="C650" s="417"/>
      <c r="D650" s="291"/>
      <c r="E650" s="293"/>
      <c r="F650" s="417"/>
      <c r="G650" s="293"/>
      <c r="H650" s="293"/>
      <c r="I650" s="293"/>
      <c r="J650" s="293"/>
      <c r="K650" s="416"/>
    </row>
    <row r="651">
      <c r="A651" s="416"/>
      <c r="B651" s="293"/>
      <c r="C651" s="417"/>
      <c r="D651" s="291"/>
      <c r="E651" s="293"/>
      <c r="F651" s="417"/>
      <c r="G651" s="293"/>
      <c r="H651" s="293"/>
      <c r="I651" s="293"/>
      <c r="J651" s="293"/>
      <c r="K651" s="416"/>
    </row>
    <row r="652">
      <c r="A652" s="416"/>
      <c r="B652" s="293"/>
      <c r="C652" s="417"/>
      <c r="D652" s="291"/>
      <c r="E652" s="293"/>
      <c r="F652" s="417"/>
      <c r="G652" s="293"/>
      <c r="H652" s="293"/>
      <c r="I652" s="293"/>
      <c r="J652" s="293"/>
      <c r="K652" s="416"/>
    </row>
    <row r="653">
      <c r="A653" s="416"/>
      <c r="B653" s="293"/>
      <c r="C653" s="417"/>
      <c r="D653" s="291"/>
      <c r="E653" s="293"/>
      <c r="F653" s="417"/>
      <c r="G653" s="293"/>
      <c r="H653" s="293"/>
      <c r="I653" s="293"/>
      <c r="J653" s="293"/>
      <c r="K653" s="416"/>
    </row>
    <row r="654">
      <c r="A654" s="416"/>
      <c r="B654" s="293"/>
      <c r="C654" s="417"/>
      <c r="D654" s="291"/>
      <c r="E654" s="293"/>
      <c r="F654" s="417"/>
      <c r="G654" s="293"/>
      <c r="H654" s="293"/>
      <c r="I654" s="293"/>
      <c r="J654" s="293"/>
      <c r="K654" s="416"/>
    </row>
    <row r="655">
      <c r="A655" s="416"/>
      <c r="B655" s="293"/>
      <c r="C655" s="417"/>
      <c r="D655" s="291"/>
      <c r="E655" s="293"/>
      <c r="F655" s="417"/>
      <c r="G655" s="293"/>
      <c r="H655" s="293"/>
      <c r="I655" s="293"/>
      <c r="J655" s="293"/>
      <c r="K655" s="416"/>
    </row>
    <row r="656">
      <c r="A656" s="416"/>
      <c r="B656" s="293"/>
      <c r="C656" s="417"/>
      <c r="D656" s="291"/>
      <c r="E656" s="293"/>
      <c r="F656" s="417"/>
      <c r="G656" s="293"/>
      <c r="H656" s="293"/>
      <c r="I656" s="293"/>
      <c r="J656" s="293"/>
      <c r="K656" s="416"/>
    </row>
    <row r="657">
      <c r="A657" s="416"/>
      <c r="B657" s="293"/>
      <c r="C657" s="417"/>
      <c r="D657" s="291"/>
      <c r="E657" s="293"/>
      <c r="F657" s="417"/>
      <c r="G657" s="293"/>
      <c r="H657" s="293"/>
      <c r="I657" s="293"/>
      <c r="J657" s="293"/>
      <c r="K657" s="416"/>
    </row>
    <row r="658">
      <c r="A658" s="416"/>
      <c r="B658" s="293"/>
      <c r="C658" s="417"/>
      <c r="D658" s="291"/>
      <c r="E658" s="293"/>
      <c r="F658" s="417"/>
      <c r="G658" s="293"/>
      <c r="H658" s="293"/>
      <c r="I658" s="293"/>
      <c r="J658" s="293"/>
      <c r="K658" s="416"/>
    </row>
    <row r="659">
      <c r="A659" s="416"/>
      <c r="B659" s="293"/>
      <c r="C659" s="417"/>
      <c r="D659" s="291"/>
      <c r="E659" s="293"/>
      <c r="F659" s="417"/>
      <c r="G659" s="293"/>
      <c r="H659" s="293"/>
      <c r="I659" s="293"/>
      <c r="J659" s="293"/>
      <c r="K659" s="416"/>
    </row>
    <row r="660">
      <c r="A660" s="416"/>
      <c r="B660" s="293"/>
      <c r="C660" s="417"/>
      <c r="D660" s="291"/>
      <c r="E660" s="293"/>
      <c r="F660" s="417"/>
      <c r="G660" s="293"/>
      <c r="H660" s="293"/>
      <c r="I660" s="293"/>
      <c r="J660" s="293"/>
      <c r="K660" s="416"/>
    </row>
    <row r="661">
      <c r="A661" s="416"/>
      <c r="B661" s="293"/>
      <c r="C661" s="417"/>
      <c r="D661" s="291"/>
      <c r="E661" s="293"/>
      <c r="F661" s="417"/>
      <c r="G661" s="293"/>
      <c r="H661" s="293"/>
      <c r="I661" s="293"/>
      <c r="J661" s="293"/>
      <c r="K661" s="416"/>
    </row>
    <row r="662">
      <c r="A662" s="416"/>
      <c r="B662" s="293"/>
      <c r="C662" s="417"/>
      <c r="D662" s="291"/>
      <c r="E662" s="293"/>
      <c r="F662" s="417"/>
      <c r="G662" s="293"/>
      <c r="H662" s="293"/>
      <c r="I662" s="293"/>
      <c r="J662" s="293"/>
      <c r="K662" s="416"/>
    </row>
    <row r="663">
      <c r="A663" s="416"/>
      <c r="B663" s="293"/>
      <c r="C663" s="417"/>
      <c r="D663" s="291"/>
      <c r="E663" s="293"/>
      <c r="F663" s="417"/>
      <c r="G663" s="293"/>
      <c r="H663" s="293"/>
      <c r="I663" s="293"/>
      <c r="J663" s="293"/>
      <c r="K663" s="416"/>
    </row>
    <row r="664">
      <c r="A664" s="416"/>
      <c r="B664" s="293"/>
      <c r="C664" s="417"/>
      <c r="D664" s="291"/>
      <c r="E664" s="293"/>
      <c r="F664" s="417"/>
      <c r="G664" s="293"/>
      <c r="H664" s="293"/>
      <c r="I664" s="293"/>
      <c r="J664" s="293"/>
      <c r="K664" s="416"/>
    </row>
    <row r="665">
      <c r="A665" s="416"/>
      <c r="B665" s="293"/>
      <c r="C665" s="417"/>
      <c r="D665" s="291"/>
      <c r="E665" s="293"/>
      <c r="F665" s="417"/>
      <c r="G665" s="293"/>
      <c r="H665" s="293"/>
      <c r="I665" s="293"/>
      <c r="J665" s="293"/>
      <c r="K665" s="416"/>
    </row>
    <row r="666">
      <c r="A666" s="416"/>
      <c r="B666" s="293"/>
      <c r="C666" s="417"/>
      <c r="D666" s="291"/>
      <c r="E666" s="293"/>
      <c r="F666" s="417"/>
      <c r="G666" s="293"/>
      <c r="H666" s="293"/>
      <c r="I666" s="293"/>
      <c r="J666" s="293"/>
      <c r="K666" s="416"/>
    </row>
    <row r="667">
      <c r="A667" s="416"/>
      <c r="B667" s="293"/>
      <c r="C667" s="417"/>
      <c r="D667" s="291"/>
      <c r="E667" s="293"/>
      <c r="F667" s="417"/>
      <c r="G667" s="293"/>
      <c r="H667" s="293"/>
      <c r="I667" s="293"/>
      <c r="J667" s="293"/>
      <c r="K667" s="416"/>
    </row>
    <row r="668">
      <c r="A668" s="416"/>
      <c r="B668" s="293"/>
      <c r="C668" s="417"/>
      <c r="D668" s="291"/>
      <c r="E668" s="293"/>
      <c r="F668" s="417"/>
      <c r="G668" s="293"/>
      <c r="H668" s="293"/>
      <c r="I668" s="293"/>
      <c r="J668" s="293"/>
      <c r="K668" s="416"/>
    </row>
    <row r="669">
      <c r="A669" s="416"/>
      <c r="B669" s="293"/>
      <c r="C669" s="417"/>
      <c r="D669" s="291"/>
      <c r="E669" s="293"/>
      <c r="F669" s="417"/>
      <c r="G669" s="293"/>
      <c r="H669" s="293"/>
      <c r="I669" s="293"/>
      <c r="J669" s="293"/>
      <c r="K669" s="416"/>
    </row>
    <row r="670">
      <c r="A670" s="416"/>
      <c r="B670" s="293"/>
      <c r="C670" s="417"/>
      <c r="D670" s="291"/>
      <c r="E670" s="293"/>
      <c r="F670" s="417"/>
      <c r="G670" s="293"/>
      <c r="H670" s="293"/>
      <c r="I670" s="293"/>
      <c r="J670" s="293"/>
      <c r="K670" s="416"/>
    </row>
    <row r="671">
      <c r="A671" s="416"/>
      <c r="B671" s="293"/>
      <c r="C671" s="417"/>
      <c r="D671" s="291"/>
      <c r="E671" s="293"/>
      <c r="F671" s="417"/>
      <c r="G671" s="293"/>
      <c r="H671" s="293"/>
      <c r="I671" s="293"/>
      <c r="J671" s="293"/>
      <c r="K671" s="416"/>
    </row>
    <row r="672">
      <c r="A672" s="416"/>
      <c r="B672" s="293"/>
      <c r="C672" s="417"/>
      <c r="D672" s="291"/>
      <c r="E672" s="293"/>
      <c r="F672" s="417"/>
      <c r="G672" s="293"/>
      <c r="H672" s="293"/>
      <c r="I672" s="293"/>
      <c r="J672" s="293"/>
      <c r="K672" s="416"/>
    </row>
    <row r="673">
      <c r="A673" s="416"/>
      <c r="B673" s="293"/>
      <c r="C673" s="417"/>
      <c r="D673" s="291"/>
      <c r="E673" s="293"/>
      <c r="F673" s="417"/>
      <c r="G673" s="293"/>
      <c r="H673" s="293"/>
      <c r="I673" s="293"/>
      <c r="J673" s="293"/>
      <c r="K673" s="416"/>
    </row>
    <row r="674">
      <c r="A674" s="416"/>
      <c r="B674" s="293"/>
      <c r="C674" s="417"/>
      <c r="D674" s="291"/>
      <c r="E674" s="293"/>
      <c r="F674" s="417"/>
      <c r="G674" s="293"/>
      <c r="H674" s="293"/>
      <c r="I674" s="293"/>
      <c r="J674" s="293"/>
      <c r="K674" s="416"/>
    </row>
    <row r="675">
      <c r="A675" s="416"/>
      <c r="B675" s="293"/>
      <c r="C675" s="417"/>
      <c r="D675" s="291"/>
      <c r="E675" s="293"/>
      <c r="F675" s="417"/>
      <c r="G675" s="293"/>
      <c r="H675" s="293"/>
      <c r="I675" s="293"/>
      <c r="J675" s="293"/>
      <c r="K675" s="416"/>
    </row>
    <row r="676">
      <c r="A676" s="416"/>
      <c r="B676" s="293"/>
      <c r="C676" s="417"/>
      <c r="D676" s="291"/>
      <c r="E676" s="293"/>
      <c r="F676" s="417"/>
      <c r="G676" s="293"/>
      <c r="H676" s="293"/>
      <c r="I676" s="293"/>
      <c r="J676" s="293"/>
      <c r="K676" s="416"/>
    </row>
    <row r="677">
      <c r="A677" s="416"/>
      <c r="B677" s="293"/>
      <c r="C677" s="417"/>
      <c r="D677" s="291"/>
      <c r="E677" s="293"/>
      <c r="F677" s="417"/>
      <c r="G677" s="293"/>
      <c r="H677" s="293"/>
      <c r="I677" s="293"/>
      <c r="J677" s="293"/>
      <c r="K677" s="416"/>
    </row>
    <row r="678">
      <c r="A678" s="416"/>
      <c r="B678" s="293"/>
      <c r="C678" s="417"/>
      <c r="D678" s="291"/>
      <c r="E678" s="293"/>
      <c r="F678" s="417"/>
      <c r="G678" s="293"/>
      <c r="H678" s="293"/>
      <c r="I678" s="293"/>
      <c r="J678" s="293"/>
      <c r="K678" s="416"/>
    </row>
    <row r="679">
      <c r="A679" s="416"/>
      <c r="B679" s="293"/>
      <c r="C679" s="417"/>
      <c r="D679" s="291"/>
      <c r="E679" s="293"/>
      <c r="F679" s="417"/>
      <c r="G679" s="293"/>
      <c r="H679" s="293"/>
      <c r="I679" s="293"/>
      <c r="J679" s="293"/>
      <c r="K679" s="416"/>
    </row>
    <row r="680">
      <c r="A680" s="416"/>
      <c r="B680" s="293"/>
      <c r="C680" s="417"/>
      <c r="D680" s="291"/>
      <c r="E680" s="293"/>
      <c r="F680" s="417"/>
      <c r="G680" s="293"/>
      <c r="H680" s="293"/>
      <c r="I680" s="293"/>
      <c r="J680" s="293"/>
      <c r="K680" s="416"/>
    </row>
    <row r="681">
      <c r="A681" s="416"/>
      <c r="B681" s="293"/>
      <c r="C681" s="417"/>
      <c r="D681" s="291"/>
      <c r="E681" s="293"/>
      <c r="F681" s="417"/>
      <c r="G681" s="293"/>
      <c r="H681" s="293"/>
      <c r="I681" s="293"/>
      <c r="J681" s="293"/>
      <c r="K681" s="416"/>
    </row>
    <row r="682">
      <c r="A682" s="416"/>
      <c r="B682" s="293"/>
      <c r="C682" s="417"/>
      <c r="D682" s="291"/>
      <c r="E682" s="293"/>
      <c r="F682" s="417"/>
      <c r="G682" s="293"/>
      <c r="H682" s="293"/>
      <c r="I682" s="293"/>
      <c r="J682" s="293"/>
      <c r="K682" s="416"/>
    </row>
    <row r="683">
      <c r="A683" s="416"/>
      <c r="B683" s="293"/>
      <c r="C683" s="417"/>
      <c r="D683" s="291"/>
      <c r="E683" s="293"/>
      <c r="F683" s="417"/>
      <c r="G683" s="293"/>
      <c r="H683" s="293"/>
      <c r="I683" s="293"/>
      <c r="J683" s="293"/>
      <c r="K683" s="416"/>
    </row>
    <row r="684">
      <c r="A684" s="416"/>
      <c r="B684" s="293"/>
      <c r="C684" s="417"/>
      <c r="D684" s="291"/>
      <c r="E684" s="293"/>
      <c r="F684" s="417"/>
      <c r="G684" s="293"/>
      <c r="H684" s="293"/>
      <c r="I684" s="293"/>
      <c r="J684" s="293"/>
      <c r="K684" s="416"/>
    </row>
    <row r="685">
      <c r="A685" s="416"/>
      <c r="B685" s="293"/>
      <c r="C685" s="417"/>
      <c r="D685" s="291"/>
      <c r="E685" s="293"/>
      <c r="F685" s="417"/>
      <c r="G685" s="293"/>
      <c r="H685" s="293"/>
      <c r="I685" s="293"/>
      <c r="J685" s="293"/>
      <c r="K685" s="416"/>
    </row>
    <row r="686">
      <c r="A686" s="416"/>
      <c r="B686" s="293"/>
      <c r="C686" s="417"/>
      <c r="D686" s="291"/>
      <c r="E686" s="293"/>
      <c r="F686" s="417"/>
      <c r="G686" s="293"/>
      <c r="H686" s="293"/>
      <c r="I686" s="293"/>
      <c r="J686" s="293"/>
      <c r="K686" s="416"/>
    </row>
    <row r="687">
      <c r="A687" s="416"/>
      <c r="B687" s="293"/>
      <c r="C687" s="417"/>
      <c r="D687" s="291"/>
      <c r="E687" s="293"/>
      <c r="F687" s="417"/>
      <c r="G687" s="293"/>
      <c r="H687" s="293"/>
      <c r="I687" s="293"/>
      <c r="J687" s="293"/>
      <c r="K687" s="416"/>
    </row>
    <row r="688">
      <c r="A688" s="416"/>
      <c r="B688" s="293"/>
      <c r="C688" s="417"/>
      <c r="D688" s="291"/>
      <c r="E688" s="293"/>
      <c r="F688" s="417"/>
      <c r="G688" s="293"/>
      <c r="H688" s="293"/>
      <c r="I688" s="293"/>
      <c r="J688" s="293"/>
      <c r="K688" s="416"/>
    </row>
    <row r="689">
      <c r="A689" s="416"/>
      <c r="B689" s="293"/>
      <c r="C689" s="417"/>
      <c r="D689" s="291"/>
      <c r="E689" s="293"/>
      <c r="F689" s="417"/>
      <c r="G689" s="293"/>
      <c r="H689" s="293"/>
      <c r="I689" s="293"/>
      <c r="J689" s="293"/>
      <c r="K689" s="416"/>
    </row>
    <row r="690">
      <c r="A690" s="416"/>
      <c r="B690" s="293"/>
      <c r="C690" s="417"/>
      <c r="D690" s="291"/>
      <c r="E690" s="293"/>
      <c r="F690" s="417"/>
      <c r="G690" s="293"/>
      <c r="H690" s="293"/>
      <c r="I690" s="293"/>
      <c r="J690" s="293"/>
      <c r="K690" s="416"/>
    </row>
    <row r="691">
      <c r="A691" s="416"/>
      <c r="B691" s="293"/>
      <c r="C691" s="417"/>
      <c r="D691" s="291"/>
      <c r="E691" s="293"/>
      <c r="F691" s="417"/>
      <c r="G691" s="293"/>
      <c r="H691" s="293"/>
      <c r="I691" s="293"/>
      <c r="J691" s="293"/>
      <c r="K691" s="416"/>
    </row>
    <row r="692">
      <c r="A692" s="416"/>
      <c r="B692" s="293"/>
      <c r="C692" s="417"/>
      <c r="D692" s="291"/>
      <c r="E692" s="293"/>
      <c r="F692" s="417"/>
      <c r="G692" s="293"/>
      <c r="H692" s="293"/>
      <c r="I692" s="293"/>
      <c r="J692" s="293"/>
      <c r="K692" s="416"/>
    </row>
    <row r="693">
      <c r="A693" s="416"/>
      <c r="B693" s="293"/>
      <c r="C693" s="417"/>
      <c r="D693" s="291"/>
      <c r="E693" s="293"/>
      <c r="F693" s="417"/>
      <c r="G693" s="293"/>
      <c r="H693" s="293"/>
      <c r="I693" s="293"/>
      <c r="J693" s="293"/>
      <c r="K693" s="416"/>
    </row>
    <row r="694">
      <c r="A694" s="416"/>
      <c r="B694" s="293"/>
      <c r="C694" s="417"/>
      <c r="D694" s="291"/>
      <c r="E694" s="293"/>
      <c r="F694" s="417"/>
      <c r="G694" s="293"/>
      <c r="H694" s="293"/>
      <c r="I694" s="293"/>
      <c r="J694" s="293"/>
      <c r="K694" s="416"/>
    </row>
    <row r="695">
      <c r="A695" s="416"/>
      <c r="B695" s="293"/>
      <c r="C695" s="417"/>
      <c r="D695" s="291"/>
      <c r="E695" s="293"/>
      <c r="F695" s="417"/>
      <c r="G695" s="293"/>
      <c r="H695" s="293"/>
      <c r="I695" s="293"/>
      <c r="J695" s="293"/>
      <c r="K695" s="416"/>
    </row>
    <row r="696">
      <c r="A696" s="416"/>
      <c r="B696" s="293"/>
      <c r="C696" s="417"/>
      <c r="D696" s="291"/>
      <c r="E696" s="293"/>
      <c r="F696" s="417"/>
      <c r="G696" s="293"/>
      <c r="H696" s="293"/>
      <c r="I696" s="293"/>
      <c r="J696" s="293"/>
      <c r="K696" s="416"/>
    </row>
    <row r="697">
      <c r="A697" s="416"/>
      <c r="B697" s="293"/>
      <c r="C697" s="417"/>
      <c r="D697" s="291"/>
      <c r="E697" s="293"/>
      <c r="F697" s="417"/>
      <c r="G697" s="293"/>
      <c r="H697" s="293"/>
      <c r="I697" s="293"/>
      <c r="J697" s="293"/>
      <c r="K697" s="416"/>
    </row>
    <row r="698">
      <c r="A698" s="416"/>
      <c r="B698" s="293"/>
      <c r="C698" s="417"/>
      <c r="D698" s="291"/>
      <c r="E698" s="293"/>
      <c r="F698" s="417"/>
      <c r="G698" s="293"/>
      <c r="H698" s="293"/>
      <c r="I698" s="293"/>
      <c r="J698" s="293"/>
      <c r="K698" s="416"/>
    </row>
    <row r="699">
      <c r="A699" s="416"/>
      <c r="B699" s="293"/>
      <c r="C699" s="417"/>
      <c r="D699" s="291"/>
      <c r="E699" s="293"/>
      <c r="F699" s="417"/>
      <c r="G699" s="293"/>
      <c r="H699" s="293"/>
      <c r="I699" s="293"/>
      <c r="J699" s="293"/>
      <c r="K699" s="416"/>
    </row>
    <row r="700">
      <c r="A700" s="416"/>
      <c r="B700" s="293"/>
      <c r="C700" s="417"/>
      <c r="D700" s="291"/>
      <c r="E700" s="293"/>
      <c r="F700" s="417"/>
      <c r="G700" s="293"/>
      <c r="H700" s="293"/>
      <c r="I700" s="293"/>
      <c r="J700" s="293"/>
      <c r="K700" s="416"/>
    </row>
    <row r="701">
      <c r="A701" s="416"/>
      <c r="B701" s="293"/>
      <c r="C701" s="417"/>
      <c r="D701" s="291"/>
      <c r="E701" s="293"/>
      <c r="F701" s="417"/>
      <c r="G701" s="293"/>
      <c r="H701" s="293"/>
      <c r="I701" s="293"/>
      <c r="J701" s="293"/>
      <c r="K701" s="416"/>
    </row>
    <row r="702">
      <c r="A702" s="416"/>
      <c r="B702" s="293"/>
      <c r="C702" s="417"/>
      <c r="D702" s="291"/>
      <c r="E702" s="293"/>
      <c r="F702" s="417"/>
      <c r="G702" s="293"/>
      <c r="H702" s="293"/>
      <c r="I702" s="293"/>
      <c r="J702" s="293"/>
      <c r="K702" s="416"/>
    </row>
    <row r="703">
      <c r="A703" s="416"/>
      <c r="B703" s="293"/>
      <c r="C703" s="417"/>
      <c r="D703" s="291"/>
      <c r="E703" s="293"/>
      <c r="F703" s="417"/>
      <c r="G703" s="293"/>
      <c r="H703" s="293"/>
      <c r="I703" s="293"/>
      <c r="J703" s="293"/>
      <c r="K703" s="416"/>
    </row>
    <row r="704">
      <c r="A704" s="416"/>
      <c r="B704" s="293"/>
      <c r="C704" s="417"/>
      <c r="D704" s="291"/>
      <c r="E704" s="293"/>
      <c r="F704" s="417"/>
      <c r="G704" s="293"/>
      <c r="H704" s="293"/>
      <c r="I704" s="293"/>
      <c r="J704" s="293"/>
      <c r="K704" s="416"/>
    </row>
    <row r="705">
      <c r="A705" s="416"/>
      <c r="B705" s="293"/>
      <c r="C705" s="417"/>
      <c r="D705" s="291"/>
      <c r="E705" s="293"/>
      <c r="F705" s="417"/>
      <c r="G705" s="293"/>
      <c r="H705" s="293"/>
      <c r="I705" s="293"/>
      <c r="J705" s="293"/>
      <c r="K705" s="416"/>
    </row>
    <row r="706">
      <c r="A706" s="416"/>
      <c r="B706" s="293"/>
      <c r="C706" s="417"/>
      <c r="D706" s="291"/>
      <c r="E706" s="293"/>
      <c r="F706" s="417"/>
      <c r="G706" s="293"/>
      <c r="H706" s="293"/>
      <c r="I706" s="293"/>
      <c r="J706" s="293"/>
      <c r="K706" s="416"/>
    </row>
    <row r="707">
      <c r="A707" s="416"/>
      <c r="B707" s="293"/>
      <c r="C707" s="417"/>
      <c r="D707" s="291"/>
      <c r="E707" s="293"/>
      <c r="F707" s="417"/>
      <c r="G707" s="293"/>
      <c r="H707" s="293"/>
      <c r="I707" s="293"/>
      <c r="J707" s="293"/>
      <c r="K707" s="416"/>
    </row>
    <row r="708">
      <c r="A708" s="416"/>
      <c r="B708" s="293"/>
      <c r="C708" s="417"/>
      <c r="D708" s="291"/>
      <c r="E708" s="293"/>
      <c r="F708" s="417"/>
      <c r="G708" s="293"/>
      <c r="H708" s="293"/>
      <c r="I708" s="293"/>
      <c r="J708" s="293"/>
      <c r="K708" s="416"/>
    </row>
    <row r="709">
      <c r="A709" s="416"/>
      <c r="B709" s="293"/>
      <c r="C709" s="417"/>
      <c r="D709" s="291"/>
      <c r="E709" s="293"/>
      <c r="F709" s="417"/>
      <c r="G709" s="293"/>
      <c r="H709" s="293"/>
      <c r="I709" s="293"/>
      <c r="J709" s="293"/>
      <c r="K709" s="416"/>
    </row>
    <row r="710">
      <c r="A710" s="416"/>
      <c r="B710" s="293"/>
      <c r="C710" s="417"/>
      <c r="D710" s="291"/>
      <c r="E710" s="293"/>
      <c r="F710" s="417"/>
      <c r="G710" s="293"/>
      <c r="H710" s="293"/>
      <c r="I710" s="293"/>
      <c r="J710" s="293"/>
      <c r="K710" s="416"/>
    </row>
    <row r="711">
      <c r="A711" s="416"/>
      <c r="B711" s="293"/>
      <c r="C711" s="417"/>
      <c r="D711" s="291"/>
      <c r="E711" s="293"/>
      <c r="F711" s="417"/>
      <c r="G711" s="293"/>
      <c r="H711" s="293"/>
      <c r="I711" s="293"/>
      <c r="J711" s="293"/>
      <c r="K711" s="416"/>
    </row>
    <row r="712">
      <c r="A712" s="416"/>
      <c r="B712" s="293"/>
      <c r="C712" s="417"/>
      <c r="D712" s="291"/>
      <c r="E712" s="293"/>
      <c r="F712" s="417"/>
      <c r="G712" s="293"/>
      <c r="H712" s="293"/>
      <c r="I712" s="293"/>
      <c r="J712" s="293"/>
      <c r="K712" s="416"/>
    </row>
    <row r="713">
      <c r="A713" s="416"/>
      <c r="B713" s="293"/>
      <c r="C713" s="417"/>
      <c r="D713" s="291"/>
      <c r="E713" s="293"/>
      <c r="F713" s="417"/>
      <c r="G713" s="293"/>
      <c r="H713" s="293"/>
      <c r="I713" s="293"/>
      <c r="J713" s="293"/>
      <c r="K713" s="416"/>
    </row>
    <row r="714">
      <c r="A714" s="416"/>
      <c r="B714" s="293"/>
      <c r="C714" s="417"/>
      <c r="D714" s="291"/>
      <c r="E714" s="293"/>
      <c r="F714" s="417"/>
      <c r="G714" s="293"/>
      <c r="H714" s="293"/>
      <c r="I714" s="293"/>
      <c r="J714" s="293"/>
      <c r="K714" s="416"/>
    </row>
    <row r="715">
      <c r="A715" s="416"/>
      <c r="B715" s="293"/>
      <c r="C715" s="417"/>
      <c r="D715" s="291"/>
      <c r="E715" s="293"/>
      <c r="F715" s="417"/>
      <c r="G715" s="293"/>
      <c r="H715" s="293"/>
      <c r="I715" s="293"/>
      <c r="J715" s="293"/>
      <c r="K715" s="416"/>
    </row>
    <row r="716">
      <c r="A716" s="416"/>
      <c r="B716" s="293"/>
      <c r="C716" s="417"/>
      <c r="D716" s="291"/>
      <c r="E716" s="293"/>
      <c r="F716" s="417"/>
      <c r="G716" s="293"/>
      <c r="H716" s="293"/>
      <c r="I716" s="293"/>
      <c r="J716" s="293"/>
      <c r="K716" s="416"/>
    </row>
    <row r="717">
      <c r="A717" s="416"/>
      <c r="B717" s="293"/>
      <c r="C717" s="417"/>
      <c r="D717" s="291"/>
      <c r="E717" s="293"/>
      <c r="F717" s="417"/>
      <c r="G717" s="293"/>
      <c r="H717" s="293"/>
      <c r="I717" s="293"/>
      <c r="J717" s="293"/>
      <c r="K717" s="416"/>
    </row>
    <row r="718">
      <c r="A718" s="416"/>
      <c r="B718" s="293"/>
      <c r="C718" s="417"/>
      <c r="D718" s="291"/>
      <c r="E718" s="293"/>
      <c r="F718" s="417"/>
      <c r="G718" s="293"/>
      <c r="H718" s="293"/>
      <c r="I718" s="293"/>
      <c r="J718" s="293"/>
      <c r="K718" s="416"/>
    </row>
    <row r="719">
      <c r="A719" s="416"/>
      <c r="B719" s="293"/>
      <c r="C719" s="417"/>
      <c r="D719" s="291"/>
      <c r="E719" s="293"/>
      <c r="F719" s="417"/>
      <c r="G719" s="293"/>
      <c r="H719" s="293"/>
      <c r="I719" s="293"/>
      <c r="J719" s="293"/>
      <c r="K719" s="416"/>
    </row>
    <row r="720">
      <c r="A720" s="416"/>
      <c r="B720" s="293"/>
      <c r="C720" s="417"/>
      <c r="D720" s="291"/>
      <c r="E720" s="293"/>
      <c r="F720" s="417"/>
      <c r="G720" s="293"/>
      <c r="H720" s="293"/>
      <c r="I720" s="293"/>
      <c r="J720" s="293"/>
      <c r="K720" s="416"/>
    </row>
    <row r="721">
      <c r="A721" s="416"/>
      <c r="B721" s="293"/>
      <c r="C721" s="417"/>
      <c r="D721" s="291"/>
      <c r="E721" s="293"/>
      <c r="F721" s="417"/>
      <c r="G721" s="293"/>
      <c r="H721" s="293"/>
      <c r="I721" s="293"/>
      <c r="J721" s="293"/>
      <c r="K721" s="416"/>
    </row>
    <row r="722">
      <c r="A722" s="416"/>
      <c r="B722" s="293"/>
      <c r="C722" s="417"/>
      <c r="D722" s="291"/>
      <c r="E722" s="293"/>
      <c r="F722" s="417"/>
      <c r="G722" s="293"/>
      <c r="H722" s="293"/>
      <c r="I722" s="293"/>
      <c r="J722" s="293"/>
      <c r="K722" s="416"/>
    </row>
    <row r="723">
      <c r="A723" s="416"/>
      <c r="B723" s="293"/>
      <c r="C723" s="417"/>
      <c r="D723" s="291"/>
      <c r="E723" s="293"/>
      <c r="F723" s="417"/>
      <c r="G723" s="293"/>
      <c r="H723" s="293"/>
      <c r="I723" s="293"/>
      <c r="J723" s="293"/>
      <c r="K723" s="416"/>
    </row>
    <row r="724">
      <c r="A724" s="416"/>
      <c r="B724" s="293"/>
      <c r="C724" s="417"/>
      <c r="D724" s="291"/>
      <c r="E724" s="293"/>
      <c r="F724" s="417"/>
      <c r="G724" s="293"/>
      <c r="H724" s="293"/>
      <c r="I724" s="293"/>
      <c r="J724" s="293"/>
      <c r="K724" s="416"/>
    </row>
    <row r="725">
      <c r="A725" s="416"/>
      <c r="B725" s="293"/>
      <c r="C725" s="417"/>
      <c r="D725" s="291"/>
      <c r="E725" s="293"/>
      <c r="F725" s="417"/>
      <c r="G725" s="293"/>
      <c r="H725" s="293"/>
      <c r="I725" s="293"/>
      <c r="J725" s="293"/>
      <c r="K725" s="416"/>
    </row>
    <row r="726">
      <c r="A726" s="416"/>
      <c r="B726" s="293"/>
      <c r="C726" s="417"/>
      <c r="D726" s="291"/>
      <c r="E726" s="293"/>
      <c r="F726" s="417"/>
      <c r="G726" s="293"/>
      <c r="H726" s="293"/>
      <c r="I726" s="293"/>
      <c r="J726" s="293"/>
      <c r="K726" s="416"/>
    </row>
    <row r="727">
      <c r="A727" s="416"/>
      <c r="B727" s="293"/>
      <c r="C727" s="417"/>
      <c r="D727" s="291"/>
      <c r="E727" s="293"/>
      <c r="F727" s="417"/>
      <c r="G727" s="293"/>
      <c r="H727" s="293"/>
      <c r="I727" s="293"/>
      <c r="J727" s="293"/>
      <c r="K727" s="416"/>
    </row>
    <row r="728">
      <c r="A728" s="416"/>
      <c r="B728" s="293"/>
      <c r="C728" s="417"/>
      <c r="D728" s="291"/>
      <c r="E728" s="293"/>
      <c r="F728" s="417"/>
      <c r="G728" s="293"/>
      <c r="H728" s="293"/>
      <c r="I728" s="293"/>
      <c r="J728" s="293"/>
      <c r="K728" s="416"/>
    </row>
    <row r="729">
      <c r="A729" s="416"/>
      <c r="B729" s="293"/>
      <c r="C729" s="417"/>
      <c r="D729" s="291"/>
      <c r="E729" s="293"/>
      <c r="F729" s="417"/>
      <c r="G729" s="293"/>
      <c r="H729" s="293"/>
      <c r="I729" s="293"/>
      <c r="J729" s="293"/>
      <c r="K729" s="416"/>
    </row>
    <row r="730">
      <c r="A730" s="416"/>
      <c r="B730" s="293"/>
      <c r="C730" s="417"/>
      <c r="D730" s="291"/>
      <c r="E730" s="293"/>
      <c r="F730" s="417"/>
      <c r="G730" s="293"/>
      <c r="H730" s="293"/>
      <c r="I730" s="293"/>
      <c r="J730" s="293"/>
      <c r="K730" s="416"/>
    </row>
    <row r="731">
      <c r="A731" s="416"/>
      <c r="B731" s="293"/>
      <c r="C731" s="417"/>
      <c r="D731" s="291"/>
      <c r="E731" s="293"/>
      <c r="F731" s="417"/>
      <c r="G731" s="293"/>
      <c r="H731" s="293"/>
      <c r="I731" s="293"/>
      <c r="J731" s="293"/>
      <c r="K731" s="416"/>
    </row>
    <row r="732">
      <c r="A732" s="416"/>
      <c r="B732" s="293"/>
      <c r="C732" s="417"/>
      <c r="D732" s="291"/>
      <c r="E732" s="293"/>
      <c r="F732" s="417"/>
      <c r="G732" s="293"/>
      <c r="H732" s="293"/>
      <c r="I732" s="293"/>
      <c r="J732" s="293"/>
      <c r="K732" s="416"/>
    </row>
    <row r="733">
      <c r="A733" s="416"/>
      <c r="B733" s="293"/>
      <c r="C733" s="417"/>
      <c r="D733" s="291"/>
      <c r="E733" s="293"/>
      <c r="F733" s="417"/>
      <c r="G733" s="293"/>
      <c r="H733" s="293"/>
      <c r="I733" s="293"/>
      <c r="J733" s="293"/>
      <c r="K733" s="416"/>
    </row>
    <row r="734">
      <c r="A734" s="416"/>
      <c r="B734" s="293"/>
      <c r="C734" s="417"/>
      <c r="D734" s="291"/>
      <c r="E734" s="293"/>
      <c r="F734" s="417"/>
      <c r="G734" s="293"/>
      <c r="H734" s="293"/>
      <c r="I734" s="293"/>
      <c r="J734" s="293"/>
      <c r="K734" s="416"/>
    </row>
    <row r="735">
      <c r="A735" s="416"/>
      <c r="B735" s="293"/>
      <c r="C735" s="417"/>
      <c r="D735" s="291"/>
      <c r="E735" s="293"/>
      <c r="F735" s="417"/>
      <c r="G735" s="293"/>
      <c r="H735" s="293"/>
      <c r="I735" s="293"/>
      <c r="J735" s="293"/>
      <c r="K735" s="416"/>
    </row>
    <row r="736">
      <c r="A736" s="416"/>
      <c r="B736" s="293"/>
      <c r="C736" s="417"/>
      <c r="D736" s="291"/>
      <c r="E736" s="293"/>
      <c r="F736" s="417"/>
      <c r="G736" s="293"/>
      <c r="H736" s="293"/>
      <c r="I736" s="293"/>
      <c r="J736" s="293"/>
      <c r="K736" s="416"/>
    </row>
    <row r="737">
      <c r="A737" s="416"/>
      <c r="B737" s="293"/>
      <c r="C737" s="417"/>
      <c r="D737" s="291"/>
      <c r="E737" s="293"/>
      <c r="F737" s="417"/>
      <c r="G737" s="293"/>
      <c r="H737" s="293"/>
      <c r="I737" s="293"/>
      <c r="J737" s="293"/>
      <c r="K737" s="416"/>
    </row>
    <row r="738">
      <c r="A738" s="416"/>
      <c r="B738" s="293"/>
      <c r="C738" s="417"/>
      <c r="D738" s="291"/>
      <c r="E738" s="293"/>
      <c r="F738" s="417"/>
      <c r="G738" s="293"/>
      <c r="H738" s="293"/>
      <c r="I738" s="293"/>
      <c r="J738" s="293"/>
      <c r="K738" s="416"/>
    </row>
    <row r="739">
      <c r="A739" s="416"/>
      <c r="B739" s="293"/>
      <c r="C739" s="417"/>
      <c r="D739" s="291"/>
      <c r="E739" s="293"/>
      <c r="F739" s="417"/>
      <c r="G739" s="293"/>
      <c r="H739" s="293"/>
      <c r="I739" s="293"/>
      <c r="J739" s="293"/>
      <c r="K739" s="416"/>
    </row>
    <row r="740">
      <c r="A740" s="416"/>
      <c r="B740" s="293"/>
      <c r="C740" s="417"/>
      <c r="D740" s="291"/>
      <c r="E740" s="293"/>
      <c r="F740" s="417"/>
      <c r="G740" s="293"/>
      <c r="H740" s="293"/>
      <c r="I740" s="293"/>
      <c r="J740" s="293"/>
      <c r="K740" s="416"/>
    </row>
    <row r="741">
      <c r="A741" s="416"/>
      <c r="B741" s="293"/>
      <c r="C741" s="417"/>
      <c r="D741" s="291"/>
      <c r="E741" s="293"/>
      <c r="F741" s="417"/>
      <c r="G741" s="293"/>
      <c r="H741" s="293"/>
      <c r="I741" s="293"/>
      <c r="J741" s="293"/>
      <c r="K741" s="416"/>
    </row>
    <row r="742">
      <c r="A742" s="416"/>
      <c r="B742" s="293"/>
      <c r="C742" s="417"/>
      <c r="D742" s="291"/>
      <c r="E742" s="293"/>
      <c r="F742" s="417"/>
      <c r="G742" s="293"/>
      <c r="H742" s="293"/>
      <c r="I742" s="293"/>
      <c r="J742" s="293"/>
      <c r="K742" s="416"/>
    </row>
    <row r="743">
      <c r="A743" s="416"/>
      <c r="B743" s="293"/>
      <c r="C743" s="417"/>
      <c r="D743" s="291"/>
      <c r="E743" s="293"/>
      <c r="F743" s="417"/>
      <c r="G743" s="293"/>
      <c r="H743" s="293"/>
      <c r="I743" s="293"/>
      <c r="J743" s="293"/>
      <c r="K743" s="416"/>
    </row>
    <row r="744">
      <c r="A744" s="416"/>
      <c r="B744" s="293"/>
      <c r="C744" s="417"/>
      <c r="D744" s="291"/>
      <c r="E744" s="293"/>
      <c r="F744" s="417"/>
      <c r="G744" s="293"/>
      <c r="H744" s="293"/>
      <c r="I744" s="293"/>
      <c r="J744" s="293"/>
      <c r="K744" s="416"/>
    </row>
    <row r="745">
      <c r="A745" s="416"/>
      <c r="B745" s="293"/>
      <c r="C745" s="417"/>
      <c r="D745" s="291"/>
      <c r="E745" s="293"/>
      <c r="F745" s="417"/>
      <c r="G745" s="293"/>
      <c r="H745" s="293"/>
      <c r="I745" s="293"/>
      <c r="J745" s="293"/>
      <c r="K745" s="416"/>
    </row>
    <row r="746">
      <c r="A746" s="416"/>
      <c r="B746" s="293"/>
      <c r="C746" s="417"/>
      <c r="D746" s="291"/>
      <c r="E746" s="293"/>
      <c r="F746" s="417"/>
      <c r="G746" s="293"/>
      <c r="H746" s="293"/>
      <c r="I746" s="293"/>
      <c r="J746" s="293"/>
      <c r="K746" s="416"/>
    </row>
    <row r="747">
      <c r="A747" s="416"/>
      <c r="B747" s="293"/>
      <c r="C747" s="417"/>
      <c r="D747" s="291"/>
      <c r="E747" s="293"/>
      <c r="F747" s="417"/>
      <c r="G747" s="293"/>
      <c r="H747" s="293"/>
      <c r="I747" s="293"/>
      <c r="J747" s="293"/>
      <c r="K747" s="416"/>
    </row>
    <row r="748">
      <c r="A748" s="416"/>
      <c r="B748" s="293"/>
      <c r="C748" s="417"/>
      <c r="D748" s="291"/>
      <c r="E748" s="293"/>
      <c r="F748" s="417"/>
      <c r="G748" s="293"/>
      <c r="H748" s="293"/>
      <c r="I748" s="293"/>
      <c r="J748" s="293"/>
      <c r="K748" s="416"/>
    </row>
    <row r="749">
      <c r="A749" s="416"/>
      <c r="B749" s="293"/>
      <c r="C749" s="417"/>
      <c r="D749" s="291"/>
      <c r="E749" s="293"/>
      <c r="F749" s="417"/>
      <c r="G749" s="293"/>
      <c r="H749" s="293"/>
      <c r="I749" s="293"/>
      <c r="J749" s="293"/>
      <c r="K749" s="416"/>
    </row>
    <row r="750">
      <c r="A750" s="416"/>
      <c r="B750" s="293"/>
      <c r="C750" s="417"/>
      <c r="D750" s="291"/>
      <c r="E750" s="293"/>
      <c r="F750" s="417"/>
      <c r="G750" s="293"/>
      <c r="H750" s="293"/>
      <c r="I750" s="293"/>
      <c r="J750" s="293"/>
      <c r="K750" s="416"/>
    </row>
    <row r="751">
      <c r="A751" s="416"/>
      <c r="B751" s="293"/>
      <c r="C751" s="417"/>
      <c r="D751" s="291"/>
      <c r="E751" s="293"/>
      <c r="F751" s="417"/>
      <c r="G751" s="293"/>
      <c r="H751" s="293"/>
      <c r="I751" s="293"/>
      <c r="J751" s="293"/>
      <c r="K751" s="416"/>
    </row>
    <row r="752">
      <c r="A752" s="416"/>
      <c r="B752" s="293"/>
      <c r="C752" s="417"/>
      <c r="D752" s="291"/>
      <c r="E752" s="293"/>
      <c r="F752" s="417"/>
      <c r="G752" s="293"/>
      <c r="H752" s="293"/>
      <c r="I752" s="293"/>
      <c r="J752" s="293"/>
      <c r="K752" s="416"/>
    </row>
    <row r="753">
      <c r="A753" s="416"/>
      <c r="B753" s="293"/>
      <c r="C753" s="417"/>
      <c r="D753" s="291"/>
      <c r="E753" s="293"/>
      <c r="F753" s="417"/>
      <c r="G753" s="293"/>
      <c r="H753" s="293"/>
      <c r="I753" s="293"/>
      <c r="J753" s="293"/>
      <c r="K753" s="416"/>
    </row>
    <row r="754">
      <c r="A754" s="416"/>
      <c r="B754" s="293"/>
      <c r="C754" s="417"/>
      <c r="D754" s="291"/>
      <c r="E754" s="293"/>
      <c r="F754" s="417"/>
      <c r="G754" s="293"/>
      <c r="H754" s="293"/>
      <c r="I754" s="293"/>
      <c r="J754" s="293"/>
      <c r="K754" s="416"/>
    </row>
    <row r="755">
      <c r="A755" s="416"/>
      <c r="B755" s="293"/>
      <c r="C755" s="417"/>
      <c r="D755" s="291"/>
      <c r="E755" s="293"/>
      <c r="F755" s="417"/>
      <c r="G755" s="293"/>
      <c r="H755" s="293"/>
      <c r="I755" s="293"/>
      <c r="J755" s="293"/>
      <c r="K755" s="416"/>
    </row>
    <row r="756">
      <c r="A756" s="416"/>
      <c r="B756" s="293"/>
      <c r="C756" s="417"/>
      <c r="D756" s="291"/>
      <c r="E756" s="293"/>
      <c r="F756" s="417"/>
      <c r="G756" s="293"/>
      <c r="H756" s="293"/>
      <c r="I756" s="293"/>
      <c r="J756" s="293"/>
      <c r="K756" s="416"/>
    </row>
    <row r="757">
      <c r="A757" s="416"/>
      <c r="B757" s="293"/>
      <c r="C757" s="417"/>
      <c r="D757" s="291"/>
      <c r="E757" s="293"/>
      <c r="F757" s="417"/>
      <c r="G757" s="293"/>
      <c r="H757" s="293"/>
      <c r="I757" s="293"/>
      <c r="J757" s="293"/>
      <c r="K757" s="416"/>
    </row>
    <row r="758">
      <c r="A758" s="416"/>
      <c r="B758" s="293"/>
      <c r="C758" s="417"/>
      <c r="D758" s="291"/>
      <c r="E758" s="293"/>
      <c r="F758" s="417"/>
      <c r="G758" s="293"/>
      <c r="H758" s="293"/>
      <c r="I758" s="293"/>
      <c r="J758" s="293"/>
      <c r="K758" s="416"/>
    </row>
    <row r="759">
      <c r="A759" s="416"/>
      <c r="B759" s="293"/>
      <c r="C759" s="417"/>
      <c r="D759" s="291"/>
      <c r="E759" s="293"/>
      <c r="F759" s="417"/>
      <c r="G759" s="293"/>
      <c r="H759" s="293"/>
      <c r="I759" s="293"/>
      <c r="J759" s="293"/>
      <c r="K759" s="416"/>
    </row>
    <row r="760">
      <c r="A760" s="416"/>
      <c r="B760" s="293"/>
      <c r="C760" s="417"/>
      <c r="D760" s="291"/>
      <c r="E760" s="293"/>
      <c r="F760" s="417"/>
      <c r="G760" s="293"/>
      <c r="H760" s="293"/>
      <c r="I760" s="293"/>
      <c r="J760" s="293"/>
      <c r="K760" s="416"/>
    </row>
    <row r="761">
      <c r="A761" s="416"/>
      <c r="B761" s="293"/>
      <c r="C761" s="417"/>
      <c r="D761" s="291"/>
      <c r="E761" s="293"/>
      <c r="F761" s="417"/>
      <c r="G761" s="293"/>
      <c r="H761" s="293"/>
      <c r="I761" s="293"/>
      <c r="J761" s="293"/>
      <c r="K761" s="416"/>
    </row>
    <row r="762">
      <c r="A762" s="416"/>
      <c r="B762" s="293"/>
      <c r="C762" s="417"/>
      <c r="D762" s="291"/>
      <c r="E762" s="293"/>
      <c r="F762" s="417"/>
      <c r="G762" s="293"/>
      <c r="H762" s="293"/>
      <c r="I762" s="293"/>
      <c r="J762" s="293"/>
      <c r="K762" s="416"/>
    </row>
    <row r="763">
      <c r="A763" s="416"/>
      <c r="B763" s="293"/>
      <c r="C763" s="417"/>
      <c r="D763" s="291"/>
      <c r="E763" s="293"/>
      <c r="F763" s="417"/>
      <c r="G763" s="293"/>
      <c r="H763" s="293"/>
      <c r="I763" s="293"/>
      <c r="J763" s="293"/>
      <c r="K763" s="416"/>
    </row>
    <row r="764">
      <c r="A764" s="416"/>
      <c r="B764" s="293"/>
      <c r="C764" s="417"/>
      <c r="D764" s="291"/>
      <c r="E764" s="293"/>
      <c r="F764" s="417"/>
      <c r="G764" s="293"/>
      <c r="H764" s="293"/>
      <c r="I764" s="293"/>
      <c r="J764" s="293"/>
      <c r="K764" s="416"/>
    </row>
    <row r="765">
      <c r="A765" s="416"/>
      <c r="B765" s="293"/>
      <c r="C765" s="417"/>
      <c r="D765" s="291"/>
      <c r="E765" s="293"/>
      <c r="F765" s="417"/>
      <c r="G765" s="293"/>
      <c r="H765" s="293"/>
      <c r="I765" s="293"/>
      <c r="J765" s="293"/>
      <c r="K765" s="416"/>
    </row>
    <row r="766">
      <c r="A766" s="416"/>
      <c r="B766" s="293"/>
      <c r="C766" s="417"/>
      <c r="D766" s="291"/>
      <c r="E766" s="293"/>
      <c r="F766" s="417"/>
      <c r="G766" s="293"/>
      <c r="H766" s="293"/>
      <c r="I766" s="293"/>
      <c r="J766" s="293"/>
      <c r="K766" s="416"/>
    </row>
    <row r="767">
      <c r="A767" s="416"/>
      <c r="B767" s="293"/>
      <c r="C767" s="417"/>
      <c r="D767" s="291"/>
      <c r="E767" s="293"/>
      <c r="F767" s="417"/>
      <c r="G767" s="293"/>
      <c r="H767" s="293"/>
      <c r="I767" s="293"/>
      <c r="J767" s="293"/>
      <c r="K767" s="416"/>
    </row>
    <row r="768">
      <c r="A768" s="416"/>
      <c r="B768" s="293"/>
      <c r="C768" s="417"/>
      <c r="D768" s="291"/>
      <c r="E768" s="293"/>
      <c r="F768" s="417"/>
      <c r="G768" s="293"/>
      <c r="H768" s="293"/>
      <c r="I768" s="293"/>
      <c r="J768" s="293"/>
      <c r="K768" s="416"/>
    </row>
    <row r="769">
      <c r="A769" s="416"/>
      <c r="B769" s="293"/>
      <c r="C769" s="417"/>
      <c r="D769" s="291"/>
      <c r="E769" s="293"/>
      <c r="F769" s="417"/>
      <c r="G769" s="293"/>
      <c r="H769" s="293"/>
      <c r="I769" s="293"/>
      <c r="J769" s="293"/>
      <c r="K769" s="416"/>
    </row>
    <row r="770">
      <c r="A770" s="416"/>
      <c r="B770" s="293"/>
      <c r="C770" s="417"/>
      <c r="D770" s="291"/>
      <c r="E770" s="293"/>
      <c r="F770" s="417"/>
      <c r="G770" s="293"/>
      <c r="H770" s="293"/>
      <c r="I770" s="293"/>
      <c r="J770" s="293"/>
      <c r="K770" s="416"/>
    </row>
    <row r="771">
      <c r="A771" s="416"/>
      <c r="B771" s="293"/>
      <c r="C771" s="417"/>
      <c r="D771" s="291"/>
      <c r="E771" s="293"/>
      <c r="F771" s="417"/>
      <c r="G771" s="293"/>
      <c r="H771" s="293"/>
      <c r="I771" s="293"/>
      <c r="J771" s="293"/>
      <c r="K771" s="416"/>
    </row>
    <row r="772">
      <c r="A772" s="416"/>
      <c r="B772" s="293"/>
      <c r="C772" s="417"/>
      <c r="D772" s="291"/>
      <c r="E772" s="293"/>
      <c r="F772" s="417"/>
      <c r="G772" s="293"/>
      <c r="H772" s="293"/>
      <c r="I772" s="293"/>
      <c r="J772" s="293"/>
      <c r="K772" s="416"/>
    </row>
    <row r="773">
      <c r="A773" s="416"/>
      <c r="B773" s="293"/>
      <c r="C773" s="417"/>
      <c r="D773" s="291"/>
      <c r="E773" s="293"/>
      <c r="F773" s="417"/>
      <c r="G773" s="293"/>
      <c r="H773" s="293"/>
      <c r="I773" s="293"/>
      <c r="J773" s="293"/>
      <c r="K773" s="416"/>
    </row>
    <row r="774">
      <c r="A774" s="416"/>
      <c r="B774" s="293"/>
      <c r="C774" s="417"/>
      <c r="D774" s="291"/>
      <c r="E774" s="293"/>
      <c r="F774" s="417"/>
      <c r="G774" s="293"/>
      <c r="H774" s="293"/>
      <c r="I774" s="293"/>
      <c r="J774" s="293"/>
      <c r="K774" s="416"/>
    </row>
    <row r="775">
      <c r="A775" s="416"/>
      <c r="B775" s="293"/>
      <c r="C775" s="417"/>
      <c r="D775" s="291"/>
      <c r="E775" s="293"/>
      <c r="F775" s="417"/>
      <c r="G775" s="293"/>
      <c r="H775" s="293"/>
      <c r="I775" s="293"/>
      <c r="J775" s="293"/>
      <c r="K775" s="416"/>
    </row>
    <row r="776">
      <c r="A776" s="416"/>
      <c r="B776" s="293"/>
      <c r="C776" s="417"/>
      <c r="D776" s="291"/>
      <c r="E776" s="293"/>
      <c r="F776" s="417"/>
      <c r="G776" s="293"/>
      <c r="H776" s="293"/>
      <c r="I776" s="293"/>
      <c r="J776" s="293"/>
      <c r="K776" s="416"/>
    </row>
    <row r="777">
      <c r="A777" s="416"/>
      <c r="B777" s="293"/>
      <c r="C777" s="417"/>
      <c r="D777" s="291"/>
      <c r="E777" s="293"/>
      <c r="F777" s="417"/>
      <c r="G777" s="293"/>
      <c r="H777" s="293"/>
      <c r="I777" s="293"/>
      <c r="J777" s="293"/>
      <c r="K777" s="416"/>
    </row>
    <row r="778">
      <c r="A778" s="416"/>
      <c r="B778" s="293"/>
      <c r="C778" s="417"/>
      <c r="D778" s="291"/>
      <c r="E778" s="293"/>
      <c r="F778" s="417"/>
      <c r="G778" s="293"/>
      <c r="H778" s="293"/>
      <c r="I778" s="293"/>
      <c r="J778" s="293"/>
      <c r="K778" s="416"/>
    </row>
    <row r="779">
      <c r="A779" s="416"/>
      <c r="B779" s="293"/>
      <c r="C779" s="417"/>
      <c r="D779" s="291"/>
      <c r="E779" s="293"/>
      <c r="F779" s="417"/>
      <c r="G779" s="293"/>
      <c r="H779" s="293"/>
      <c r="I779" s="293"/>
      <c r="J779" s="293"/>
      <c r="K779" s="416"/>
    </row>
    <row r="780">
      <c r="A780" s="416"/>
      <c r="B780" s="293"/>
      <c r="C780" s="417"/>
      <c r="D780" s="291"/>
      <c r="E780" s="293"/>
      <c r="F780" s="417"/>
      <c r="G780" s="293"/>
      <c r="H780" s="293"/>
      <c r="I780" s="293"/>
      <c r="J780" s="293"/>
      <c r="K780" s="416"/>
    </row>
    <row r="781">
      <c r="A781" s="416"/>
      <c r="B781" s="293"/>
      <c r="C781" s="417"/>
      <c r="D781" s="291"/>
      <c r="E781" s="293"/>
      <c r="F781" s="417"/>
      <c r="G781" s="293"/>
      <c r="H781" s="293"/>
      <c r="I781" s="293"/>
      <c r="J781" s="293"/>
      <c r="K781" s="416"/>
    </row>
    <row r="782">
      <c r="A782" s="416"/>
      <c r="B782" s="293"/>
      <c r="C782" s="417"/>
      <c r="D782" s="291"/>
      <c r="E782" s="293"/>
      <c r="F782" s="417"/>
      <c r="G782" s="293"/>
      <c r="H782" s="293"/>
      <c r="I782" s="293"/>
      <c r="J782" s="293"/>
      <c r="K782" s="416"/>
    </row>
    <row r="783">
      <c r="A783" s="416"/>
      <c r="B783" s="293"/>
      <c r="C783" s="417"/>
      <c r="D783" s="291"/>
      <c r="E783" s="293"/>
      <c r="F783" s="417"/>
      <c r="G783" s="293"/>
      <c r="H783" s="293"/>
      <c r="I783" s="293"/>
      <c r="J783" s="293"/>
      <c r="K783" s="416"/>
    </row>
    <row r="784">
      <c r="A784" s="416"/>
      <c r="B784" s="293"/>
      <c r="C784" s="417"/>
      <c r="D784" s="291"/>
      <c r="E784" s="293"/>
      <c r="F784" s="417"/>
      <c r="G784" s="293"/>
      <c r="H784" s="293"/>
      <c r="I784" s="293"/>
      <c r="J784" s="293"/>
      <c r="K784" s="416"/>
    </row>
    <row r="785">
      <c r="A785" s="416"/>
      <c r="B785" s="293"/>
      <c r="C785" s="417"/>
      <c r="D785" s="291"/>
      <c r="E785" s="293"/>
      <c r="F785" s="417"/>
      <c r="G785" s="293"/>
      <c r="H785" s="293"/>
      <c r="I785" s="293"/>
      <c r="J785" s="293"/>
      <c r="K785" s="416"/>
    </row>
    <row r="786">
      <c r="A786" s="416"/>
      <c r="B786" s="293"/>
      <c r="C786" s="417"/>
      <c r="D786" s="291"/>
      <c r="E786" s="293"/>
      <c r="F786" s="417"/>
      <c r="G786" s="293"/>
      <c r="H786" s="293"/>
      <c r="I786" s="293"/>
      <c r="J786" s="293"/>
      <c r="K786" s="416"/>
    </row>
    <row r="787">
      <c r="A787" s="416"/>
      <c r="B787" s="293"/>
      <c r="C787" s="417"/>
      <c r="D787" s="291"/>
      <c r="E787" s="293"/>
      <c r="F787" s="417"/>
      <c r="G787" s="293"/>
      <c r="H787" s="293"/>
      <c r="I787" s="293"/>
      <c r="J787" s="293"/>
      <c r="K787" s="416"/>
    </row>
    <row r="788">
      <c r="A788" s="416"/>
      <c r="B788" s="293"/>
      <c r="C788" s="417"/>
      <c r="D788" s="291"/>
      <c r="E788" s="293"/>
      <c r="F788" s="417"/>
      <c r="G788" s="293"/>
      <c r="H788" s="293"/>
      <c r="I788" s="293"/>
      <c r="J788" s="293"/>
      <c r="K788" s="416"/>
    </row>
    <row r="789">
      <c r="A789" s="416"/>
      <c r="B789" s="293"/>
      <c r="C789" s="417"/>
      <c r="D789" s="291"/>
      <c r="E789" s="293"/>
      <c r="F789" s="417"/>
      <c r="G789" s="293"/>
      <c r="H789" s="293"/>
      <c r="I789" s="293"/>
      <c r="J789" s="293"/>
      <c r="K789" s="416"/>
    </row>
    <row r="790">
      <c r="A790" s="416"/>
      <c r="B790" s="293"/>
      <c r="C790" s="417"/>
      <c r="D790" s="291"/>
      <c r="E790" s="293"/>
      <c r="F790" s="417"/>
      <c r="G790" s="293"/>
      <c r="H790" s="293"/>
      <c r="I790" s="293"/>
      <c r="J790" s="293"/>
      <c r="K790" s="416"/>
    </row>
    <row r="791">
      <c r="A791" s="416"/>
      <c r="B791" s="293"/>
      <c r="C791" s="417"/>
      <c r="D791" s="291"/>
      <c r="E791" s="293"/>
      <c r="F791" s="417"/>
      <c r="G791" s="293"/>
      <c r="H791" s="293"/>
      <c r="I791" s="293"/>
      <c r="J791" s="293"/>
      <c r="K791" s="416"/>
    </row>
    <row r="792">
      <c r="A792" s="416"/>
      <c r="B792" s="293"/>
      <c r="C792" s="417"/>
      <c r="D792" s="291"/>
      <c r="E792" s="293"/>
      <c r="F792" s="417"/>
      <c r="G792" s="293"/>
      <c r="H792" s="293"/>
      <c r="I792" s="293"/>
      <c r="J792" s="293"/>
      <c r="K792" s="416"/>
    </row>
    <row r="793">
      <c r="A793" s="416"/>
      <c r="B793" s="293"/>
      <c r="C793" s="417"/>
      <c r="D793" s="291"/>
      <c r="E793" s="293"/>
      <c r="F793" s="417"/>
      <c r="G793" s="293"/>
      <c r="H793" s="293"/>
      <c r="I793" s="293"/>
      <c r="J793" s="293"/>
      <c r="K793" s="416"/>
    </row>
    <row r="794">
      <c r="A794" s="416"/>
      <c r="B794" s="293"/>
      <c r="C794" s="417"/>
      <c r="D794" s="291"/>
      <c r="E794" s="293"/>
      <c r="F794" s="417"/>
      <c r="G794" s="293"/>
      <c r="H794" s="293"/>
      <c r="I794" s="293"/>
      <c r="J794" s="293"/>
      <c r="K794" s="416"/>
    </row>
    <row r="795">
      <c r="A795" s="416"/>
      <c r="B795" s="293"/>
      <c r="C795" s="417"/>
      <c r="D795" s="291"/>
      <c r="E795" s="293"/>
      <c r="F795" s="417"/>
      <c r="G795" s="293"/>
      <c r="H795" s="293"/>
      <c r="I795" s="293"/>
      <c r="J795" s="293"/>
      <c r="K795" s="416"/>
    </row>
    <row r="796">
      <c r="A796" s="416"/>
      <c r="B796" s="293"/>
      <c r="C796" s="417"/>
      <c r="D796" s="291"/>
      <c r="E796" s="293"/>
      <c r="F796" s="417"/>
      <c r="G796" s="293"/>
      <c r="H796" s="293"/>
      <c r="I796" s="293"/>
      <c r="J796" s="293"/>
      <c r="K796" s="416"/>
    </row>
    <row r="797">
      <c r="A797" s="416"/>
      <c r="B797" s="293"/>
      <c r="C797" s="417"/>
      <c r="D797" s="291"/>
      <c r="E797" s="293"/>
      <c r="F797" s="417"/>
      <c r="G797" s="293"/>
      <c r="H797" s="293"/>
      <c r="I797" s="293"/>
      <c r="J797" s="293"/>
      <c r="K797" s="416"/>
    </row>
    <row r="798">
      <c r="A798" s="416"/>
      <c r="B798" s="293"/>
      <c r="C798" s="417"/>
      <c r="D798" s="291"/>
      <c r="E798" s="293"/>
      <c r="F798" s="417"/>
      <c r="G798" s="293"/>
      <c r="H798" s="293"/>
      <c r="I798" s="293"/>
      <c r="J798" s="293"/>
      <c r="K798" s="416"/>
    </row>
    <row r="799">
      <c r="A799" s="416"/>
      <c r="B799" s="293"/>
      <c r="C799" s="417"/>
      <c r="D799" s="291"/>
      <c r="E799" s="293"/>
      <c r="F799" s="417"/>
      <c r="G799" s="293"/>
      <c r="H799" s="293"/>
      <c r="I799" s="293"/>
      <c r="J799" s="293"/>
      <c r="K799" s="416"/>
    </row>
    <row r="800">
      <c r="A800" s="416"/>
      <c r="B800" s="293"/>
      <c r="C800" s="417"/>
      <c r="D800" s="291"/>
      <c r="E800" s="293"/>
      <c r="F800" s="417"/>
      <c r="G800" s="293"/>
      <c r="H800" s="293"/>
      <c r="I800" s="293"/>
      <c r="J800" s="293"/>
      <c r="K800" s="416"/>
    </row>
    <row r="801">
      <c r="A801" s="416"/>
      <c r="B801" s="293"/>
      <c r="C801" s="417"/>
      <c r="D801" s="291"/>
      <c r="E801" s="293"/>
      <c r="F801" s="417"/>
      <c r="G801" s="293"/>
      <c r="H801" s="293"/>
      <c r="I801" s="293"/>
      <c r="J801" s="293"/>
      <c r="K801" s="416"/>
    </row>
    <row r="802">
      <c r="A802" s="416"/>
      <c r="B802" s="293"/>
      <c r="C802" s="417"/>
      <c r="D802" s="291"/>
      <c r="E802" s="293"/>
      <c r="F802" s="417"/>
      <c r="G802" s="293"/>
      <c r="H802" s="293"/>
      <c r="I802" s="293"/>
      <c r="J802" s="293"/>
      <c r="K802" s="416"/>
    </row>
    <row r="803">
      <c r="A803" s="416"/>
      <c r="B803" s="293"/>
      <c r="C803" s="417"/>
      <c r="D803" s="291"/>
      <c r="E803" s="293"/>
      <c r="F803" s="417"/>
      <c r="G803" s="293"/>
      <c r="H803" s="293"/>
      <c r="I803" s="293"/>
      <c r="J803" s="293"/>
      <c r="K803" s="416"/>
    </row>
    <row r="804">
      <c r="A804" s="416"/>
      <c r="B804" s="293"/>
      <c r="C804" s="417"/>
      <c r="D804" s="291"/>
      <c r="E804" s="293"/>
      <c r="F804" s="417"/>
      <c r="G804" s="293"/>
      <c r="H804" s="293"/>
      <c r="I804" s="293"/>
      <c r="J804" s="293"/>
      <c r="K804" s="416"/>
    </row>
    <row r="805">
      <c r="A805" s="416"/>
      <c r="B805" s="293"/>
      <c r="C805" s="417"/>
      <c r="D805" s="291"/>
      <c r="E805" s="293"/>
      <c r="F805" s="417"/>
      <c r="G805" s="293"/>
      <c r="H805" s="293"/>
      <c r="I805" s="293"/>
      <c r="J805" s="293"/>
      <c r="K805" s="416"/>
    </row>
    <row r="806">
      <c r="A806" s="416"/>
      <c r="B806" s="293"/>
      <c r="C806" s="417"/>
      <c r="D806" s="291"/>
      <c r="E806" s="293"/>
      <c r="F806" s="417"/>
      <c r="G806" s="293"/>
      <c r="H806" s="293"/>
      <c r="I806" s="293"/>
      <c r="J806" s="293"/>
      <c r="K806" s="416"/>
    </row>
    <row r="807">
      <c r="A807" s="416"/>
      <c r="B807" s="293"/>
      <c r="C807" s="417"/>
      <c r="D807" s="291"/>
      <c r="E807" s="293"/>
      <c r="F807" s="417"/>
      <c r="G807" s="293"/>
      <c r="H807" s="293"/>
      <c r="I807" s="293"/>
      <c r="J807" s="293"/>
      <c r="K807" s="416"/>
    </row>
    <row r="808">
      <c r="A808" s="416"/>
      <c r="B808" s="293"/>
      <c r="C808" s="417"/>
      <c r="D808" s="291"/>
      <c r="E808" s="293"/>
      <c r="F808" s="417"/>
      <c r="G808" s="293"/>
      <c r="H808" s="293"/>
      <c r="I808" s="293"/>
      <c r="J808" s="293"/>
      <c r="K808" s="416"/>
    </row>
    <row r="809">
      <c r="A809" s="416"/>
      <c r="B809" s="293"/>
      <c r="C809" s="417"/>
      <c r="D809" s="291"/>
      <c r="E809" s="293"/>
      <c r="F809" s="417"/>
      <c r="G809" s="293"/>
      <c r="H809" s="293"/>
      <c r="I809" s="293"/>
      <c r="J809" s="293"/>
      <c r="K809" s="416"/>
    </row>
    <row r="810">
      <c r="A810" s="416"/>
      <c r="B810" s="293"/>
      <c r="C810" s="417"/>
      <c r="D810" s="291"/>
      <c r="E810" s="293"/>
      <c r="F810" s="417"/>
      <c r="G810" s="293"/>
      <c r="H810" s="293"/>
      <c r="I810" s="293"/>
      <c r="J810" s="293"/>
      <c r="K810" s="416"/>
    </row>
    <row r="811">
      <c r="A811" s="416"/>
      <c r="B811" s="293"/>
      <c r="C811" s="417"/>
      <c r="D811" s="291"/>
      <c r="E811" s="293"/>
      <c r="F811" s="417"/>
      <c r="G811" s="293"/>
      <c r="H811" s="293"/>
      <c r="I811" s="293"/>
      <c r="J811" s="293"/>
      <c r="K811" s="416"/>
    </row>
    <row r="812">
      <c r="A812" s="416"/>
      <c r="B812" s="293"/>
      <c r="C812" s="417"/>
      <c r="D812" s="291"/>
      <c r="E812" s="293"/>
      <c r="F812" s="417"/>
      <c r="G812" s="293"/>
      <c r="H812" s="293"/>
      <c r="I812" s="293"/>
      <c r="J812" s="293"/>
      <c r="K812" s="416"/>
    </row>
    <row r="813">
      <c r="A813" s="416"/>
      <c r="B813" s="293"/>
      <c r="C813" s="417"/>
      <c r="D813" s="291"/>
      <c r="E813" s="293"/>
      <c r="F813" s="417"/>
      <c r="G813" s="293"/>
      <c r="H813" s="293"/>
      <c r="I813" s="293"/>
      <c r="J813" s="293"/>
      <c r="K813" s="416"/>
    </row>
    <row r="814">
      <c r="A814" s="416"/>
      <c r="B814" s="293"/>
      <c r="C814" s="417"/>
      <c r="D814" s="291"/>
      <c r="E814" s="293"/>
      <c r="F814" s="417"/>
      <c r="G814" s="293"/>
      <c r="H814" s="293"/>
      <c r="I814" s="293"/>
      <c r="J814" s="293"/>
      <c r="K814" s="416"/>
    </row>
    <row r="815">
      <c r="A815" s="416"/>
      <c r="B815" s="293"/>
      <c r="C815" s="417"/>
      <c r="D815" s="291"/>
      <c r="E815" s="293"/>
      <c r="F815" s="417"/>
      <c r="G815" s="293"/>
      <c r="H815" s="293"/>
      <c r="I815" s="293"/>
      <c r="J815" s="293"/>
      <c r="K815" s="416"/>
    </row>
    <row r="816">
      <c r="A816" s="416"/>
      <c r="B816" s="293"/>
      <c r="C816" s="417"/>
      <c r="D816" s="291"/>
      <c r="E816" s="293"/>
      <c r="F816" s="417"/>
      <c r="G816" s="293"/>
      <c r="H816" s="293"/>
      <c r="I816" s="293"/>
      <c r="J816" s="293"/>
      <c r="K816" s="416"/>
    </row>
    <row r="817">
      <c r="A817" s="416"/>
      <c r="B817" s="293"/>
      <c r="C817" s="417"/>
      <c r="D817" s="291"/>
      <c r="E817" s="293"/>
      <c r="F817" s="417"/>
      <c r="G817" s="293"/>
      <c r="H817" s="293"/>
      <c r="I817" s="293"/>
      <c r="J817" s="293"/>
      <c r="K817" s="416"/>
    </row>
    <row r="818">
      <c r="A818" s="416"/>
      <c r="B818" s="293"/>
      <c r="C818" s="417"/>
      <c r="D818" s="291"/>
      <c r="E818" s="293"/>
      <c r="F818" s="417"/>
      <c r="G818" s="293"/>
      <c r="H818" s="293"/>
      <c r="I818" s="293"/>
      <c r="J818" s="293"/>
      <c r="K818" s="416"/>
    </row>
    <row r="819">
      <c r="A819" s="416"/>
      <c r="B819" s="293"/>
      <c r="C819" s="417"/>
      <c r="D819" s="291"/>
      <c r="E819" s="293"/>
      <c r="F819" s="417"/>
      <c r="G819" s="293"/>
      <c r="H819" s="293"/>
      <c r="I819" s="293"/>
      <c r="J819" s="293"/>
      <c r="K819" s="416"/>
    </row>
    <row r="820">
      <c r="A820" s="416"/>
      <c r="B820" s="293"/>
      <c r="C820" s="417"/>
      <c r="D820" s="291"/>
      <c r="E820" s="293"/>
      <c r="F820" s="417"/>
      <c r="G820" s="293"/>
      <c r="H820" s="293"/>
      <c r="I820" s="293"/>
      <c r="J820" s="293"/>
      <c r="K820" s="416"/>
    </row>
    <row r="821">
      <c r="A821" s="416"/>
      <c r="B821" s="293"/>
      <c r="C821" s="417"/>
      <c r="D821" s="291"/>
      <c r="E821" s="293"/>
      <c r="F821" s="417"/>
      <c r="G821" s="293"/>
      <c r="H821" s="293"/>
      <c r="I821" s="293"/>
      <c r="J821" s="293"/>
      <c r="K821" s="416"/>
    </row>
    <row r="822">
      <c r="A822" s="416"/>
      <c r="B822" s="293"/>
      <c r="C822" s="417"/>
      <c r="D822" s="291"/>
      <c r="E822" s="293"/>
      <c r="F822" s="417"/>
      <c r="G822" s="293"/>
      <c r="H822" s="293"/>
      <c r="I822" s="293"/>
      <c r="J822" s="293"/>
      <c r="K822" s="416"/>
    </row>
    <row r="823">
      <c r="A823" s="416"/>
      <c r="B823" s="293"/>
      <c r="C823" s="417"/>
      <c r="D823" s="291"/>
      <c r="E823" s="293"/>
      <c r="F823" s="417"/>
      <c r="G823" s="293"/>
      <c r="H823" s="293"/>
      <c r="I823" s="293"/>
      <c r="J823" s="293"/>
      <c r="K823" s="416"/>
    </row>
    <row r="824">
      <c r="A824" s="416"/>
      <c r="B824" s="293"/>
      <c r="C824" s="417"/>
      <c r="D824" s="291"/>
      <c r="E824" s="293"/>
      <c r="F824" s="417"/>
      <c r="G824" s="293"/>
      <c r="H824" s="293"/>
      <c r="I824" s="293"/>
      <c r="J824" s="293"/>
      <c r="K824" s="416"/>
    </row>
    <row r="825">
      <c r="A825" s="416"/>
      <c r="B825" s="293"/>
      <c r="C825" s="417"/>
      <c r="D825" s="291"/>
      <c r="E825" s="293"/>
      <c r="F825" s="417"/>
      <c r="G825" s="293"/>
      <c r="H825" s="293"/>
      <c r="I825" s="293"/>
      <c r="J825" s="293"/>
      <c r="K825" s="416"/>
    </row>
    <row r="826">
      <c r="A826" s="416"/>
      <c r="B826" s="293"/>
      <c r="C826" s="417"/>
      <c r="D826" s="291"/>
      <c r="E826" s="293"/>
      <c r="F826" s="417"/>
      <c r="G826" s="293"/>
      <c r="H826" s="293"/>
      <c r="I826" s="293"/>
      <c r="J826" s="293"/>
      <c r="K826" s="416"/>
    </row>
    <row r="827">
      <c r="A827" s="416"/>
      <c r="B827" s="293"/>
      <c r="C827" s="417"/>
      <c r="D827" s="291"/>
      <c r="E827" s="293"/>
      <c r="F827" s="417"/>
      <c r="G827" s="293"/>
      <c r="H827" s="293"/>
      <c r="I827" s="293"/>
      <c r="J827" s="293"/>
      <c r="K827" s="416"/>
    </row>
    <row r="828">
      <c r="A828" s="416"/>
      <c r="B828" s="293"/>
      <c r="C828" s="417"/>
      <c r="D828" s="291"/>
      <c r="E828" s="293"/>
      <c r="F828" s="417"/>
      <c r="G828" s="293"/>
      <c r="H828" s="293"/>
      <c r="I828" s="293"/>
      <c r="J828" s="293"/>
      <c r="K828" s="416"/>
    </row>
    <row r="829">
      <c r="A829" s="416"/>
      <c r="B829" s="293"/>
      <c r="C829" s="417"/>
      <c r="D829" s="291"/>
      <c r="E829" s="293"/>
      <c r="F829" s="417"/>
      <c r="G829" s="293"/>
      <c r="H829" s="293"/>
      <c r="I829" s="293"/>
      <c r="J829" s="293"/>
      <c r="K829" s="416"/>
    </row>
    <row r="830">
      <c r="A830" s="416"/>
      <c r="B830" s="293"/>
      <c r="C830" s="417"/>
      <c r="D830" s="291"/>
      <c r="E830" s="293"/>
      <c r="F830" s="417"/>
      <c r="G830" s="293"/>
      <c r="H830" s="293"/>
      <c r="I830" s="293"/>
      <c r="J830" s="293"/>
      <c r="K830" s="416"/>
    </row>
    <row r="831">
      <c r="A831" s="416"/>
      <c r="B831" s="293"/>
      <c r="C831" s="417"/>
      <c r="D831" s="291"/>
      <c r="E831" s="293"/>
      <c r="F831" s="417"/>
      <c r="G831" s="293"/>
      <c r="H831" s="293"/>
      <c r="I831" s="293"/>
      <c r="J831" s="293"/>
      <c r="K831" s="416"/>
    </row>
    <row r="832">
      <c r="A832" s="416"/>
      <c r="B832" s="293"/>
      <c r="C832" s="417"/>
      <c r="D832" s="291"/>
      <c r="E832" s="293"/>
      <c r="F832" s="417"/>
      <c r="G832" s="293"/>
      <c r="H832" s="293"/>
      <c r="I832" s="293"/>
      <c r="J832" s="293"/>
      <c r="K832" s="416"/>
    </row>
    <row r="833">
      <c r="A833" s="416"/>
      <c r="B833" s="293"/>
      <c r="C833" s="417"/>
      <c r="D833" s="291"/>
      <c r="E833" s="293"/>
      <c r="F833" s="417"/>
      <c r="G833" s="293"/>
      <c r="H833" s="293"/>
      <c r="I833" s="293"/>
      <c r="J833" s="293"/>
      <c r="K833" s="416"/>
    </row>
    <row r="834">
      <c r="A834" s="416"/>
      <c r="B834" s="293"/>
      <c r="C834" s="417"/>
      <c r="D834" s="291"/>
      <c r="E834" s="293"/>
      <c r="F834" s="417"/>
      <c r="G834" s="293"/>
      <c r="H834" s="293"/>
      <c r="I834" s="293"/>
      <c r="J834" s="293"/>
      <c r="K834" s="416"/>
    </row>
    <row r="835">
      <c r="A835" s="416"/>
      <c r="B835" s="293"/>
      <c r="C835" s="417"/>
      <c r="D835" s="291"/>
      <c r="E835" s="293"/>
      <c r="F835" s="417"/>
      <c r="G835" s="293"/>
      <c r="H835" s="293"/>
      <c r="I835" s="293"/>
      <c r="J835" s="293"/>
      <c r="K835" s="416"/>
    </row>
    <row r="836">
      <c r="A836" s="416"/>
      <c r="B836" s="293"/>
      <c r="C836" s="417"/>
      <c r="D836" s="291"/>
      <c r="E836" s="293"/>
      <c r="F836" s="417"/>
      <c r="G836" s="293"/>
      <c r="H836" s="293"/>
      <c r="I836" s="293"/>
      <c r="J836" s="293"/>
      <c r="K836" s="416"/>
    </row>
    <row r="837">
      <c r="A837" s="416"/>
      <c r="B837" s="293"/>
      <c r="C837" s="417"/>
      <c r="D837" s="291"/>
      <c r="E837" s="293"/>
      <c r="F837" s="417"/>
      <c r="G837" s="293"/>
      <c r="H837" s="293"/>
      <c r="I837" s="293"/>
      <c r="J837" s="293"/>
      <c r="K837" s="416"/>
    </row>
    <row r="838">
      <c r="A838" s="416"/>
      <c r="B838" s="293"/>
      <c r="C838" s="417"/>
      <c r="D838" s="291"/>
      <c r="E838" s="293"/>
      <c r="F838" s="417"/>
      <c r="G838" s="293"/>
      <c r="H838" s="293"/>
      <c r="I838" s="293"/>
      <c r="J838" s="293"/>
      <c r="K838" s="416"/>
    </row>
    <row r="839">
      <c r="A839" s="416"/>
      <c r="B839" s="293"/>
      <c r="C839" s="417"/>
      <c r="D839" s="291"/>
      <c r="E839" s="293"/>
      <c r="F839" s="417"/>
      <c r="G839" s="293"/>
      <c r="H839" s="293"/>
      <c r="I839" s="293"/>
      <c r="J839" s="293"/>
      <c r="K839" s="416"/>
    </row>
    <row r="840">
      <c r="A840" s="416"/>
      <c r="B840" s="293"/>
      <c r="C840" s="417"/>
      <c r="D840" s="291"/>
      <c r="E840" s="293"/>
      <c r="F840" s="417"/>
      <c r="G840" s="293"/>
      <c r="H840" s="293"/>
      <c r="I840" s="293"/>
      <c r="J840" s="293"/>
      <c r="K840" s="416"/>
    </row>
    <row r="841">
      <c r="A841" s="416"/>
      <c r="B841" s="293"/>
      <c r="C841" s="417"/>
      <c r="D841" s="291"/>
      <c r="E841" s="293"/>
      <c r="F841" s="417"/>
      <c r="G841" s="293"/>
      <c r="H841" s="293"/>
      <c r="I841" s="293"/>
      <c r="J841" s="293"/>
      <c r="K841" s="416"/>
    </row>
    <row r="842">
      <c r="A842" s="416"/>
      <c r="B842" s="293"/>
      <c r="C842" s="417"/>
      <c r="D842" s="291"/>
      <c r="E842" s="293"/>
      <c r="F842" s="417"/>
      <c r="G842" s="293"/>
      <c r="H842" s="293"/>
      <c r="I842" s="293"/>
      <c r="J842" s="293"/>
      <c r="K842" s="416"/>
    </row>
    <row r="843">
      <c r="A843" s="416"/>
      <c r="B843" s="293"/>
      <c r="C843" s="417"/>
      <c r="D843" s="291"/>
      <c r="E843" s="293"/>
      <c r="F843" s="417"/>
      <c r="G843" s="293"/>
      <c r="H843" s="293"/>
      <c r="I843" s="293"/>
      <c r="J843" s="293"/>
      <c r="K843" s="416"/>
    </row>
    <row r="844">
      <c r="A844" s="416"/>
      <c r="B844" s="293"/>
      <c r="C844" s="417"/>
      <c r="D844" s="291"/>
      <c r="E844" s="293"/>
      <c r="F844" s="417"/>
      <c r="G844" s="293"/>
      <c r="H844" s="293"/>
      <c r="I844" s="293"/>
      <c r="J844" s="293"/>
      <c r="K844" s="416"/>
    </row>
    <row r="845">
      <c r="A845" s="416"/>
      <c r="B845" s="293"/>
      <c r="C845" s="417"/>
      <c r="D845" s="291"/>
      <c r="E845" s="293"/>
      <c r="F845" s="417"/>
      <c r="G845" s="293"/>
      <c r="H845" s="293"/>
      <c r="I845" s="293"/>
      <c r="J845" s="293"/>
      <c r="K845" s="416"/>
    </row>
    <row r="846">
      <c r="A846" s="416"/>
      <c r="B846" s="293"/>
      <c r="C846" s="417"/>
      <c r="D846" s="291"/>
      <c r="E846" s="293"/>
      <c r="F846" s="417"/>
      <c r="G846" s="293"/>
      <c r="H846" s="293"/>
      <c r="I846" s="293"/>
      <c r="J846" s="293"/>
      <c r="K846" s="416"/>
    </row>
    <row r="847">
      <c r="A847" s="416"/>
      <c r="B847" s="293"/>
      <c r="C847" s="417"/>
      <c r="D847" s="291"/>
      <c r="E847" s="293"/>
      <c r="F847" s="417"/>
      <c r="G847" s="293"/>
      <c r="H847" s="293"/>
      <c r="I847" s="293"/>
      <c r="J847" s="293"/>
      <c r="K847" s="416"/>
    </row>
    <row r="848">
      <c r="A848" s="416"/>
      <c r="B848" s="293"/>
      <c r="C848" s="417"/>
      <c r="D848" s="291"/>
      <c r="E848" s="293"/>
      <c r="F848" s="417"/>
      <c r="G848" s="293"/>
      <c r="H848" s="293"/>
      <c r="I848" s="293"/>
      <c r="J848" s="293"/>
      <c r="K848" s="416"/>
    </row>
    <row r="849">
      <c r="A849" s="416"/>
      <c r="B849" s="293"/>
      <c r="C849" s="417"/>
      <c r="D849" s="291"/>
      <c r="E849" s="293"/>
      <c r="F849" s="417"/>
      <c r="G849" s="293"/>
      <c r="H849" s="293"/>
      <c r="I849" s="293"/>
      <c r="J849" s="293"/>
      <c r="K849" s="416"/>
    </row>
    <row r="850">
      <c r="A850" s="416"/>
      <c r="B850" s="293"/>
      <c r="C850" s="417"/>
      <c r="D850" s="291"/>
      <c r="E850" s="293"/>
      <c r="F850" s="417"/>
      <c r="G850" s="293"/>
      <c r="H850" s="293"/>
      <c r="I850" s="293"/>
      <c r="J850" s="293"/>
      <c r="K850" s="416"/>
    </row>
    <row r="851">
      <c r="A851" s="416"/>
      <c r="B851" s="293"/>
      <c r="C851" s="417"/>
      <c r="D851" s="291"/>
      <c r="E851" s="293"/>
      <c r="F851" s="417"/>
      <c r="G851" s="293"/>
      <c r="H851" s="293"/>
      <c r="I851" s="293"/>
      <c r="J851" s="293"/>
      <c r="K851" s="416"/>
    </row>
    <row r="852">
      <c r="A852" s="416"/>
      <c r="B852" s="293"/>
      <c r="C852" s="417"/>
      <c r="D852" s="291"/>
      <c r="E852" s="293"/>
      <c r="F852" s="417"/>
      <c r="G852" s="293"/>
      <c r="H852" s="293"/>
      <c r="I852" s="293"/>
      <c r="J852" s="293"/>
      <c r="K852" s="416"/>
    </row>
    <row r="853">
      <c r="A853" s="416"/>
      <c r="B853" s="293"/>
      <c r="C853" s="417"/>
      <c r="D853" s="291"/>
      <c r="E853" s="293"/>
      <c r="F853" s="417"/>
      <c r="G853" s="293"/>
      <c r="H853" s="293"/>
      <c r="I853" s="293"/>
      <c r="J853" s="293"/>
      <c r="K853" s="416"/>
    </row>
    <row r="854">
      <c r="A854" s="416"/>
      <c r="B854" s="293"/>
      <c r="C854" s="417"/>
      <c r="D854" s="291"/>
      <c r="E854" s="293"/>
      <c r="F854" s="417"/>
      <c r="G854" s="293"/>
      <c r="H854" s="293"/>
      <c r="I854" s="293"/>
      <c r="J854" s="293"/>
      <c r="K854" s="416"/>
    </row>
    <row r="855">
      <c r="A855" s="416"/>
      <c r="B855" s="293"/>
      <c r="C855" s="417"/>
      <c r="D855" s="291"/>
      <c r="E855" s="293"/>
      <c r="F855" s="417"/>
      <c r="G855" s="293"/>
      <c r="H855" s="293"/>
      <c r="I855" s="293"/>
      <c r="J855" s="293"/>
      <c r="K855" s="416"/>
    </row>
    <row r="856">
      <c r="A856" s="416"/>
      <c r="B856" s="293"/>
      <c r="C856" s="417"/>
      <c r="D856" s="291"/>
      <c r="E856" s="293"/>
      <c r="F856" s="417"/>
      <c r="G856" s="293"/>
      <c r="H856" s="293"/>
      <c r="I856" s="293"/>
      <c r="J856" s="293"/>
      <c r="K856" s="416"/>
    </row>
    <row r="857">
      <c r="A857" s="416"/>
      <c r="B857" s="293"/>
      <c r="C857" s="417"/>
      <c r="D857" s="291"/>
      <c r="E857" s="293"/>
      <c r="F857" s="417"/>
      <c r="G857" s="293"/>
      <c r="H857" s="293"/>
      <c r="I857" s="293"/>
      <c r="J857" s="293"/>
      <c r="K857" s="416"/>
    </row>
    <row r="858">
      <c r="A858" s="416"/>
      <c r="B858" s="293"/>
      <c r="C858" s="417"/>
      <c r="D858" s="291"/>
      <c r="E858" s="293"/>
      <c r="F858" s="417"/>
      <c r="G858" s="293"/>
      <c r="H858" s="293"/>
      <c r="I858" s="293"/>
      <c r="J858" s="293"/>
      <c r="K858" s="416"/>
    </row>
    <row r="859">
      <c r="A859" s="416"/>
      <c r="B859" s="293"/>
      <c r="C859" s="417"/>
      <c r="D859" s="291"/>
      <c r="E859" s="293"/>
      <c r="F859" s="417"/>
      <c r="G859" s="293"/>
      <c r="H859" s="293"/>
      <c r="I859" s="293"/>
      <c r="J859" s="293"/>
      <c r="K859" s="416"/>
    </row>
    <row r="860">
      <c r="A860" s="416"/>
      <c r="B860" s="293"/>
      <c r="C860" s="417"/>
      <c r="D860" s="291"/>
      <c r="E860" s="293"/>
      <c r="F860" s="417"/>
      <c r="G860" s="293"/>
      <c r="H860" s="293"/>
      <c r="I860" s="293"/>
      <c r="J860" s="293"/>
      <c r="K860" s="416"/>
    </row>
    <row r="861">
      <c r="A861" s="416"/>
      <c r="B861" s="293"/>
      <c r="C861" s="417"/>
      <c r="D861" s="291"/>
      <c r="E861" s="293"/>
      <c r="F861" s="417"/>
      <c r="G861" s="293"/>
      <c r="H861" s="293"/>
      <c r="I861" s="293"/>
      <c r="J861" s="293"/>
      <c r="K861" s="416"/>
    </row>
    <row r="862">
      <c r="A862" s="416"/>
      <c r="B862" s="293"/>
      <c r="C862" s="417"/>
      <c r="D862" s="291"/>
      <c r="E862" s="293"/>
      <c r="F862" s="417"/>
      <c r="G862" s="293"/>
      <c r="H862" s="293"/>
      <c r="I862" s="293"/>
      <c r="J862" s="293"/>
      <c r="K862" s="416"/>
    </row>
    <row r="863">
      <c r="A863" s="416"/>
      <c r="B863" s="293"/>
      <c r="C863" s="417"/>
      <c r="D863" s="291"/>
      <c r="E863" s="293"/>
      <c r="F863" s="417"/>
      <c r="G863" s="293"/>
      <c r="H863" s="293"/>
      <c r="I863" s="293"/>
      <c r="J863" s="293"/>
      <c r="K863" s="416"/>
    </row>
    <row r="864">
      <c r="A864" s="416"/>
      <c r="B864" s="293"/>
      <c r="C864" s="417"/>
      <c r="D864" s="291"/>
      <c r="E864" s="293"/>
      <c r="F864" s="417"/>
      <c r="G864" s="293"/>
      <c r="H864" s="293"/>
      <c r="I864" s="293"/>
      <c r="J864" s="293"/>
      <c r="K864" s="416"/>
    </row>
    <row r="865">
      <c r="A865" s="416"/>
      <c r="B865" s="293"/>
      <c r="C865" s="417"/>
      <c r="D865" s="291"/>
      <c r="E865" s="293"/>
      <c r="F865" s="417"/>
      <c r="G865" s="293"/>
      <c r="H865" s="293"/>
      <c r="I865" s="293"/>
      <c r="J865" s="293"/>
      <c r="K865" s="416"/>
    </row>
    <row r="866">
      <c r="A866" s="416"/>
      <c r="B866" s="293"/>
      <c r="C866" s="417"/>
      <c r="D866" s="291"/>
      <c r="E866" s="293"/>
      <c r="F866" s="417"/>
      <c r="G866" s="293"/>
      <c r="H866" s="293"/>
      <c r="I866" s="293"/>
      <c r="J866" s="293"/>
      <c r="K866" s="416"/>
    </row>
    <row r="867">
      <c r="A867" s="416"/>
      <c r="B867" s="293"/>
      <c r="C867" s="417"/>
      <c r="D867" s="291"/>
      <c r="E867" s="293"/>
      <c r="F867" s="417"/>
      <c r="G867" s="293"/>
      <c r="H867" s="293"/>
      <c r="I867" s="293"/>
      <c r="J867" s="293"/>
      <c r="K867" s="416"/>
    </row>
    <row r="868">
      <c r="A868" s="416"/>
      <c r="B868" s="293"/>
      <c r="C868" s="417"/>
      <c r="D868" s="291"/>
      <c r="E868" s="293"/>
      <c r="F868" s="417"/>
      <c r="G868" s="293"/>
      <c r="H868" s="293"/>
      <c r="I868" s="293"/>
      <c r="J868" s="293"/>
      <c r="K868" s="416"/>
    </row>
    <row r="869">
      <c r="A869" s="416"/>
      <c r="B869" s="293"/>
      <c r="C869" s="417"/>
      <c r="D869" s="291"/>
      <c r="E869" s="293"/>
      <c r="F869" s="417"/>
      <c r="G869" s="293"/>
      <c r="H869" s="293"/>
      <c r="I869" s="293"/>
      <c r="J869" s="293"/>
      <c r="K869" s="416"/>
    </row>
    <row r="870">
      <c r="A870" s="416"/>
      <c r="B870" s="293"/>
      <c r="C870" s="417"/>
      <c r="D870" s="291"/>
      <c r="E870" s="293"/>
      <c r="F870" s="417"/>
      <c r="G870" s="293"/>
      <c r="H870" s="293"/>
      <c r="I870" s="293"/>
      <c r="J870" s="293"/>
      <c r="K870" s="416"/>
    </row>
    <row r="871">
      <c r="A871" s="416"/>
      <c r="B871" s="293"/>
      <c r="C871" s="417"/>
      <c r="D871" s="291"/>
      <c r="E871" s="293"/>
      <c r="F871" s="417"/>
      <c r="G871" s="293"/>
      <c r="H871" s="293"/>
      <c r="I871" s="293"/>
      <c r="J871" s="293"/>
      <c r="K871" s="416"/>
    </row>
    <row r="872">
      <c r="A872" s="416"/>
      <c r="B872" s="293"/>
      <c r="C872" s="417"/>
      <c r="D872" s="291"/>
      <c r="E872" s="293"/>
      <c r="F872" s="417"/>
      <c r="G872" s="293"/>
      <c r="H872" s="293"/>
      <c r="I872" s="293"/>
      <c r="J872" s="293"/>
      <c r="K872" s="416"/>
    </row>
    <row r="873">
      <c r="A873" s="416"/>
      <c r="B873" s="293"/>
      <c r="C873" s="417"/>
      <c r="D873" s="291"/>
      <c r="E873" s="293"/>
      <c r="F873" s="417"/>
      <c r="G873" s="293"/>
      <c r="H873" s="293"/>
      <c r="I873" s="293"/>
      <c r="J873" s="293"/>
      <c r="K873" s="416"/>
    </row>
    <row r="874">
      <c r="A874" s="416"/>
      <c r="B874" s="293"/>
      <c r="C874" s="417"/>
      <c r="D874" s="291"/>
      <c r="E874" s="293"/>
      <c r="F874" s="417"/>
      <c r="G874" s="293"/>
      <c r="H874" s="293"/>
      <c r="I874" s="293"/>
      <c r="J874" s="293"/>
      <c r="K874" s="416"/>
    </row>
    <row r="875">
      <c r="A875" s="416"/>
      <c r="B875" s="293"/>
      <c r="C875" s="417"/>
      <c r="D875" s="291"/>
      <c r="E875" s="293"/>
      <c r="F875" s="417"/>
      <c r="G875" s="293"/>
      <c r="H875" s="293"/>
      <c r="I875" s="293"/>
      <c r="J875" s="293"/>
      <c r="K875" s="416"/>
    </row>
    <row r="876">
      <c r="A876" s="416"/>
      <c r="B876" s="293"/>
      <c r="C876" s="417"/>
      <c r="D876" s="291"/>
      <c r="E876" s="293"/>
      <c r="F876" s="417"/>
      <c r="G876" s="293"/>
      <c r="H876" s="293"/>
      <c r="I876" s="293"/>
      <c r="J876" s="293"/>
      <c r="K876" s="416"/>
    </row>
    <row r="877">
      <c r="A877" s="416"/>
      <c r="B877" s="293"/>
      <c r="C877" s="417"/>
      <c r="D877" s="291"/>
      <c r="E877" s="293"/>
      <c r="F877" s="417"/>
      <c r="G877" s="293"/>
      <c r="H877" s="293"/>
      <c r="I877" s="293"/>
      <c r="J877" s="293"/>
      <c r="K877" s="416"/>
    </row>
    <row r="878">
      <c r="A878" s="416"/>
      <c r="B878" s="293"/>
      <c r="C878" s="417"/>
      <c r="D878" s="291"/>
      <c r="E878" s="293"/>
      <c r="F878" s="417"/>
      <c r="G878" s="293"/>
      <c r="H878" s="293"/>
      <c r="I878" s="293"/>
      <c r="J878" s="293"/>
      <c r="K878" s="416"/>
    </row>
    <row r="879">
      <c r="A879" s="416"/>
      <c r="B879" s="293"/>
      <c r="C879" s="417"/>
      <c r="D879" s="291"/>
      <c r="E879" s="293"/>
      <c r="F879" s="417"/>
      <c r="G879" s="293"/>
      <c r="H879" s="293"/>
      <c r="I879" s="293"/>
      <c r="J879" s="293"/>
      <c r="K879" s="416"/>
    </row>
    <row r="880">
      <c r="A880" s="416"/>
      <c r="B880" s="293"/>
      <c r="C880" s="417"/>
      <c r="D880" s="291"/>
      <c r="E880" s="293"/>
      <c r="F880" s="417"/>
      <c r="G880" s="293"/>
      <c r="H880" s="293"/>
      <c r="I880" s="293"/>
      <c r="J880" s="293"/>
      <c r="K880" s="416"/>
    </row>
    <row r="881">
      <c r="A881" s="416"/>
      <c r="B881" s="293"/>
      <c r="C881" s="417"/>
      <c r="D881" s="291"/>
      <c r="E881" s="293"/>
      <c r="F881" s="417"/>
      <c r="G881" s="293"/>
      <c r="H881" s="293"/>
      <c r="I881" s="293"/>
      <c r="J881" s="293"/>
      <c r="K881" s="416"/>
    </row>
    <row r="882">
      <c r="A882" s="416"/>
      <c r="B882" s="293"/>
      <c r="C882" s="417"/>
      <c r="D882" s="291"/>
      <c r="E882" s="293"/>
      <c r="F882" s="417"/>
      <c r="G882" s="293"/>
      <c r="H882" s="293"/>
      <c r="I882" s="293"/>
      <c r="J882" s="293"/>
      <c r="K882" s="416"/>
    </row>
    <row r="883">
      <c r="A883" s="416"/>
      <c r="B883" s="293"/>
      <c r="C883" s="417"/>
      <c r="D883" s="291"/>
      <c r="E883" s="293"/>
      <c r="F883" s="417"/>
      <c r="G883" s="293"/>
      <c r="H883" s="293"/>
      <c r="I883" s="293"/>
      <c r="J883" s="293"/>
      <c r="K883" s="416"/>
    </row>
    <row r="884">
      <c r="A884" s="416"/>
      <c r="B884" s="293"/>
      <c r="C884" s="417"/>
      <c r="D884" s="291"/>
      <c r="E884" s="293"/>
      <c r="F884" s="417"/>
      <c r="G884" s="293"/>
      <c r="H884" s="293"/>
      <c r="I884" s="293"/>
      <c r="J884" s="293"/>
      <c r="K884" s="416"/>
    </row>
    <row r="885">
      <c r="A885" s="416"/>
      <c r="B885" s="293"/>
      <c r="C885" s="417"/>
      <c r="D885" s="291"/>
      <c r="E885" s="293"/>
      <c r="F885" s="417"/>
      <c r="G885" s="293"/>
      <c r="H885" s="293"/>
      <c r="I885" s="293"/>
      <c r="J885" s="293"/>
      <c r="K885" s="416"/>
    </row>
    <row r="886">
      <c r="A886" s="416"/>
      <c r="B886" s="293"/>
      <c r="C886" s="417"/>
      <c r="D886" s="291"/>
      <c r="E886" s="293"/>
      <c r="F886" s="417"/>
      <c r="G886" s="293"/>
      <c r="H886" s="293"/>
      <c r="I886" s="293"/>
      <c r="J886" s="293"/>
      <c r="K886" s="416"/>
    </row>
    <row r="887">
      <c r="A887" s="416"/>
      <c r="B887" s="293"/>
      <c r="C887" s="417"/>
      <c r="D887" s="291"/>
      <c r="E887" s="293"/>
      <c r="F887" s="417"/>
      <c r="G887" s="293"/>
      <c r="H887" s="293"/>
      <c r="I887" s="293"/>
      <c r="J887" s="293"/>
      <c r="K887" s="416"/>
    </row>
    <row r="888">
      <c r="A888" s="416"/>
      <c r="B888" s="293"/>
      <c r="C888" s="417"/>
      <c r="D888" s="291"/>
      <c r="E888" s="293"/>
      <c r="F888" s="417"/>
      <c r="G888" s="293"/>
      <c r="H888" s="293"/>
      <c r="I888" s="293"/>
      <c r="J888" s="293"/>
      <c r="K888" s="416"/>
    </row>
    <row r="889">
      <c r="A889" s="416"/>
      <c r="B889" s="293"/>
      <c r="C889" s="417"/>
      <c r="D889" s="291"/>
      <c r="E889" s="293"/>
      <c r="F889" s="417"/>
      <c r="G889" s="293"/>
      <c r="H889" s="293"/>
      <c r="I889" s="293"/>
      <c r="J889" s="293"/>
      <c r="K889" s="416"/>
    </row>
    <row r="890">
      <c r="A890" s="416"/>
      <c r="B890" s="293"/>
      <c r="C890" s="417"/>
      <c r="D890" s="291"/>
      <c r="E890" s="293"/>
      <c r="F890" s="417"/>
      <c r="G890" s="293"/>
      <c r="H890" s="293"/>
      <c r="I890" s="293"/>
      <c r="J890" s="293"/>
      <c r="K890" s="416"/>
    </row>
    <row r="891">
      <c r="A891" s="416"/>
      <c r="B891" s="293"/>
      <c r="C891" s="417"/>
      <c r="D891" s="291"/>
      <c r="E891" s="293"/>
      <c r="F891" s="417"/>
      <c r="G891" s="293"/>
      <c r="H891" s="293"/>
      <c r="I891" s="293"/>
      <c r="J891" s="293"/>
      <c r="K891" s="416"/>
    </row>
    <row r="892">
      <c r="A892" s="416"/>
      <c r="B892" s="293"/>
      <c r="C892" s="417"/>
      <c r="D892" s="291"/>
      <c r="E892" s="293"/>
      <c r="F892" s="417"/>
      <c r="G892" s="293"/>
      <c r="H892" s="293"/>
      <c r="I892" s="293"/>
      <c r="J892" s="293"/>
      <c r="K892" s="416"/>
    </row>
    <row r="893">
      <c r="A893" s="416"/>
      <c r="B893" s="293"/>
      <c r="C893" s="417"/>
      <c r="D893" s="291"/>
      <c r="E893" s="293"/>
      <c r="F893" s="417"/>
      <c r="G893" s="293"/>
      <c r="H893" s="293"/>
      <c r="I893" s="293"/>
      <c r="J893" s="293"/>
      <c r="K893" s="416"/>
    </row>
    <row r="894">
      <c r="A894" s="416"/>
      <c r="B894" s="293"/>
      <c r="C894" s="417"/>
      <c r="D894" s="291"/>
      <c r="E894" s="293"/>
      <c r="F894" s="417"/>
      <c r="G894" s="293"/>
      <c r="H894" s="293"/>
      <c r="I894" s="293"/>
      <c r="J894" s="293"/>
      <c r="K894" s="416"/>
    </row>
    <row r="895">
      <c r="A895" s="416"/>
      <c r="B895" s="293"/>
      <c r="C895" s="417"/>
      <c r="D895" s="291"/>
      <c r="E895" s="293"/>
      <c r="F895" s="417"/>
      <c r="G895" s="293"/>
      <c r="H895" s="293"/>
      <c r="I895" s="293"/>
      <c r="J895" s="293"/>
      <c r="K895" s="416"/>
    </row>
    <row r="896">
      <c r="A896" s="416"/>
      <c r="B896" s="293"/>
      <c r="C896" s="417"/>
      <c r="D896" s="291"/>
      <c r="E896" s="293"/>
      <c r="F896" s="417"/>
      <c r="G896" s="293"/>
      <c r="H896" s="293"/>
      <c r="I896" s="293"/>
      <c r="J896" s="293"/>
      <c r="K896" s="416"/>
    </row>
    <row r="897">
      <c r="A897" s="416"/>
      <c r="B897" s="293"/>
      <c r="C897" s="417"/>
      <c r="D897" s="291"/>
      <c r="E897" s="293"/>
      <c r="F897" s="417"/>
      <c r="G897" s="293"/>
      <c r="H897" s="293"/>
      <c r="I897" s="293"/>
      <c r="J897" s="293"/>
      <c r="K897" s="416"/>
    </row>
    <row r="898">
      <c r="A898" s="416"/>
      <c r="B898" s="293"/>
      <c r="C898" s="417"/>
      <c r="D898" s="291"/>
      <c r="E898" s="293"/>
      <c r="F898" s="417"/>
      <c r="G898" s="293"/>
      <c r="H898" s="293"/>
      <c r="I898" s="293"/>
      <c r="J898" s="293"/>
      <c r="K898" s="416"/>
    </row>
    <row r="899">
      <c r="A899" s="416"/>
      <c r="B899" s="293"/>
      <c r="C899" s="417"/>
      <c r="D899" s="291"/>
      <c r="E899" s="293"/>
      <c r="F899" s="417"/>
      <c r="G899" s="293"/>
      <c r="H899" s="293"/>
      <c r="I899" s="293"/>
      <c r="J899" s="293"/>
      <c r="K899" s="416"/>
    </row>
    <row r="900">
      <c r="A900" s="416"/>
      <c r="B900" s="293"/>
      <c r="C900" s="417"/>
      <c r="D900" s="291"/>
      <c r="E900" s="293"/>
      <c r="F900" s="417"/>
      <c r="G900" s="293"/>
      <c r="H900" s="293"/>
      <c r="I900" s="293"/>
      <c r="J900" s="293"/>
      <c r="K900" s="416"/>
    </row>
    <row r="901">
      <c r="A901" s="416"/>
      <c r="B901" s="293"/>
      <c r="C901" s="417"/>
      <c r="D901" s="291"/>
      <c r="E901" s="293"/>
      <c r="F901" s="417"/>
      <c r="G901" s="293"/>
      <c r="H901" s="293"/>
      <c r="I901" s="293"/>
      <c r="J901" s="293"/>
      <c r="K901" s="416"/>
    </row>
    <row r="902">
      <c r="A902" s="416"/>
      <c r="B902" s="293"/>
      <c r="C902" s="417"/>
      <c r="D902" s="291"/>
      <c r="E902" s="293"/>
      <c r="F902" s="417"/>
      <c r="G902" s="293"/>
      <c r="H902" s="293"/>
      <c r="I902" s="293"/>
      <c r="J902" s="293"/>
      <c r="K902" s="416"/>
    </row>
    <row r="903">
      <c r="A903" s="416"/>
      <c r="B903" s="293"/>
      <c r="C903" s="417"/>
      <c r="D903" s="291"/>
      <c r="E903" s="293"/>
      <c r="F903" s="417"/>
      <c r="G903" s="293"/>
      <c r="H903" s="293"/>
      <c r="I903" s="293"/>
      <c r="J903" s="293"/>
      <c r="K903" s="416"/>
    </row>
    <row r="904">
      <c r="A904" s="416"/>
      <c r="B904" s="293"/>
      <c r="C904" s="417"/>
      <c r="D904" s="291"/>
      <c r="E904" s="293"/>
      <c r="F904" s="417"/>
      <c r="G904" s="293"/>
      <c r="H904" s="293"/>
      <c r="I904" s="293"/>
      <c r="J904" s="293"/>
      <c r="K904" s="416"/>
    </row>
    <row r="905">
      <c r="A905" s="416"/>
      <c r="B905" s="293"/>
      <c r="C905" s="417"/>
      <c r="D905" s="291"/>
      <c r="E905" s="293"/>
      <c r="F905" s="417"/>
      <c r="G905" s="293"/>
      <c r="H905" s="293"/>
      <c r="I905" s="293"/>
      <c r="J905" s="293"/>
      <c r="K905" s="416"/>
    </row>
    <row r="906">
      <c r="A906" s="416"/>
      <c r="B906" s="293"/>
      <c r="C906" s="417"/>
      <c r="D906" s="291"/>
      <c r="E906" s="293"/>
      <c r="F906" s="417"/>
      <c r="G906" s="293"/>
      <c r="H906" s="293"/>
      <c r="I906" s="293"/>
      <c r="J906" s="293"/>
      <c r="K906" s="416"/>
    </row>
    <row r="907">
      <c r="A907" s="416"/>
      <c r="B907" s="293"/>
      <c r="C907" s="417"/>
      <c r="D907" s="291"/>
      <c r="E907" s="293"/>
      <c r="F907" s="417"/>
      <c r="G907" s="293"/>
      <c r="H907" s="293"/>
      <c r="I907" s="293"/>
      <c r="J907" s="293"/>
      <c r="K907" s="416"/>
    </row>
    <row r="908">
      <c r="A908" s="416"/>
      <c r="B908" s="293"/>
      <c r="C908" s="417"/>
      <c r="D908" s="291"/>
      <c r="E908" s="293"/>
      <c r="F908" s="417"/>
      <c r="G908" s="293"/>
      <c r="H908" s="293"/>
      <c r="I908" s="293"/>
      <c r="J908" s="293"/>
      <c r="K908" s="416"/>
    </row>
    <row r="909">
      <c r="A909" s="416"/>
      <c r="B909" s="293"/>
      <c r="C909" s="417"/>
      <c r="D909" s="291"/>
      <c r="E909" s="293"/>
      <c r="F909" s="417"/>
      <c r="G909" s="293"/>
      <c r="H909" s="293"/>
      <c r="I909" s="293"/>
      <c r="J909" s="293"/>
      <c r="K909" s="416"/>
    </row>
    <row r="910">
      <c r="A910" s="416"/>
      <c r="B910" s="293"/>
      <c r="C910" s="417"/>
      <c r="D910" s="291"/>
      <c r="E910" s="293"/>
      <c r="F910" s="417"/>
      <c r="G910" s="293"/>
      <c r="H910" s="293"/>
      <c r="I910" s="293"/>
      <c r="J910" s="293"/>
      <c r="K910" s="416"/>
    </row>
    <row r="911">
      <c r="A911" s="416"/>
      <c r="B911" s="293"/>
      <c r="C911" s="417"/>
      <c r="D911" s="291"/>
      <c r="E911" s="293"/>
      <c r="F911" s="417"/>
      <c r="G911" s="293"/>
      <c r="H911" s="293"/>
      <c r="I911" s="293"/>
      <c r="J911" s="293"/>
      <c r="K911" s="416"/>
    </row>
    <row r="912">
      <c r="A912" s="416"/>
      <c r="B912" s="293"/>
      <c r="C912" s="417"/>
      <c r="D912" s="291"/>
      <c r="E912" s="293"/>
      <c r="F912" s="417"/>
      <c r="G912" s="293"/>
      <c r="H912" s="293"/>
      <c r="I912" s="293"/>
      <c r="J912" s="293"/>
      <c r="K912" s="416"/>
    </row>
    <row r="913">
      <c r="A913" s="416"/>
      <c r="B913" s="293"/>
      <c r="C913" s="417"/>
      <c r="D913" s="291"/>
      <c r="E913" s="293"/>
      <c r="F913" s="417"/>
      <c r="G913" s="293"/>
      <c r="H913" s="293"/>
      <c r="I913" s="293"/>
      <c r="J913" s="293"/>
      <c r="K913" s="416"/>
    </row>
    <row r="914">
      <c r="A914" s="416"/>
      <c r="B914" s="293"/>
      <c r="C914" s="417"/>
      <c r="D914" s="291"/>
      <c r="E914" s="293"/>
      <c r="F914" s="417"/>
      <c r="G914" s="293"/>
      <c r="H914" s="293"/>
      <c r="I914" s="293"/>
      <c r="J914" s="293"/>
      <c r="K914" s="416"/>
    </row>
    <row r="915">
      <c r="A915" s="416"/>
      <c r="B915" s="293"/>
      <c r="C915" s="417"/>
      <c r="D915" s="291"/>
      <c r="E915" s="293"/>
      <c r="F915" s="417"/>
      <c r="G915" s="293"/>
      <c r="H915" s="293"/>
      <c r="I915" s="293"/>
      <c r="J915" s="293"/>
      <c r="K915" s="416"/>
    </row>
    <row r="916">
      <c r="A916" s="416"/>
      <c r="B916" s="293"/>
      <c r="C916" s="417"/>
      <c r="D916" s="291"/>
      <c r="E916" s="293"/>
      <c r="F916" s="417"/>
      <c r="G916" s="293"/>
      <c r="H916" s="293"/>
      <c r="I916" s="293"/>
      <c r="J916" s="293"/>
      <c r="K916" s="416"/>
    </row>
    <row r="917">
      <c r="A917" s="416"/>
      <c r="B917" s="293"/>
      <c r="C917" s="417"/>
      <c r="D917" s="291"/>
      <c r="E917" s="293"/>
      <c r="F917" s="417"/>
      <c r="G917" s="293"/>
      <c r="H917" s="293"/>
      <c r="I917" s="293"/>
      <c r="J917" s="293"/>
      <c r="K917" s="416"/>
    </row>
    <row r="918">
      <c r="A918" s="416"/>
      <c r="B918" s="293"/>
      <c r="C918" s="417"/>
      <c r="D918" s="291"/>
      <c r="E918" s="293"/>
      <c r="F918" s="417"/>
      <c r="G918" s="293"/>
      <c r="H918" s="293"/>
      <c r="I918" s="293"/>
      <c r="J918" s="293"/>
      <c r="K918" s="416"/>
    </row>
    <row r="919">
      <c r="A919" s="416"/>
      <c r="B919" s="293"/>
      <c r="C919" s="417"/>
      <c r="D919" s="291"/>
      <c r="E919" s="293"/>
      <c r="F919" s="417"/>
      <c r="G919" s="293"/>
      <c r="H919" s="293"/>
      <c r="I919" s="293"/>
      <c r="J919" s="293"/>
      <c r="K919" s="416"/>
    </row>
    <row r="920">
      <c r="A920" s="416"/>
      <c r="B920" s="293"/>
      <c r="C920" s="417"/>
      <c r="D920" s="291"/>
      <c r="E920" s="293"/>
      <c r="F920" s="417"/>
      <c r="G920" s="293"/>
      <c r="H920" s="293"/>
      <c r="I920" s="293"/>
      <c r="J920" s="293"/>
      <c r="K920" s="416"/>
    </row>
    <row r="921">
      <c r="A921" s="416"/>
      <c r="B921" s="293"/>
      <c r="C921" s="417"/>
      <c r="D921" s="291"/>
      <c r="E921" s="293"/>
      <c r="F921" s="417"/>
      <c r="G921" s="293"/>
      <c r="H921" s="293"/>
      <c r="I921" s="293"/>
      <c r="J921" s="293"/>
      <c r="K921" s="416"/>
    </row>
    <row r="922">
      <c r="A922" s="416"/>
      <c r="B922" s="293"/>
      <c r="C922" s="417"/>
      <c r="D922" s="291"/>
      <c r="E922" s="293"/>
      <c r="F922" s="417"/>
      <c r="G922" s="293"/>
      <c r="H922" s="293"/>
      <c r="I922" s="293"/>
      <c r="J922" s="293"/>
      <c r="K922" s="416"/>
    </row>
    <row r="923">
      <c r="A923" s="416"/>
      <c r="B923" s="293"/>
      <c r="C923" s="417"/>
      <c r="D923" s="291"/>
      <c r="E923" s="293"/>
      <c r="F923" s="417"/>
      <c r="G923" s="293"/>
      <c r="H923" s="293"/>
      <c r="I923" s="293"/>
      <c r="J923" s="293"/>
      <c r="K923" s="416"/>
    </row>
    <row r="924">
      <c r="A924" s="416"/>
      <c r="B924" s="293"/>
      <c r="C924" s="417"/>
      <c r="D924" s="291"/>
      <c r="E924" s="293"/>
      <c r="F924" s="417"/>
      <c r="G924" s="293"/>
      <c r="H924" s="293"/>
      <c r="I924" s="293"/>
      <c r="J924" s="293"/>
      <c r="K924" s="416"/>
    </row>
    <row r="925">
      <c r="A925" s="416"/>
      <c r="B925" s="293"/>
      <c r="C925" s="417"/>
      <c r="D925" s="291"/>
      <c r="E925" s="293"/>
      <c r="F925" s="417"/>
      <c r="G925" s="293"/>
      <c r="H925" s="293"/>
      <c r="I925" s="293"/>
      <c r="J925" s="293"/>
      <c r="K925" s="416"/>
    </row>
    <row r="926">
      <c r="A926" s="416"/>
      <c r="B926" s="293"/>
      <c r="C926" s="417"/>
      <c r="D926" s="291"/>
      <c r="E926" s="293"/>
      <c r="F926" s="417"/>
      <c r="G926" s="293"/>
      <c r="H926" s="293"/>
      <c r="I926" s="293"/>
      <c r="J926" s="293"/>
      <c r="K926" s="416"/>
    </row>
    <row r="927">
      <c r="A927" s="416"/>
      <c r="B927" s="293"/>
      <c r="C927" s="417"/>
      <c r="D927" s="291"/>
      <c r="E927" s="293"/>
      <c r="F927" s="417"/>
      <c r="G927" s="293"/>
      <c r="H927" s="293"/>
      <c r="I927" s="293"/>
      <c r="J927" s="293"/>
      <c r="K927" s="416"/>
    </row>
    <row r="928">
      <c r="A928" s="416"/>
      <c r="B928" s="293"/>
      <c r="C928" s="417"/>
      <c r="D928" s="291"/>
      <c r="E928" s="293"/>
      <c r="F928" s="417"/>
      <c r="G928" s="293"/>
      <c r="H928" s="293"/>
      <c r="I928" s="293"/>
      <c r="J928" s="293"/>
      <c r="K928" s="416"/>
    </row>
    <row r="929">
      <c r="A929" s="416"/>
      <c r="B929" s="293"/>
      <c r="C929" s="417"/>
      <c r="D929" s="291"/>
      <c r="E929" s="293"/>
      <c r="F929" s="417"/>
      <c r="G929" s="293"/>
      <c r="H929" s="293"/>
      <c r="I929" s="293"/>
      <c r="J929" s="293"/>
      <c r="K929" s="416"/>
    </row>
    <row r="930">
      <c r="A930" s="416"/>
      <c r="B930" s="293"/>
      <c r="C930" s="417"/>
      <c r="D930" s="291"/>
      <c r="E930" s="293"/>
      <c r="F930" s="417"/>
      <c r="G930" s="293"/>
      <c r="H930" s="293"/>
      <c r="I930" s="293"/>
      <c r="J930" s="293"/>
      <c r="K930" s="416"/>
    </row>
    <row r="931">
      <c r="A931" s="416"/>
      <c r="B931" s="293"/>
      <c r="C931" s="417"/>
      <c r="D931" s="291"/>
      <c r="E931" s="293"/>
      <c r="F931" s="417"/>
      <c r="G931" s="293"/>
      <c r="H931" s="293"/>
      <c r="I931" s="293"/>
      <c r="J931" s="293"/>
      <c r="K931" s="416"/>
    </row>
    <row r="932">
      <c r="A932" s="416"/>
      <c r="B932" s="293"/>
      <c r="C932" s="417"/>
      <c r="D932" s="291"/>
      <c r="E932" s="293"/>
      <c r="F932" s="417"/>
      <c r="G932" s="293"/>
      <c r="H932" s="293"/>
      <c r="I932" s="293"/>
      <c r="J932" s="293"/>
      <c r="K932" s="416"/>
    </row>
    <row r="933">
      <c r="A933" s="416"/>
      <c r="B933" s="293"/>
      <c r="C933" s="417"/>
      <c r="D933" s="291"/>
      <c r="E933" s="293"/>
      <c r="F933" s="417"/>
      <c r="G933" s="293"/>
      <c r="H933" s="293"/>
      <c r="I933" s="293"/>
      <c r="J933" s="293"/>
      <c r="K933" s="416"/>
    </row>
    <row r="934">
      <c r="A934" s="416"/>
      <c r="B934" s="293"/>
      <c r="C934" s="417"/>
      <c r="D934" s="291"/>
      <c r="E934" s="293"/>
      <c r="F934" s="417"/>
      <c r="G934" s="293"/>
      <c r="H934" s="293"/>
      <c r="I934" s="293"/>
      <c r="J934" s="293"/>
      <c r="K934" s="416"/>
    </row>
    <row r="935">
      <c r="A935" s="416"/>
      <c r="B935" s="293"/>
      <c r="C935" s="417"/>
      <c r="D935" s="291"/>
      <c r="E935" s="293"/>
      <c r="F935" s="417"/>
      <c r="G935" s="293"/>
      <c r="H935" s="293"/>
      <c r="I935" s="293"/>
      <c r="J935" s="293"/>
      <c r="K935" s="416"/>
    </row>
    <row r="936">
      <c r="A936" s="416"/>
      <c r="B936" s="293"/>
      <c r="C936" s="417"/>
      <c r="D936" s="291"/>
      <c r="E936" s="293"/>
      <c r="F936" s="417"/>
      <c r="G936" s="293"/>
      <c r="H936" s="293"/>
      <c r="I936" s="293"/>
      <c r="J936" s="293"/>
      <c r="K936" s="416"/>
    </row>
    <row r="937">
      <c r="A937" s="416"/>
      <c r="B937" s="293"/>
      <c r="C937" s="417"/>
      <c r="D937" s="291"/>
      <c r="E937" s="293"/>
      <c r="F937" s="417"/>
      <c r="G937" s="293"/>
      <c r="H937" s="293"/>
      <c r="I937" s="293"/>
      <c r="J937" s="293"/>
      <c r="K937" s="416"/>
    </row>
    <row r="938">
      <c r="A938" s="416"/>
      <c r="B938" s="293"/>
      <c r="C938" s="417"/>
      <c r="D938" s="291"/>
      <c r="E938" s="293"/>
      <c r="F938" s="417"/>
      <c r="G938" s="293"/>
      <c r="H938" s="293"/>
      <c r="I938" s="293"/>
      <c r="J938" s="293"/>
      <c r="K938" s="416"/>
    </row>
    <row r="939">
      <c r="A939" s="416"/>
      <c r="B939" s="293"/>
      <c r="C939" s="417"/>
      <c r="D939" s="291"/>
      <c r="E939" s="293"/>
      <c r="F939" s="417"/>
      <c r="G939" s="293"/>
      <c r="H939" s="293"/>
      <c r="I939" s="293"/>
      <c r="J939" s="293"/>
      <c r="K939" s="416"/>
    </row>
    <row r="940">
      <c r="A940" s="416"/>
      <c r="B940" s="293"/>
      <c r="C940" s="417"/>
      <c r="D940" s="291"/>
      <c r="E940" s="293"/>
      <c r="F940" s="417"/>
      <c r="G940" s="293"/>
      <c r="H940" s="293"/>
      <c r="I940" s="293"/>
      <c r="J940" s="293"/>
      <c r="K940" s="416"/>
    </row>
    <row r="941">
      <c r="A941" s="416"/>
      <c r="B941" s="293"/>
      <c r="C941" s="417"/>
      <c r="D941" s="291"/>
      <c r="E941" s="293"/>
      <c r="F941" s="417"/>
      <c r="G941" s="293"/>
      <c r="H941" s="293"/>
      <c r="I941" s="293"/>
      <c r="J941" s="293"/>
      <c r="K941" s="416"/>
    </row>
    <row r="942">
      <c r="A942" s="416"/>
      <c r="B942" s="293"/>
      <c r="C942" s="417"/>
      <c r="D942" s="291"/>
      <c r="E942" s="293"/>
      <c r="F942" s="417"/>
      <c r="G942" s="293"/>
      <c r="H942" s="293"/>
      <c r="I942" s="293"/>
      <c r="J942" s="293"/>
      <c r="K942" s="416"/>
    </row>
    <row r="943">
      <c r="A943" s="416"/>
      <c r="B943" s="293"/>
      <c r="C943" s="417"/>
      <c r="D943" s="291"/>
      <c r="E943" s="293"/>
      <c r="F943" s="417"/>
      <c r="G943" s="293"/>
      <c r="H943" s="293"/>
      <c r="I943" s="293"/>
      <c r="J943" s="293"/>
      <c r="K943" s="416"/>
    </row>
    <row r="944">
      <c r="A944" s="416"/>
      <c r="B944" s="293"/>
      <c r="C944" s="417"/>
      <c r="D944" s="291"/>
      <c r="E944" s="293"/>
      <c r="F944" s="417"/>
      <c r="G944" s="293"/>
      <c r="H944" s="293"/>
      <c r="I944" s="293"/>
      <c r="J944" s="293"/>
      <c r="K944" s="416"/>
    </row>
    <row r="945">
      <c r="A945" s="416"/>
      <c r="B945" s="293"/>
      <c r="C945" s="417"/>
      <c r="D945" s="291"/>
      <c r="E945" s="293"/>
      <c r="F945" s="417"/>
      <c r="G945" s="293"/>
      <c r="H945" s="293"/>
      <c r="I945" s="293"/>
      <c r="J945" s="293"/>
      <c r="K945" s="416"/>
    </row>
    <row r="946">
      <c r="A946" s="416"/>
      <c r="B946" s="293"/>
      <c r="C946" s="417"/>
      <c r="D946" s="291"/>
      <c r="E946" s="293"/>
      <c r="F946" s="417"/>
      <c r="G946" s="293"/>
      <c r="H946" s="293"/>
      <c r="I946" s="293"/>
      <c r="J946" s="293"/>
      <c r="K946" s="416"/>
    </row>
    <row r="947">
      <c r="A947" s="416"/>
      <c r="B947" s="293"/>
      <c r="C947" s="417"/>
      <c r="D947" s="291"/>
      <c r="E947" s="293"/>
      <c r="F947" s="417"/>
      <c r="G947" s="293"/>
      <c r="H947" s="293"/>
      <c r="I947" s="293"/>
      <c r="J947" s="293"/>
      <c r="K947" s="416"/>
    </row>
    <row r="948">
      <c r="A948" s="416"/>
      <c r="B948" s="293"/>
      <c r="C948" s="417"/>
      <c r="D948" s="291"/>
      <c r="E948" s="293"/>
      <c r="F948" s="417"/>
      <c r="G948" s="293"/>
      <c r="H948" s="293"/>
      <c r="I948" s="293"/>
      <c r="J948" s="293"/>
      <c r="K948" s="416"/>
    </row>
    <row r="949">
      <c r="A949" s="416"/>
      <c r="B949" s="293"/>
      <c r="C949" s="417"/>
      <c r="D949" s="291"/>
      <c r="E949" s="293"/>
      <c r="F949" s="417"/>
      <c r="G949" s="293"/>
      <c r="H949" s="293"/>
      <c r="I949" s="293"/>
      <c r="J949" s="293"/>
      <c r="K949" s="416"/>
    </row>
    <row r="950">
      <c r="A950" s="416"/>
      <c r="B950" s="293"/>
      <c r="C950" s="417"/>
      <c r="D950" s="291"/>
      <c r="E950" s="293"/>
      <c r="F950" s="417"/>
      <c r="G950" s="293"/>
      <c r="H950" s="293"/>
      <c r="I950" s="293"/>
      <c r="J950" s="293"/>
      <c r="K950" s="416"/>
    </row>
    <row r="951">
      <c r="A951" s="416"/>
      <c r="B951" s="293"/>
      <c r="C951" s="417"/>
      <c r="D951" s="291"/>
      <c r="E951" s="293"/>
      <c r="F951" s="417"/>
      <c r="G951" s="293"/>
      <c r="H951" s="293"/>
      <c r="I951" s="293"/>
      <c r="J951" s="293"/>
      <c r="K951" s="416"/>
    </row>
    <row r="952">
      <c r="A952" s="416"/>
      <c r="B952" s="293"/>
      <c r="C952" s="417"/>
      <c r="D952" s="291"/>
      <c r="E952" s="293"/>
      <c r="F952" s="417"/>
      <c r="G952" s="293"/>
      <c r="H952" s="293"/>
      <c r="I952" s="293"/>
      <c r="J952" s="293"/>
      <c r="K952" s="416"/>
    </row>
    <row r="953">
      <c r="A953" s="416"/>
      <c r="B953" s="293"/>
      <c r="C953" s="417"/>
      <c r="D953" s="291"/>
      <c r="E953" s="293"/>
      <c r="F953" s="417"/>
      <c r="G953" s="293"/>
      <c r="H953" s="293"/>
      <c r="I953" s="293"/>
      <c r="J953" s="293"/>
      <c r="K953" s="416"/>
    </row>
    <row r="954">
      <c r="A954" s="416"/>
      <c r="B954" s="293"/>
      <c r="C954" s="417"/>
      <c r="D954" s="291"/>
      <c r="E954" s="293"/>
      <c r="F954" s="417"/>
      <c r="G954" s="293"/>
      <c r="H954" s="293"/>
      <c r="I954" s="293"/>
      <c r="J954" s="293"/>
      <c r="K954" s="416"/>
    </row>
    <row r="955">
      <c r="A955" s="416"/>
      <c r="B955" s="293"/>
      <c r="C955" s="417"/>
      <c r="D955" s="291"/>
      <c r="E955" s="293"/>
      <c r="F955" s="417"/>
      <c r="G955" s="293"/>
      <c r="H955" s="293"/>
      <c r="I955" s="293"/>
      <c r="J955" s="293"/>
      <c r="K955" s="416"/>
    </row>
    <row r="956">
      <c r="A956" s="416"/>
      <c r="B956" s="293"/>
      <c r="C956" s="417"/>
      <c r="D956" s="291"/>
      <c r="E956" s="293"/>
      <c r="F956" s="417"/>
      <c r="G956" s="293"/>
      <c r="H956" s="293"/>
      <c r="I956" s="293"/>
      <c r="J956" s="293"/>
      <c r="K956" s="416"/>
    </row>
    <row r="957">
      <c r="A957" s="416"/>
      <c r="B957" s="293"/>
      <c r="C957" s="417"/>
      <c r="D957" s="291"/>
      <c r="E957" s="293"/>
      <c r="F957" s="417"/>
      <c r="G957" s="293"/>
      <c r="H957" s="293"/>
      <c r="I957" s="293"/>
      <c r="J957" s="293"/>
      <c r="K957" s="416"/>
    </row>
    <row r="958">
      <c r="A958" s="416"/>
      <c r="B958" s="293"/>
      <c r="C958" s="417"/>
      <c r="D958" s="291"/>
      <c r="E958" s="293"/>
      <c r="F958" s="417"/>
      <c r="G958" s="293"/>
      <c r="H958" s="293"/>
      <c r="I958" s="293"/>
      <c r="J958" s="293"/>
      <c r="K958" s="416"/>
    </row>
    <row r="959">
      <c r="A959" s="416"/>
      <c r="B959" s="293"/>
      <c r="C959" s="417"/>
      <c r="D959" s="291"/>
      <c r="E959" s="293"/>
      <c r="F959" s="417"/>
      <c r="G959" s="293"/>
      <c r="H959" s="293"/>
      <c r="I959" s="293"/>
      <c r="J959" s="293"/>
      <c r="K959" s="416"/>
    </row>
    <row r="960">
      <c r="A960" s="416"/>
      <c r="B960" s="293"/>
      <c r="C960" s="417"/>
      <c r="D960" s="291"/>
      <c r="E960" s="293"/>
      <c r="F960" s="417"/>
      <c r="G960" s="293"/>
      <c r="H960" s="293"/>
      <c r="I960" s="293"/>
      <c r="J960" s="293"/>
      <c r="K960" s="416"/>
    </row>
    <row r="961">
      <c r="A961" s="416"/>
      <c r="B961" s="293"/>
      <c r="C961" s="417"/>
      <c r="D961" s="291"/>
      <c r="E961" s="293"/>
      <c r="F961" s="417"/>
      <c r="G961" s="293"/>
      <c r="H961" s="293"/>
      <c r="I961" s="293"/>
      <c r="J961" s="293"/>
      <c r="K961" s="416"/>
    </row>
    <row r="962">
      <c r="A962" s="416"/>
      <c r="B962" s="293"/>
      <c r="C962" s="417"/>
      <c r="D962" s="291"/>
      <c r="E962" s="293"/>
      <c r="F962" s="417"/>
      <c r="G962" s="293"/>
      <c r="H962" s="293"/>
      <c r="I962" s="293"/>
      <c r="J962" s="293"/>
      <c r="K962" s="416"/>
    </row>
    <row r="963">
      <c r="A963" s="416"/>
      <c r="B963" s="293"/>
      <c r="C963" s="417"/>
      <c r="D963" s="291"/>
      <c r="E963" s="293"/>
      <c r="F963" s="417"/>
      <c r="G963" s="293"/>
      <c r="H963" s="293"/>
      <c r="I963" s="293"/>
      <c r="J963" s="293"/>
      <c r="K963" s="416"/>
    </row>
    <row r="964">
      <c r="A964" s="416"/>
      <c r="B964" s="293"/>
      <c r="C964" s="417"/>
      <c r="D964" s="291"/>
      <c r="E964" s="293"/>
      <c r="F964" s="417"/>
      <c r="G964" s="293"/>
      <c r="H964" s="293"/>
      <c r="I964" s="293"/>
      <c r="J964" s="293"/>
      <c r="K964" s="416"/>
    </row>
    <row r="965">
      <c r="A965" s="416"/>
      <c r="B965" s="293"/>
      <c r="C965" s="417"/>
      <c r="D965" s="291"/>
      <c r="E965" s="293"/>
      <c r="F965" s="417"/>
      <c r="G965" s="293"/>
      <c r="H965" s="293"/>
      <c r="I965" s="293"/>
      <c r="J965" s="293"/>
      <c r="K965" s="416"/>
    </row>
    <row r="966">
      <c r="A966" s="416"/>
      <c r="B966" s="293"/>
      <c r="C966" s="417"/>
      <c r="D966" s="291"/>
      <c r="E966" s="293"/>
      <c r="F966" s="417"/>
      <c r="G966" s="293"/>
      <c r="H966" s="293"/>
      <c r="I966" s="293"/>
      <c r="J966" s="293"/>
      <c r="K966" s="416"/>
    </row>
    <row r="967">
      <c r="A967" s="416"/>
      <c r="B967" s="293"/>
      <c r="C967" s="417"/>
      <c r="D967" s="291"/>
      <c r="E967" s="293"/>
      <c r="F967" s="417"/>
      <c r="G967" s="293"/>
      <c r="H967" s="293"/>
      <c r="I967" s="293"/>
      <c r="J967" s="293"/>
      <c r="K967" s="416"/>
    </row>
    <row r="968">
      <c r="A968" s="416"/>
      <c r="B968" s="293"/>
      <c r="C968" s="417"/>
      <c r="D968" s="291"/>
      <c r="E968" s="293"/>
      <c r="F968" s="417"/>
      <c r="G968" s="293"/>
      <c r="H968" s="293"/>
      <c r="I968" s="293"/>
      <c r="J968" s="293"/>
      <c r="K968" s="416"/>
    </row>
    <row r="969">
      <c r="A969" s="416"/>
      <c r="B969" s="293"/>
      <c r="C969" s="417"/>
      <c r="D969" s="291"/>
      <c r="E969" s="293"/>
      <c r="F969" s="417"/>
      <c r="G969" s="293"/>
      <c r="H969" s="293"/>
      <c r="I969" s="293"/>
      <c r="J969" s="293"/>
      <c r="K969" s="416"/>
    </row>
    <row r="970">
      <c r="A970" s="416"/>
      <c r="B970" s="293"/>
      <c r="C970" s="417"/>
      <c r="D970" s="291"/>
      <c r="E970" s="293"/>
      <c r="F970" s="417"/>
      <c r="G970" s="293"/>
      <c r="H970" s="293"/>
      <c r="I970" s="293"/>
      <c r="J970" s="293"/>
      <c r="K970" s="416"/>
    </row>
    <row r="971">
      <c r="A971" s="416"/>
      <c r="B971" s="293"/>
      <c r="C971" s="417"/>
      <c r="D971" s="291"/>
      <c r="E971" s="293"/>
      <c r="F971" s="417"/>
      <c r="G971" s="293"/>
      <c r="H971" s="293"/>
      <c r="I971" s="293"/>
      <c r="J971" s="293"/>
      <c r="K971" s="416"/>
    </row>
    <row r="972">
      <c r="A972" s="416"/>
      <c r="B972" s="293"/>
      <c r="C972" s="417"/>
      <c r="D972" s="291"/>
      <c r="E972" s="293"/>
      <c r="F972" s="417"/>
      <c r="G972" s="293"/>
      <c r="H972" s="293"/>
      <c r="I972" s="293"/>
      <c r="J972" s="293"/>
      <c r="K972" s="416"/>
    </row>
    <row r="973">
      <c r="A973" s="416"/>
      <c r="B973" s="293"/>
      <c r="C973" s="417"/>
      <c r="D973" s="291"/>
      <c r="E973" s="293"/>
      <c r="F973" s="417"/>
      <c r="G973" s="293"/>
      <c r="H973" s="293"/>
      <c r="I973" s="293"/>
      <c r="J973" s="293"/>
      <c r="K973" s="416"/>
    </row>
    <row r="974">
      <c r="A974" s="416"/>
      <c r="B974" s="293"/>
      <c r="C974" s="417"/>
      <c r="D974" s="291"/>
      <c r="E974" s="293"/>
      <c r="F974" s="417"/>
      <c r="G974" s="293"/>
      <c r="H974" s="293"/>
      <c r="I974" s="293"/>
      <c r="J974" s="293"/>
      <c r="K974" s="416"/>
    </row>
    <row r="975">
      <c r="A975" s="416"/>
      <c r="B975" s="293"/>
      <c r="C975" s="417"/>
      <c r="D975" s="291"/>
      <c r="E975" s="293"/>
      <c r="F975" s="417"/>
      <c r="G975" s="293"/>
      <c r="H975" s="293"/>
      <c r="I975" s="293"/>
      <c r="J975" s="293"/>
      <c r="K975" s="416"/>
    </row>
    <row r="976">
      <c r="A976" s="416"/>
      <c r="B976" s="293"/>
      <c r="C976" s="417"/>
      <c r="D976" s="291"/>
      <c r="E976" s="293"/>
      <c r="F976" s="417"/>
      <c r="G976" s="293"/>
      <c r="H976" s="293"/>
      <c r="I976" s="293"/>
      <c r="J976" s="293"/>
      <c r="K976" s="416"/>
    </row>
    <row r="977">
      <c r="A977" s="416"/>
      <c r="B977" s="293"/>
      <c r="C977" s="417"/>
      <c r="D977" s="291"/>
      <c r="E977" s="293"/>
      <c r="F977" s="417"/>
      <c r="G977" s="293"/>
      <c r="H977" s="293"/>
      <c r="I977" s="293"/>
      <c r="J977" s="293"/>
      <c r="K977" s="416"/>
    </row>
    <row r="978">
      <c r="A978" s="416"/>
      <c r="B978" s="293"/>
      <c r="C978" s="417"/>
      <c r="D978" s="291"/>
      <c r="E978" s="293"/>
      <c r="F978" s="417"/>
      <c r="G978" s="293"/>
      <c r="H978" s="293"/>
      <c r="I978" s="293"/>
      <c r="J978" s="293"/>
      <c r="K978" s="416"/>
    </row>
    <row r="979">
      <c r="A979" s="416"/>
      <c r="B979" s="293"/>
      <c r="C979" s="417"/>
      <c r="D979" s="291"/>
      <c r="E979" s="293"/>
      <c r="F979" s="417"/>
      <c r="G979" s="293"/>
      <c r="H979" s="293"/>
      <c r="I979" s="293"/>
      <c r="J979" s="293"/>
      <c r="K979" s="416"/>
    </row>
    <row r="980">
      <c r="A980" s="416"/>
      <c r="B980" s="293"/>
      <c r="C980" s="417"/>
      <c r="D980" s="291"/>
      <c r="E980" s="293"/>
      <c r="F980" s="417"/>
      <c r="G980" s="293"/>
      <c r="H980" s="293"/>
      <c r="I980" s="293"/>
      <c r="J980" s="293"/>
      <c r="K980" s="416"/>
    </row>
    <row r="981">
      <c r="A981" s="416"/>
      <c r="B981" s="293"/>
      <c r="C981" s="417"/>
      <c r="D981" s="291"/>
      <c r="E981" s="293"/>
      <c r="F981" s="417"/>
      <c r="G981" s="293"/>
      <c r="H981" s="293"/>
      <c r="I981" s="293"/>
      <c r="J981" s="293"/>
      <c r="K981" s="416"/>
    </row>
    <row r="982">
      <c r="A982" s="416"/>
      <c r="B982" s="293"/>
      <c r="C982" s="417"/>
      <c r="D982" s="291"/>
      <c r="E982" s="293"/>
      <c r="F982" s="417"/>
      <c r="G982" s="293"/>
      <c r="H982" s="293"/>
      <c r="I982" s="293"/>
      <c r="J982" s="293"/>
      <c r="K982" s="416"/>
    </row>
    <row r="983">
      <c r="A983" s="416"/>
      <c r="B983" s="293"/>
      <c r="C983" s="417"/>
      <c r="D983" s="291"/>
      <c r="E983" s="293"/>
      <c r="F983" s="417"/>
      <c r="G983" s="293"/>
      <c r="H983" s="293"/>
      <c r="I983" s="293"/>
      <c r="J983" s="293"/>
      <c r="K983" s="416"/>
    </row>
    <row r="984">
      <c r="A984" s="416"/>
      <c r="B984" s="293"/>
      <c r="C984" s="417"/>
      <c r="D984" s="291"/>
      <c r="E984" s="293"/>
      <c r="F984" s="417"/>
      <c r="G984" s="293"/>
      <c r="H984" s="293"/>
      <c r="I984" s="293"/>
      <c r="J984" s="293"/>
      <c r="K984" s="416"/>
    </row>
    <row r="985">
      <c r="A985" s="416"/>
      <c r="B985" s="293"/>
      <c r="C985" s="417"/>
      <c r="D985" s="291"/>
      <c r="E985" s="293"/>
      <c r="F985" s="417"/>
      <c r="G985" s="293"/>
      <c r="H985" s="293"/>
      <c r="I985" s="293"/>
      <c r="J985" s="293"/>
      <c r="K985" s="416"/>
    </row>
    <row r="986">
      <c r="A986" s="416"/>
      <c r="B986" s="293"/>
      <c r="C986" s="417"/>
      <c r="D986" s="291"/>
      <c r="E986" s="293"/>
      <c r="F986" s="417"/>
      <c r="G986" s="293"/>
      <c r="H986" s="293"/>
      <c r="I986" s="293"/>
      <c r="J986" s="293"/>
      <c r="K986" s="416"/>
    </row>
    <row r="987">
      <c r="A987" s="416"/>
      <c r="B987" s="293"/>
      <c r="C987" s="417"/>
      <c r="D987" s="291"/>
      <c r="E987" s="293"/>
      <c r="F987" s="417"/>
      <c r="G987" s="293"/>
      <c r="H987" s="293"/>
      <c r="I987" s="293"/>
      <c r="J987" s="293"/>
      <c r="K987" s="416"/>
    </row>
    <row r="988">
      <c r="A988" s="416"/>
      <c r="B988" s="293"/>
      <c r="C988" s="417"/>
      <c r="D988" s="291"/>
      <c r="E988" s="293"/>
      <c r="F988" s="417"/>
      <c r="G988" s="293"/>
      <c r="H988" s="293"/>
      <c r="I988" s="293"/>
      <c r="J988" s="293"/>
      <c r="K988" s="416"/>
    </row>
    <row r="989">
      <c r="A989" s="416"/>
      <c r="B989" s="293"/>
      <c r="C989" s="417"/>
      <c r="D989" s="291"/>
      <c r="E989" s="293"/>
      <c r="F989" s="417"/>
      <c r="G989" s="293"/>
      <c r="H989" s="293"/>
      <c r="I989" s="293"/>
      <c r="J989" s="293"/>
      <c r="K989" s="416"/>
    </row>
    <row r="990">
      <c r="A990" s="416"/>
      <c r="B990" s="293"/>
      <c r="C990" s="417"/>
      <c r="D990" s="291"/>
      <c r="E990" s="293"/>
      <c r="F990" s="417"/>
      <c r="G990" s="293"/>
      <c r="H990" s="293"/>
      <c r="I990" s="293"/>
      <c r="J990" s="293"/>
      <c r="K990" s="416"/>
    </row>
    <row r="991">
      <c r="A991" s="416"/>
      <c r="B991" s="293"/>
      <c r="C991" s="417"/>
      <c r="D991" s="291"/>
      <c r="E991" s="293"/>
      <c r="F991" s="417"/>
      <c r="G991" s="293"/>
      <c r="H991" s="293"/>
      <c r="I991" s="293"/>
      <c r="J991" s="293"/>
      <c r="K991" s="416"/>
    </row>
    <row r="992">
      <c r="A992" s="416"/>
      <c r="B992" s="293"/>
      <c r="C992" s="417"/>
      <c r="D992" s="291"/>
      <c r="E992" s="293"/>
      <c r="F992" s="417"/>
      <c r="G992" s="293"/>
      <c r="H992" s="293"/>
      <c r="I992" s="293"/>
      <c r="J992" s="293"/>
      <c r="K992" s="416"/>
    </row>
    <row r="993">
      <c r="A993" s="416"/>
      <c r="B993" s="293"/>
      <c r="C993" s="417"/>
      <c r="D993" s="291"/>
      <c r="E993" s="293"/>
      <c r="F993" s="417"/>
      <c r="G993" s="293"/>
      <c r="H993" s="293"/>
      <c r="I993" s="293"/>
      <c r="J993" s="293"/>
      <c r="K993" s="416"/>
    </row>
    <row r="994">
      <c r="A994" s="416"/>
      <c r="B994" s="293"/>
      <c r="C994" s="417"/>
      <c r="D994" s="291"/>
      <c r="E994" s="293"/>
      <c r="F994" s="417"/>
      <c r="G994" s="293"/>
      <c r="H994" s="293"/>
      <c r="I994" s="293"/>
      <c r="J994" s="293"/>
      <c r="K994" s="416"/>
    </row>
    <row r="995">
      <c r="A995" s="416"/>
      <c r="B995" s="293"/>
      <c r="C995" s="417"/>
      <c r="D995" s="291"/>
      <c r="E995" s="293"/>
      <c r="F995" s="417"/>
      <c r="G995" s="293"/>
      <c r="H995" s="293"/>
      <c r="I995" s="293"/>
      <c r="J995" s="293"/>
      <c r="K995" s="416"/>
    </row>
    <row r="996">
      <c r="A996" s="416"/>
      <c r="B996" s="293"/>
      <c r="C996" s="417"/>
      <c r="D996" s="291"/>
      <c r="E996" s="293"/>
      <c r="F996" s="417"/>
      <c r="G996" s="293"/>
      <c r="H996" s="293"/>
      <c r="I996" s="293"/>
      <c r="J996" s="293"/>
      <c r="K996" s="416"/>
    </row>
    <row r="997">
      <c r="A997" s="416"/>
      <c r="B997" s="293"/>
      <c r="C997" s="417"/>
      <c r="D997" s="291"/>
      <c r="E997" s="293"/>
      <c r="F997" s="417"/>
      <c r="G997" s="293"/>
      <c r="H997" s="293"/>
      <c r="I997" s="293"/>
      <c r="J997" s="293"/>
      <c r="K997" s="416"/>
    </row>
    <row r="998">
      <c r="A998" s="416"/>
      <c r="B998" s="293"/>
      <c r="C998" s="417"/>
      <c r="D998" s="291"/>
      <c r="E998" s="293"/>
      <c r="F998" s="417"/>
      <c r="G998" s="293"/>
      <c r="H998" s="293"/>
      <c r="I998" s="293"/>
      <c r="J998" s="293"/>
      <c r="K998" s="416"/>
    </row>
    <row r="999">
      <c r="A999" s="416"/>
      <c r="B999" s="293"/>
      <c r="C999" s="417"/>
      <c r="D999" s="291"/>
      <c r="E999" s="293"/>
      <c r="F999" s="417"/>
      <c r="G999" s="293"/>
      <c r="H999" s="293"/>
      <c r="I999" s="293"/>
      <c r="J999" s="293"/>
      <c r="K999" s="416"/>
    </row>
    <row r="1000">
      <c r="A1000" s="416"/>
      <c r="B1000" s="293"/>
      <c r="C1000" s="417"/>
      <c r="D1000" s="291"/>
      <c r="E1000" s="293"/>
      <c r="F1000" s="417"/>
      <c r="G1000" s="293"/>
      <c r="H1000" s="293"/>
      <c r="I1000" s="293"/>
      <c r="J1000" s="293"/>
      <c r="K1000" s="416"/>
    </row>
    <row r="1001">
      <c r="A1001" s="416"/>
      <c r="B1001" s="293"/>
      <c r="C1001" s="417"/>
      <c r="D1001" s="291"/>
      <c r="E1001" s="293"/>
      <c r="F1001" s="417"/>
      <c r="G1001" s="293"/>
      <c r="H1001" s="293"/>
      <c r="I1001" s="293"/>
      <c r="J1001" s="293"/>
      <c r="K1001" s="416"/>
    </row>
    <row r="1002">
      <c r="A1002" s="416"/>
      <c r="B1002" s="293"/>
      <c r="C1002" s="417"/>
      <c r="D1002" s="291"/>
      <c r="E1002" s="293"/>
      <c r="F1002" s="417"/>
      <c r="G1002" s="293"/>
      <c r="H1002" s="293"/>
      <c r="I1002" s="293"/>
      <c r="J1002" s="293"/>
      <c r="K1002" s="416"/>
    </row>
    <row r="1003">
      <c r="A1003" s="416"/>
      <c r="B1003" s="293"/>
      <c r="C1003" s="417"/>
      <c r="D1003" s="291"/>
      <c r="E1003" s="293"/>
      <c r="F1003" s="417"/>
      <c r="G1003" s="293"/>
      <c r="H1003" s="293"/>
      <c r="I1003" s="293"/>
      <c r="J1003" s="293"/>
      <c r="K1003" s="416"/>
    </row>
    <row r="1004">
      <c r="A1004" s="416"/>
      <c r="B1004" s="293"/>
      <c r="C1004" s="417"/>
      <c r="D1004" s="291"/>
      <c r="E1004" s="293"/>
      <c r="F1004" s="417"/>
      <c r="G1004" s="293"/>
      <c r="H1004" s="293"/>
      <c r="I1004" s="293"/>
      <c r="J1004" s="293"/>
      <c r="K1004" s="416"/>
    </row>
    <row r="1005">
      <c r="A1005" s="416"/>
      <c r="B1005" s="293"/>
      <c r="C1005" s="417"/>
      <c r="D1005" s="291"/>
      <c r="E1005" s="293"/>
      <c r="F1005" s="417"/>
      <c r="G1005" s="293"/>
      <c r="H1005" s="293"/>
      <c r="I1005" s="293"/>
      <c r="J1005" s="293"/>
      <c r="K1005" s="416"/>
    </row>
    <row r="1006">
      <c r="A1006" s="416"/>
      <c r="B1006" s="293"/>
      <c r="C1006" s="417"/>
      <c r="D1006" s="291"/>
      <c r="E1006" s="293"/>
      <c r="F1006" s="417"/>
      <c r="G1006" s="293"/>
      <c r="H1006" s="293"/>
      <c r="I1006" s="293"/>
      <c r="J1006" s="293"/>
      <c r="K1006" s="416"/>
    </row>
    <row r="1007">
      <c r="A1007" s="416"/>
      <c r="B1007" s="293"/>
      <c r="C1007" s="417"/>
      <c r="D1007" s="291"/>
      <c r="E1007" s="293"/>
      <c r="F1007" s="417"/>
      <c r="G1007" s="293"/>
      <c r="H1007" s="293"/>
      <c r="I1007" s="293"/>
      <c r="J1007" s="293"/>
      <c r="K1007" s="416"/>
    </row>
    <row r="1008">
      <c r="A1008" s="416"/>
      <c r="B1008" s="293"/>
      <c r="C1008" s="417"/>
      <c r="D1008" s="291"/>
      <c r="E1008" s="293"/>
      <c r="F1008" s="417"/>
      <c r="G1008" s="293"/>
      <c r="H1008" s="293"/>
      <c r="I1008" s="293"/>
      <c r="J1008" s="293"/>
      <c r="K1008" s="416"/>
    </row>
    <row r="1009">
      <c r="A1009" s="416"/>
      <c r="B1009" s="293"/>
      <c r="C1009" s="417"/>
      <c r="D1009" s="291"/>
      <c r="E1009" s="293"/>
      <c r="F1009" s="417"/>
      <c r="G1009" s="293"/>
      <c r="H1009" s="293"/>
      <c r="I1009" s="293"/>
      <c r="J1009" s="293"/>
      <c r="K1009" s="416"/>
    </row>
    <row r="1010">
      <c r="A1010" s="416"/>
      <c r="B1010" s="293"/>
      <c r="C1010" s="417"/>
      <c r="D1010" s="291"/>
      <c r="E1010" s="293"/>
      <c r="F1010" s="417"/>
      <c r="G1010" s="293"/>
      <c r="H1010" s="293"/>
      <c r="I1010" s="293"/>
      <c r="J1010" s="293"/>
      <c r="K1010" s="416"/>
    </row>
    <row r="1011">
      <c r="A1011" s="416"/>
      <c r="B1011" s="293"/>
      <c r="C1011" s="417"/>
      <c r="D1011" s="291"/>
      <c r="E1011" s="293"/>
      <c r="F1011" s="417"/>
      <c r="G1011" s="293"/>
      <c r="H1011" s="293"/>
      <c r="I1011" s="293"/>
      <c r="J1011" s="293"/>
      <c r="K1011" s="416"/>
    </row>
    <row r="1012">
      <c r="A1012" s="416"/>
      <c r="B1012" s="293"/>
      <c r="C1012" s="417"/>
      <c r="D1012" s="291"/>
      <c r="E1012" s="293"/>
      <c r="F1012" s="417"/>
      <c r="G1012" s="293"/>
      <c r="H1012" s="293"/>
      <c r="I1012" s="293"/>
      <c r="J1012" s="293"/>
      <c r="K1012" s="416"/>
    </row>
    <row r="1013">
      <c r="A1013" s="416"/>
      <c r="B1013" s="293"/>
      <c r="C1013" s="417"/>
      <c r="D1013" s="291"/>
      <c r="E1013" s="293"/>
      <c r="F1013" s="417"/>
      <c r="G1013" s="293"/>
      <c r="H1013" s="293"/>
      <c r="I1013" s="293"/>
      <c r="J1013" s="293"/>
      <c r="K1013" s="416"/>
    </row>
    <row r="1014">
      <c r="A1014" s="416"/>
      <c r="B1014" s="293"/>
      <c r="C1014" s="417"/>
      <c r="D1014" s="291"/>
      <c r="E1014" s="293"/>
      <c r="F1014" s="417"/>
      <c r="G1014" s="293"/>
      <c r="H1014" s="293"/>
      <c r="I1014" s="293"/>
      <c r="J1014" s="293"/>
      <c r="K1014" s="416"/>
    </row>
    <row r="1015">
      <c r="A1015" s="416"/>
      <c r="B1015" s="293"/>
      <c r="C1015" s="417"/>
      <c r="D1015" s="291"/>
      <c r="E1015" s="293"/>
      <c r="F1015" s="417"/>
      <c r="G1015" s="293"/>
      <c r="H1015" s="293"/>
      <c r="I1015" s="293"/>
      <c r="J1015" s="293"/>
      <c r="K1015" s="416"/>
    </row>
    <row r="1016">
      <c r="A1016" s="416"/>
      <c r="B1016" s="293"/>
      <c r="C1016" s="417"/>
      <c r="D1016" s="291"/>
      <c r="E1016" s="293"/>
      <c r="F1016" s="417"/>
      <c r="G1016" s="293"/>
      <c r="H1016" s="293"/>
      <c r="I1016" s="293"/>
      <c r="J1016" s="293"/>
      <c r="K1016" s="416"/>
    </row>
    <row r="1017">
      <c r="A1017" s="416"/>
      <c r="B1017" s="293"/>
      <c r="C1017" s="417"/>
      <c r="D1017" s="291"/>
      <c r="E1017" s="293"/>
      <c r="F1017" s="417"/>
      <c r="G1017" s="293"/>
      <c r="H1017" s="293"/>
      <c r="I1017" s="293"/>
      <c r="J1017" s="293"/>
      <c r="K1017" s="416"/>
    </row>
    <row r="1018">
      <c r="A1018" s="416"/>
      <c r="B1018" s="293"/>
      <c r="C1018" s="417"/>
      <c r="D1018" s="291"/>
      <c r="E1018" s="293"/>
      <c r="F1018" s="417"/>
      <c r="G1018" s="293"/>
      <c r="H1018" s="293"/>
      <c r="I1018" s="293"/>
      <c r="J1018" s="293"/>
      <c r="K1018" s="416"/>
    </row>
    <row r="1019">
      <c r="A1019" s="416"/>
      <c r="B1019" s="293"/>
      <c r="C1019" s="417"/>
      <c r="D1019" s="291"/>
      <c r="E1019" s="293"/>
      <c r="F1019" s="417"/>
      <c r="G1019" s="293"/>
      <c r="H1019" s="293"/>
      <c r="I1019" s="293"/>
      <c r="J1019" s="293"/>
      <c r="K1019" s="416"/>
    </row>
    <row r="1020">
      <c r="A1020" s="416"/>
      <c r="B1020" s="293"/>
      <c r="C1020" s="417"/>
      <c r="D1020" s="291"/>
      <c r="E1020" s="293"/>
      <c r="F1020" s="417"/>
      <c r="G1020" s="293"/>
      <c r="H1020" s="293"/>
      <c r="I1020" s="293"/>
      <c r="J1020" s="293"/>
      <c r="K1020" s="416"/>
    </row>
    <row r="1021">
      <c r="A1021" s="416"/>
      <c r="B1021" s="293"/>
      <c r="C1021" s="417"/>
      <c r="D1021" s="291"/>
      <c r="E1021" s="293"/>
      <c r="F1021" s="417"/>
      <c r="G1021" s="293"/>
      <c r="H1021" s="293"/>
      <c r="I1021" s="293"/>
      <c r="J1021" s="293"/>
      <c r="K1021" s="416"/>
    </row>
    <row r="1022">
      <c r="A1022" s="416"/>
      <c r="B1022" s="293"/>
      <c r="C1022" s="417"/>
      <c r="D1022" s="291"/>
      <c r="E1022" s="293"/>
      <c r="F1022" s="417"/>
      <c r="G1022" s="293"/>
      <c r="H1022" s="293"/>
      <c r="I1022" s="293"/>
      <c r="J1022" s="293"/>
      <c r="K1022" s="416"/>
    </row>
    <row r="1023">
      <c r="A1023" s="416"/>
      <c r="B1023" s="293"/>
      <c r="C1023" s="417"/>
      <c r="D1023" s="291"/>
      <c r="E1023" s="293"/>
      <c r="F1023" s="417"/>
      <c r="G1023" s="293"/>
      <c r="H1023" s="293"/>
      <c r="I1023" s="293"/>
      <c r="J1023" s="293"/>
      <c r="K1023" s="416"/>
    </row>
    <row r="1024">
      <c r="A1024" s="416"/>
      <c r="B1024" s="293"/>
      <c r="C1024" s="417"/>
      <c r="D1024" s="291"/>
      <c r="E1024" s="293"/>
      <c r="F1024" s="417"/>
      <c r="G1024" s="293"/>
      <c r="H1024" s="293"/>
      <c r="I1024" s="293"/>
      <c r="J1024" s="293"/>
      <c r="K1024" s="416"/>
    </row>
    <row r="1025">
      <c r="A1025" s="416"/>
      <c r="B1025" s="293"/>
      <c r="C1025" s="417"/>
      <c r="D1025" s="291"/>
      <c r="E1025" s="293"/>
      <c r="F1025" s="417"/>
      <c r="G1025" s="293"/>
      <c r="H1025" s="293"/>
      <c r="I1025" s="293"/>
      <c r="J1025" s="293"/>
      <c r="K1025" s="416"/>
    </row>
    <row r="1026">
      <c r="A1026" s="416"/>
      <c r="B1026" s="293"/>
      <c r="C1026" s="417"/>
      <c r="D1026" s="291"/>
      <c r="E1026" s="293"/>
      <c r="F1026" s="417"/>
      <c r="G1026" s="293"/>
      <c r="H1026" s="293"/>
      <c r="I1026" s="293"/>
      <c r="J1026" s="293"/>
      <c r="K1026" s="416"/>
    </row>
    <row r="1027">
      <c r="A1027" s="416"/>
      <c r="B1027" s="293"/>
      <c r="C1027" s="417"/>
      <c r="D1027" s="291"/>
      <c r="E1027" s="293"/>
      <c r="F1027" s="417"/>
      <c r="G1027" s="293"/>
      <c r="H1027" s="293"/>
      <c r="I1027" s="293"/>
      <c r="J1027" s="293"/>
      <c r="K1027" s="416"/>
    </row>
    <row r="1028">
      <c r="A1028" s="416"/>
      <c r="B1028" s="293"/>
      <c r="C1028" s="417"/>
      <c r="D1028" s="291"/>
      <c r="E1028" s="293"/>
      <c r="F1028" s="417"/>
      <c r="G1028" s="293"/>
      <c r="H1028" s="293"/>
      <c r="I1028" s="293"/>
      <c r="J1028" s="293"/>
      <c r="K1028" s="416"/>
    </row>
    <row r="1029">
      <c r="A1029" s="416"/>
      <c r="B1029" s="293"/>
      <c r="C1029" s="417"/>
      <c r="D1029" s="291"/>
      <c r="E1029" s="293"/>
      <c r="F1029" s="417"/>
      <c r="G1029" s="293"/>
      <c r="H1029" s="293"/>
      <c r="I1029" s="293"/>
      <c r="J1029" s="293"/>
      <c r="K1029" s="416"/>
    </row>
    <row r="1030">
      <c r="A1030" s="416"/>
      <c r="B1030" s="293"/>
      <c r="C1030" s="417"/>
      <c r="D1030" s="291"/>
      <c r="E1030" s="293"/>
      <c r="F1030" s="417"/>
      <c r="G1030" s="293"/>
      <c r="H1030" s="293"/>
      <c r="I1030" s="293"/>
      <c r="J1030" s="293"/>
      <c r="K1030" s="416"/>
    </row>
    <row r="1031">
      <c r="A1031" s="416"/>
      <c r="B1031" s="293"/>
      <c r="C1031" s="417"/>
      <c r="D1031" s="291"/>
      <c r="E1031" s="293"/>
      <c r="F1031" s="417"/>
      <c r="G1031" s="293"/>
      <c r="H1031" s="293"/>
      <c r="I1031" s="293"/>
      <c r="J1031" s="293"/>
      <c r="K1031" s="416"/>
    </row>
    <row r="1032">
      <c r="A1032" s="416"/>
      <c r="B1032" s="293"/>
      <c r="C1032" s="417"/>
      <c r="D1032" s="291"/>
      <c r="E1032" s="293"/>
      <c r="F1032" s="417"/>
      <c r="G1032" s="293"/>
      <c r="H1032" s="293"/>
      <c r="I1032" s="293"/>
      <c r="J1032" s="293"/>
      <c r="K1032" s="416"/>
    </row>
    <row r="1033">
      <c r="A1033" s="416"/>
      <c r="B1033" s="293"/>
      <c r="C1033" s="417"/>
      <c r="D1033" s="291"/>
      <c r="E1033" s="293"/>
      <c r="F1033" s="417"/>
      <c r="G1033" s="293"/>
      <c r="H1033" s="293"/>
      <c r="I1033" s="293"/>
      <c r="J1033" s="293"/>
      <c r="K1033" s="416"/>
    </row>
    <row r="1034">
      <c r="A1034" s="416"/>
      <c r="B1034" s="293"/>
      <c r="C1034" s="417"/>
      <c r="D1034" s="291"/>
      <c r="E1034" s="293"/>
      <c r="F1034" s="417"/>
      <c r="G1034" s="293"/>
      <c r="H1034" s="293"/>
      <c r="I1034" s="293"/>
      <c r="J1034" s="293"/>
      <c r="K1034" s="416"/>
    </row>
    <row r="1035">
      <c r="A1035" s="416"/>
      <c r="B1035" s="293"/>
      <c r="C1035" s="417"/>
      <c r="D1035" s="291"/>
      <c r="E1035" s="293"/>
      <c r="F1035" s="417"/>
      <c r="G1035" s="293"/>
      <c r="H1035" s="293"/>
      <c r="I1035" s="293"/>
      <c r="J1035" s="293"/>
      <c r="K1035" s="416"/>
    </row>
    <row r="1036">
      <c r="A1036" s="416"/>
      <c r="B1036" s="293"/>
      <c r="C1036" s="417"/>
      <c r="D1036" s="291"/>
      <c r="E1036" s="293"/>
      <c r="F1036" s="417"/>
      <c r="G1036" s="293"/>
      <c r="H1036" s="293"/>
      <c r="I1036" s="293"/>
      <c r="J1036" s="293"/>
      <c r="K1036" s="416"/>
    </row>
    <row r="1037">
      <c r="A1037" s="416"/>
      <c r="B1037" s="293"/>
      <c r="C1037" s="417"/>
      <c r="D1037" s="291"/>
      <c r="E1037" s="293"/>
      <c r="F1037" s="417"/>
      <c r="G1037" s="293"/>
      <c r="H1037" s="293"/>
      <c r="I1037" s="293"/>
      <c r="J1037" s="293"/>
      <c r="K1037" s="416"/>
    </row>
    <row r="1038">
      <c r="A1038" s="416"/>
      <c r="B1038" s="293"/>
      <c r="C1038" s="417"/>
      <c r="D1038" s="291"/>
      <c r="E1038" s="293"/>
      <c r="F1038" s="417"/>
      <c r="G1038" s="293"/>
      <c r="H1038" s="293"/>
      <c r="I1038" s="293"/>
      <c r="J1038" s="293"/>
      <c r="K1038" s="416"/>
    </row>
    <row r="1039">
      <c r="A1039" s="416"/>
      <c r="B1039" s="293"/>
      <c r="C1039" s="417"/>
      <c r="D1039" s="291"/>
      <c r="E1039" s="293"/>
      <c r="F1039" s="417"/>
      <c r="G1039" s="293"/>
      <c r="H1039" s="293"/>
      <c r="I1039" s="293"/>
      <c r="J1039" s="293"/>
      <c r="K1039" s="416"/>
    </row>
    <row r="1040">
      <c r="A1040" s="416"/>
      <c r="B1040" s="293"/>
      <c r="C1040" s="417"/>
      <c r="D1040" s="291"/>
      <c r="E1040" s="293"/>
      <c r="F1040" s="417"/>
      <c r="G1040" s="293"/>
      <c r="H1040" s="293"/>
      <c r="I1040" s="293"/>
      <c r="J1040" s="293"/>
      <c r="K1040" s="416"/>
    </row>
    <row r="1041">
      <c r="A1041" s="416"/>
      <c r="B1041" s="293"/>
      <c r="C1041" s="417"/>
      <c r="D1041" s="291"/>
      <c r="E1041" s="293"/>
      <c r="F1041" s="417"/>
      <c r="G1041" s="293"/>
      <c r="H1041" s="293"/>
      <c r="I1041" s="293"/>
      <c r="J1041" s="293"/>
      <c r="K1041" s="416"/>
    </row>
    <row r="1042">
      <c r="A1042" s="416"/>
      <c r="B1042" s="293"/>
      <c r="C1042" s="417"/>
      <c r="D1042" s="291"/>
      <c r="E1042" s="293"/>
      <c r="F1042" s="417"/>
      <c r="G1042" s="293"/>
      <c r="H1042" s="293"/>
      <c r="I1042" s="293"/>
      <c r="J1042" s="293"/>
      <c r="K1042" s="416"/>
    </row>
    <row r="1043">
      <c r="A1043" s="416"/>
      <c r="B1043" s="293"/>
      <c r="C1043" s="417"/>
      <c r="D1043" s="291"/>
      <c r="E1043" s="293"/>
      <c r="F1043" s="417"/>
      <c r="G1043" s="293"/>
      <c r="H1043" s="293"/>
      <c r="I1043" s="293"/>
      <c r="J1043" s="293"/>
      <c r="K1043" s="416"/>
    </row>
    <row r="1044">
      <c r="A1044" s="416"/>
      <c r="B1044" s="293"/>
      <c r="C1044" s="417"/>
      <c r="D1044" s="291"/>
      <c r="E1044" s="293"/>
      <c r="F1044" s="417"/>
      <c r="G1044" s="293"/>
      <c r="H1044" s="293"/>
      <c r="I1044" s="293"/>
      <c r="J1044" s="293"/>
      <c r="K1044" s="416"/>
    </row>
    <row r="1045">
      <c r="A1045" s="416"/>
      <c r="B1045" s="293"/>
      <c r="C1045" s="417"/>
      <c r="D1045" s="291"/>
      <c r="E1045" s="293"/>
      <c r="F1045" s="417"/>
      <c r="G1045" s="293"/>
      <c r="H1045" s="293"/>
      <c r="I1045" s="293"/>
      <c r="J1045" s="293"/>
      <c r="K1045" s="416"/>
    </row>
    <row r="1046">
      <c r="A1046" s="416"/>
      <c r="B1046" s="293"/>
      <c r="C1046" s="417"/>
      <c r="D1046" s="291"/>
      <c r="E1046" s="293"/>
      <c r="F1046" s="417"/>
      <c r="G1046" s="293"/>
      <c r="H1046" s="293"/>
      <c r="I1046" s="293"/>
      <c r="J1046" s="293"/>
      <c r="K1046" s="416"/>
    </row>
    <row r="1047">
      <c r="A1047" s="416"/>
      <c r="B1047" s="293"/>
      <c r="C1047" s="417"/>
      <c r="D1047" s="291"/>
      <c r="E1047" s="293"/>
      <c r="F1047" s="417"/>
      <c r="G1047" s="293"/>
      <c r="H1047" s="293"/>
      <c r="I1047" s="293"/>
      <c r="J1047" s="293"/>
      <c r="K1047" s="416"/>
    </row>
    <row r="1048">
      <c r="A1048" s="416"/>
      <c r="B1048" s="293"/>
      <c r="C1048" s="417"/>
      <c r="D1048" s="291"/>
      <c r="E1048" s="293"/>
      <c r="F1048" s="417"/>
      <c r="G1048" s="293"/>
      <c r="H1048" s="293"/>
      <c r="I1048" s="293"/>
      <c r="J1048" s="293"/>
      <c r="K1048" s="416"/>
    </row>
    <row r="1049">
      <c r="A1049" s="416"/>
      <c r="B1049" s="293"/>
      <c r="C1049" s="417"/>
      <c r="D1049" s="291"/>
      <c r="E1049" s="293"/>
      <c r="F1049" s="417"/>
      <c r="G1049" s="293"/>
      <c r="H1049" s="293"/>
      <c r="I1049" s="293"/>
      <c r="J1049" s="293"/>
      <c r="K1049" s="416"/>
    </row>
    <row r="1050">
      <c r="A1050" s="416"/>
      <c r="B1050" s="293"/>
      <c r="C1050" s="417"/>
      <c r="D1050" s="291"/>
      <c r="E1050" s="293"/>
      <c r="F1050" s="417"/>
      <c r="G1050" s="293"/>
      <c r="H1050" s="293"/>
      <c r="I1050" s="293"/>
      <c r="J1050" s="293"/>
      <c r="K1050" s="416"/>
    </row>
    <row r="1051">
      <c r="A1051" s="416"/>
      <c r="B1051" s="293"/>
      <c r="C1051" s="417"/>
      <c r="D1051" s="291"/>
      <c r="E1051" s="293"/>
      <c r="F1051" s="417"/>
      <c r="G1051" s="293"/>
      <c r="H1051" s="293"/>
      <c r="I1051" s="293"/>
      <c r="J1051" s="293"/>
      <c r="K1051" s="416"/>
    </row>
    <row r="1052">
      <c r="A1052" s="416"/>
      <c r="B1052" s="293"/>
      <c r="C1052" s="417"/>
      <c r="D1052" s="291"/>
      <c r="E1052" s="293"/>
      <c r="F1052" s="417"/>
      <c r="G1052" s="293"/>
      <c r="H1052" s="293"/>
      <c r="I1052" s="293"/>
      <c r="J1052" s="293"/>
      <c r="K1052" s="416"/>
    </row>
    <row r="1053">
      <c r="A1053" s="416"/>
      <c r="B1053" s="293"/>
      <c r="C1053" s="417"/>
      <c r="D1053" s="291"/>
      <c r="E1053" s="293"/>
      <c r="F1053" s="417"/>
      <c r="G1053" s="293"/>
      <c r="H1053" s="293"/>
      <c r="I1053" s="293"/>
      <c r="J1053" s="293"/>
      <c r="K1053" s="416"/>
    </row>
    <row r="1054">
      <c r="A1054" s="416"/>
      <c r="B1054" s="293"/>
      <c r="C1054" s="417"/>
      <c r="D1054" s="291"/>
      <c r="E1054" s="293"/>
      <c r="F1054" s="417"/>
      <c r="G1054" s="293"/>
      <c r="H1054" s="293"/>
      <c r="I1054" s="293"/>
      <c r="J1054" s="293"/>
      <c r="K1054" s="416"/>
    </row>
    <row r="1055">
      <c r="A1055" s="416"/>
      <c r="B1055" s="293"/>
      <c r="C1055" s="417"/>
      <c r="D1055" s="291"/>
      <c r="E1055" s="293"/>
      <c r="F1055" s="417"/>
      <c r="G1055" s="293"/>
      <c r="H1055" s="293"/>
      <c r="I1055" s="293"/>
      <c r="J1055" s="293"/>
      <c r="K1055" s="416"/>
    </row>
    <row r="1056">
      <c r="A1056" s="416"/>
      <c r="B1056" s="293"/>
      <c r="C1056" s="417"/>
      <c r="D1056" s="291"/>
      <c r="E1056" s="293"/>
      <c r="F1056" s="417"/>
      <c r="G1056" s="293"/>
      <c r="H1056" s="293"/>
      <c r="I1056" s="293"/>
      <c r="J1056" s="293"/>
      <c r="K1056" s="416"/>
    </row>
    <row r="1057">
      <c r="A1057" s="416"/>
      <c r="B1057" s="293"/>
      <c r="C1057" s="417"/>
      <c r="D1057" s="291"/>
      <c r="E1057" s="293"/>
      <c r="F1057" s="417"/>
      <c r="G1057" s="293"/>
      <c r="H1057" s="293"/>
      <c r="I1057" s="293"/>
      <c r="J1057" s="293"/>
      <c r="K1057" s="416"/>
    </row>
    <row r="1058">
      <c r="A1058" s="416"/>
      <c r="B1058" s="293"/>
      <c r="C1058" s="417"/>
      <c r="D1058" s="291"/>
      <c r="E1058" s="293"/>
      <c r="F1058" s="417"/>
      <c r="G1058" s="293"/>
      <c r="H1058" s="293"/>
      <c r="I1058" s="293"/>
      <c r="J1058" s="293"/>
      <c r="K1058" s="416"/>
    </row>
    <row r="1059">
      <c r="A1059" s="416"/>
      <c r="B1059" s="293"/>
      <c r="C1059" s="417"/>
      <c r="D1059" s="291"/>
      <c r="E1059" s="293"/>
      <c r="F1059" s="417"/>
      <c r="G1059" s="293"/>
      <c r="H1059" s="293"/>
      <c r="I1059" s="293"/>
      <c r="J1059" s="293"/>
      <c r="K1059" s="416"/>
    </row>
    <row r="1060">
      <c r="A1060" s="416"/>
      <c r="B1060" s="293"/>
      <c r="C1060" s="417"/>
      <c r="D1060" s="291"/>
      <c r="E1060" s="293"/>
      <c r="F1060" s="417"/>
      <c r="G1060" s="293"/>
      <c r="H1060" s="293"/>
      <c r="I1060" s="293"/>
      <c r="J1060" s="293"/>
      <c r="K1060" s="416"/>
    </row>
    <row r="1061">
      <c r="A1061" s="416"/>
      <c r="B1061" s="293"/>
      <c r="C1061" s="417"/>
      <c r="D1061" s="291"/>
      <c r="E1061" s="293"/>
      <c r="F1061" s="417"/>
      <c r="G1061" s="293"/>
      <c r="H1061" s="293"/>
      <c r="I1061" s="293"/>
      <c r="J1061" s="293"/>
      <c r="K1061" s="416"/>
    </row>
    <row r="1062">
      <c r="A1062" s="416"/>
      <c r="B1062" s="293"/>
      <c r="C1062" s="417"/>
      <c r="D1062" s="291"/>
      <c r="E1062" s="293"/>
      <c r="F1062" s="417"/>
      <c r="G1062" s="293"/>
      <c r="H1062" s="293"/>
      <c r="I1062" s="293"/>
      <c r="J1062" s="293"/>
      <c r="K1062" s="416"/>
    </row>
    <row r="1063">
      <c r="A1063" s="416"/>
      <c r="B1063" s="293"/>
      <c r="C1063" s="417"/>
      <c r="D1063" s="291"/>
      <c r="E1063" s="293"/>
      <c r="F1063" s="417"/>
      <c r="G1063" s="293"/>
      <c r="H1063" s="293"/>
      <c r="I1063" s="293"/>
      <c r="J1063" s="293"/>
      <c r="K1063" s="416"/>
    </row>
    <row r="1064">
      <c r="A1064" s="416"/>
      <c r="B1064" s="293"/>
      <c r="C1064" s="417"/>
      <c r="D1064" s="291"/>
      <c r="E1064" s="293"/>
      <c r="F1064" s="417"/>
      <c r="G1064" s="293"/>
      <c r="H1064" s="293"/>
      <c r="I1064" s="293"/>
      <c r="J1064" s="293"/>
      <c r="K1064" s="416"/>
    </row>
    <row r="1065">
      <c r="A1065" s="416"/>
      <c r="B1065" s="293"/>
      <c r="C1065" s="417"/>
      <c r="D1065" s="291"/>
      <c r="E1065" s="293"/>
      <c r="F1065" s="417"/>
      <c r="G1065" s="293"/>
      <c r="H1065" s="293"/>
      <c r="I1065" s="293"/>
      <c r="J1065" s="293"/>
      <c r="K1065" s="416"/>
    </row>
    <row r="1066">
      <c r="A1066" s="416"/>
      <c r="B1066" s="293"/>
      <c r="C1066" s="417"/>
      <c r="D1066" s="291"/>
      <c r="E1066" s="293"/>
      <c r="F1066" s="417"/>
      <c r="G1066" s="293"/>
      <c r="H1066" s="293"/>
      <c r="I1066" s="293"/>
      <c r="J1066" s="293"/>
      <c r="K1066" s="416"/>
    </row>
    <row r="1067">
      <c r="A1067" s="416"/>
      <c r="B1067" s="293"/>
      <c r="C1067" s="417"/>
      <c r="D1067" s="291"/>
      <c r="E1067" s="293"/>
      <c r="F1067" s="417"/>
      <c r="G1067" s="293"/>
      <c r="H1067" s="293"/>
      <c r="I1067" s="293"/>
      <c r="J1067" s="293"/>
      <c r="K1067" s="416"/>
    </row>
    <row r="1068">
      <c r="A1068" s="416"/>
      <c r="B1068" s="293"/>
      <c r="C1068" s="417"/>
      <c r="D1068" s="291"/>
      <c r="E1068" s="293"/>
      <c r="F1068" s="417"/>
      <c r="G1068" s="293"/>
      <c r="H1068" s="293"/>
      <c r="I1068" s="293"/>
      <c r="J1068" s="293"/>
      <c r="K1068" s="416"/>
    </row>
    <row r="1069">
      <c r="A1069" s="416"/>
      <c r="B1069" s="293"/>
      <c r="C1069" s="417"/>
      <c r="D1069" s="291"/>
      <c r="E1069" s="293"/>
      <c r="F1069" s="417"/>
      <c r="G1069" s="293"/>
      <c r="H1069" s="293"/>
      <c r="I1069" s="293"/>
      <c r="J1069" s="293"/>
      <c r="K1069" s="416"/>
    </row>
    <row r="1070">
      <c r="A1070" s="416"/>
      <c r="B1070" s="293"/>
      <c r="C1070" s="417"/>
      <c r="D1070" s="291"/>
      <c r="E1070" s="293"/>
      <c r="F1070" s="417"/>
      <c r="G1070" s="293"/>
      <c r="H1070" s="293"/>
      <c r="I1070" s="293"/>
      <c r="J1070" s="293"/>
      <c r="K1070" s="416"/>
    </row>
    <row r="1071">
      <c r="A1071" s="416"/>
      <c r="B1071" s="293"/>
      <c r="C1071" s="417"/>
      <c r="D1071" s="291"/>
      <c r="E1071" s="293"/>
      <c r="F1071" s="417"/>
      <c r="G1071" s="293"/>
      <c r="H1071" s="293"/>
      <c r="I1071" s="293"/>
      <c r="J1071" s="293"/>
      <c r="K1071" s="416"/>
    </row>
    <row r="1072">
      <c r="A1072" s="416"/>
      <c r="B1072" s="293"/>
      <c r="C1072" s="417"/>
      <c r="D1072" s="291"/>
      <c r="E1072" s="293"/>
      <c r="F1072" s="417"/>
      <c r="G1072" s="293"/>
      <c r="H1072" s="293"/>
      <c r="I1072" s="293"/>
      <c r="J1072" s="293"/>
      <c r="K1072" s="416"/>
    </row>
    <row r="1073">
      <c r="A1073" s="416"/>
      <c r="B1073" s="293"/>
      <c r="C1073" s="417"/>
      <c r="D1073" s="291"/>
      <c r="E1073" s="293"/>
      <c r="F1073" s="417"/>
      <c r="G1073" s="293"/>
      <c r="H1073" s="293"/>
      <c r="I1073" s="293"/>
      <c r="J1073" s="293"/>
      <c r="K1073" s="416"/>
    </row>
    <row r="1074">
      <c r="A1074" s="416"/>
      <c r="B1074" s="293"/>
      <c r="C1074" s="417"/>
      <c r="D1074" s="291"/>
      <c r="E1074" s="293"/>
      <c r="F1074" s="417"/>
      <c r="G1074" s="293"/>
      <c r="H1074" s="293"/>
      <c r="I1074" s="293"/>
      <c r="J1074" s="293"/>
      <c r="K1074" s="416"/>
    </row>
    <row r="1075">
      <c r="A1075" s="416"/>
      <c r="B1075" s="293"/>
      <c r="C1075" s="417"/>
      <c r="D1075" s="291"/>
      <c r="E1075" s="293"/>
      <c r="F1075" s="417"/>
      <c r="G1075" s="293"/>
      <c r="H1075" s="293"/>
      <c r="I1075" s="293"/>
      <c r="J1075" s="293"/>
      <c r="K1075" s="416"/>
    </row>
    <row r="1076">
      <c r="A1076" s="416"/>
      <c r="B1076" s="293"/>
      <c r="C1076" s="417"/>
      <c r="D1076" s="291"/>
      <c r="E1076" s="293"/>
      <c r="F1076" s="417"/>
      <c r="G1076" s="293"/>
      <c r="H1076" s="293"/>
      <c r="I1076" s="293"/>
      <c r="J1076" s="293"/>
      <c r="K1076" s="416"/>
    </row>
    <row r="1077">
      <c r="A1077" s="416"/>
      <c r="B1077" s="293"/>
      <c r="C1077" s="417"/>
      <c r="D1077" s="291"/>
      <c r="E1077" s="293"/>
      <c r="F1077" s="417"/>
      <c r="G1077" s="293"/>
      <c r="H1077" s="293"/>
      <c r="I1077" s="293"/>
      <c r="J1077" s="293"/>
      <c r="K1077" s="416"/>
    </row>
    <row r="1078">
      <c r="A1078" s="416"/>
      <c r="B1078" s="293"/>
      <c r="C1078" s="417"/>
      <c r="D1078" s="291"/>
      <c r="E1078" s="293"/>
      <c r="F1078" s="417"/>
      <c r="G1078" s="293"/>
      <c r="H1078" s="293"/>
      <c r="I1078" s="293"/>
      <c r="J1078" s="293"/>
      <c r="K1078" s="416"/>
    </row>
    <row r="1079">
      <c r="A1079" s="416"/>
      <c r="B1079" s="293"/>
      <c r="C1079" s="417"/>
      <c r="D1079" s="291"/>
      <c r="E1079" s="293"/>
      <c r="F1079" s="417"/>
      <c r="G1079" s="293"/>
      <c r="H1079" s="293"/>
      <c r="I1079" s="293"/>
      <c r="J1079" s="293"/>
      <c r="K1079" s="416"/>
    </row>
    <row r="1080">
      <c r="A1080" s="416"/>
      <c r="B1080" s="293"/>
      <c r="C1080" s="417"/>
      <c r="D1080" s="291"/>
      <c r="E1080" s="293"/>
      <c r="F1080" s="417"/>
      <c r="G1080" s="293"/>
      <c r="H1080" s="293"/>
      <c r="I1080" s="293"/>
      <c r="J1080" s="293"/>
      <c r="K1080" s="416"/>
    </row>
    <row r="1081">
      <c r="A1081" s="416"/>
      <c r="B1081" s="293"/>
      <c r="C1081" s="417"/>
      <c r="D1081" s="291"/>
      <c r="E1081" s="293"/>
      <c r="F1081" s="417"/>
      <c r="G1081" s="293"/>
      <c r="H1081" s="293"/>
      <c r="I1081" s="293"/>
      <c r="J1081" s="293"/>
      <c r="K1081" s="416"/>
    </row>
    <row r="1082">
      <c r="A1082" s="416"/>
      <c r="B1082" s="293"/>
      <c r="C1082" s="417"/>
      <c r="D1082" s="291"/>
      <c r="E1082" s="293"/>
      <c r="F1082" s="417"/>
      <c r="G1082" s="293"/>
      <c r="H1082" s="293"/>
      <c r="I1082" s="293"/>
      <c r="J1082" s="293"/>
      <c r="K1082" s="416"/>
    </row>
    <row r="1083">
      <c r="A1083" s="416"/>
      <c r="B1083" s="293"/>
      <c r="C1083" s="417"/>
      <c r="D1083" s="291"/>
      <c r="E1083" s="293"/>
      <c r="F1083" s="417"/>
      <c r="G1083" s="293"/>
      <c r="H1083" s="293"/>
      <c r="I1083" s="293"/>
      <c r="J1083" s="293"/>
      <c r="K1083" s="416"/>
    </row>
    <row r="1084">
      <c r="A1084" s="416"/>
      <c r="B1084" s="293"/>
      <c r="C1084" s="417"/>
      <c r="D1084" s="291"/>
      <c r="E1084" s="293"/>
      <c r="F1084" s="417"/>
      <c r="G1084" s="293"/>
      <c r="H1084" s="293"/>
      <c r="I1084" s="293"/>
      <c r="J1084" s="293"/>
      <c r="K1084" s="416"/>
    </row>
    <row r="1085">
      <c r="A1085" s="416"/>
      <c r="B1085" s="293"/>
      <c r="C1085" s="417"/>
      <c r="D1085" s="291"/>
      <c r="E1085" s="293"/>
      <c r="F1085" s="417"/>
      <c r="G1085" s="293"/>
      <c r="H1085" s="293"/>
      <c r="I1085" s="293"/>
      <c r="J1085" s="293"/>
      <c r="K1085" s="416"/>
    </row>
    <row r="1086">
      <c r="A1086" s="416"/>
      <c r="B1086" s="293"/>
      <c r="C1086" s="417"/>
      <c r="D1086" s="291"/>
      <c r="E1086" s="293"/>
      <c r="F1086" s="417"/>
      <c r="G1086" s="293"/>
      <c r="H1086" s="293"/>
      <c r="I1086" s="293"/>
      <c r="J1086" s="293"/>
      <c r="K1086" s="416"/>
    </row>
    <row r="1087">
      <c r="A1087" s="416"/>
      <c r="B1087" s="293"/>
      <c r="C1087" s="417"/>
      <c r="D1087" s="291"/>
      <c r="E1087" s="293"/>
      <c r="F1087" s="417"/>
      <c r="G1087" s="293"/>
      <c r="H1087" s="293"/>
      <c r="I1087" s="293"/>
      <c r="J1087" s="293"/>
      <c r="K1087" s="416"/>
    </row>
    <row r="1088">
      <c r="A1088" s="416"/>
      <c r="B1088" s="293"/>
      <c r="C1088" s="417"/>
      <c r="D1088" s="291"/>
      <c r="E1088" s="293"/>
      <c r="F1088" s="417"/>
      <c r="G1088" s="293"/>
      <c r="H1088" s="293"/>
      <c r="I1088" s="293"/>
      <c r="J1088" s="293"/>
      <c r="K1088" s="416"/>
    </row>
    <row r="1089">
      <c r="A1089" s="416"/>
      <c r="B1089" s="293"/>
      <c r="C1089" s="417"/>
      <c r="D1089" s="291"/>
      <c r="E1089" s="293"/>
      <c r="F1089" s="417"/>
      <c r="G1089" s="293"/>
      <c r="H1089" s="293"/>
      <c r="I1089" s="293"/>
      <c r="J1089" s="293"/>
      <c r="K1089" s="416"/>
    </row>
    <row r="1090">
      <c r="A1090" s="416"/>
      <c r="B1090" s="293"/>
      <c r="C1090" s="417"/>
      <c r="D1090" s="291"/>
      <c r="E1090" s="293"/>
      <c r="F1090" s="417"/>
      <c r="G1090" s="293"/>
      <c r="H1090" s="293"/>
      <c r="I1090" s="293"/>
      <c r="J1090" s="293"/>
      <c r="K1090" s="416"/>
    </row>
    <row r="1091">
      <c r="A1091" s="416"/>
      <c r="B1091" s="293"/>
      <c r="C1091" s="417"/>
      <c r="D1091" s="291"/>
      <c r="E1091" s="293"/>
      <c r="F1091" s="417"/>
      <c r="G1091" s="293"/>
      <c r="H1091" s="293"/>
      <c r="I1091" s="293"/>
      <c r="J1091" s="293"/>
      <c r="K1091" s="416"/>
    </row>
    <row r="1092">
      <c r="A1092" s="416"/>
      <c r="B1092" s="293"/>
      <c r="C1092" s="417"/>
      <c r="D1092" s="291"/>
      <c r="E1092" s="293"/>
      <c r="F1092" s="417"/>
      <c r="G1092" s="293"/>
      <c r="H1092" s="293"/>
      <c r="I1092" s="293"/>
      <c r="J1092" s="293"/>
      <c r="K1092" s="416"/>
    </row>
    <row r="1093">
      <c r="A1093" s="416"/>
      <c r="B1093" s="293"/>
      <c r="C1093" s="417"/>
      <c r="D1093" s="291"/>
      <c r="E1093" s="293"/>
      <c r="F1093" s="417"/>
      <c r="G1093" s="293"/>
      <c r="H1093" s="293"/>
      <c r="I1093" s="293"/>
      <c r="J1093" s="293"/>
      <c r="K1093" s="416"/>
    </row>
    <row r="1094">
      <c r="A1094" s="416"/>
      <c r="B1094" s="293"/>
      <c r="C1094" s="417"/>
      <c r="D1094" s="291"/>
      <c r="E1094" s="293"/>
      <c r="F1094" s="417"/>
      <c r="G1094" s="293"/>
      <c r="H1094" s="293"/>
      <c r="I1094" s="293"/>
      <c r="J1094" s="293"/>
      <c r="K1094" s="416"/>
    </row>
    <row r="1095">
      <c r="A1095" s="416"/>
      <c r="B1095" s="293"/>
      <c r="C1095" s="417"/>
      <c r="D1095" s="291"/>
      <c r="E1095" s="293"/>
      <c r="F1095" s="417"/>
      <c r="G1095" s="293"/>
      <c r="H1095" s="293"/>
      <c r="I1095" s="293"/>
      <c r="J1095" s="293"/>
      <c r="K1095" s="416"/>
    </row>
    <row r="1096">
      <c r="A1096" s="416"/>
      <c r="B1096" s="293"/>
      <c r="C1096" s="417"/>
      <c r="D1096" s="291"/>
      <c r="E1096" s="293"/>
      <c r="F1096" s="417"/>
      <c r="G1096" s="293"/>
      <c r="H1096" s="293"/>
      <c r="I1096" s="293"/>
      <c r="J1096" s="293"/>
      <c r="K1096" s="416"/>
    </row>
    <row r="1097">
      <c r="A1097" s="416"/>
      <c r="B1097" s="293"/>
      <c r="C1097" s="417"/>
      <c r="D1097" s="291"/>
      <c r="E1097" s="293"/>
      <c r="F1097" s="417"/>
      <c r="G1097" s="293"/>
      <c r="H1097" s="293"/>
      <c r="I1097" s="293"/>
      <c r="J1097" s="293"/>
      <c r="K1097" s="416"/>
    </row>
    <row r="1098">
      <c r="A1098" s="416"/>
      <c r="B1098" s="293"/>
      <c r="C1098" s="417"/>
      <c r="D1098" s="291"/>
      <c r="E1098" s="293"/>
      <c r="F1098" s="417"/>
      <c r="G1098" s="293"/>
      <c r="H1098" s="293"/>
      <c r="I1098" s="293"/>
      <c r="J1098" s="293"/>
      <c r="K1098" s="416"/>
    </row>
    <row r="1099">
      <c r="A1099" s="416"/>
      <c r="B1099" s="293"/>
      <c r="C1099" s="417"/>
      <c r="D1099" s="291"/>
      <c r="E1099" s="293"/>
      <c r="F1099" s="417"/>
      <c r="G1099" s="293"/>
      <c r="H1099" s="293"/>
      <c r="I1099" s="293"/>
      <c r="J1099" s="293"/>
      <c r="K1099" s="416"/>
    </row>
    <row r="1100">
      <c r="A1100" s="416"/>
      <c r="B1100" s="293"/>
      <c r="C1100" s="417"/>
      <c r="D1100" s="291"/>
      <c r="E1100" s="293"/>
      <c r="F1100" s="417"/>
      <c r="G1100" s="293"/>
      <c r="H1100" s="293"/>
      <c r="I1100" s="293"/>
      <c r="J1100" s="293"/>
      <c r="K1100" s="416"/>
    </row>
    <row r="1101">
      <c r="A1101" s="416"/>
      <c r="B1101" s="293"/>
      <c r="C1101" s="417"/>
      <c r="D1101" s="291"/>
      <c r="E1101" s="293"/>
      <c r="F1101" s="417"/>
      <c r="G1101" s="293"/>
      <c r="H1101" s="293"/>
      <c r="I1101" s="293"/>
      <c r="J1101" s="293"/>
      <c r="K1101" s="416"/>
    </row>
    <row r="1102">
      <c r="A1102" s="416"/>
      <c r="B1102" s="293"/>
      <c r="C1102" s="417"/>
      <c r="D1102" s="291"/>
      <c r="E1102" s="293"/>
      <c r="F1102" s="417"/>
      <c r="G1102" s="293"/>
      <c r="H1102" s="293"/>
      <c r="I1102" s="293"/>
      <c r="J1102" s="293"/>
      <c r="K1102" s="416"/>
    </row>
  </sheetData>
  <mergeCells count="17">
    <mergeCell ref="J3:J4"/>
    <mergeCell ref="K3:K4"/>
    <mergeCell ref="L3:P3"/>
    <mergeCell ref="Q3:Q4"/>
    <mergeCell ref="R3:V3"/>
    <mergeCell ref="W3:W4"/>
    <mergeCell ref="A6:V6"/>
    <mergeCell ref="A28:V28"/>
    <mergeCell ref="A74:V74"/>
    <mergeCell ref="A111:V111"/>
    <mergeCell ref="A1:W1"/>
    <mergeCell ref="A3:A4"/>
    <mergeCell ref="B3:C3"/>
    <mergeCell ref="D3:F3"/>
    <mergeCell ref="G3:G4"/>
    <mergeCell ref="H3:H4"/>
    <mergeCell ref="I3:I4"/>
  </mergeCells>
  <conditionalFormatting sqref="K7:AB27 L29:L73 L75:P110 L112:V124 M29:Q68 M70:Q73 Q75:Q90 Q92:Q110 R29:V73 R75:V110 W29:W68 W70:W73 W75:W90 W97">
    <cfRule type="cellIs" dxfId="4" priority="1" operator="equal">
      <formula>"Y"</formula>
    </cfRule>
  </conditionalFormatting>
  <conditionalFormatting sqref="K7:AB27 L29:L73 L75:P110 L112:V124 M29:Q68 M70:Q73 Q75:Q90 Q92:Q110 R29:V73 R75:V110 W29:W68 W70:W73 W75:W90 W97">
    <cfRule type="cellIs" dxfId="1" priority="2" operator="equal">
      <formula>"T"</formula>
    </cfRule>
  </conditionalFormatting>
  <dataValidations>
    <dataValidation type="list" allowBlank="1" showErrorMessage="1" sqref="C7:C27 F7:F27 K7:AB27 L29:P68 R29:W68 L69 R69:V69 L70:P73 R70:W73 R75:W90 L75:P110 R91:V110 L112:P124 R112:V124">
      <formula1>"Y,T"</formula1>
    </dataValidation>
  </dataValidations>
  <printOptions horizontalCentered="1"/>
  <pageMargins bottom="0.3937007874015748" footer="0.0" header="0.0" left="0.3937007874015748" right="0.3937007874015748" top="0.3937007874015748"/>
  <pageSetup fitToHeight="0" paperSize="9" orientation="landscape"/>
  <headerFooter>
    <oddHeader>&amp;RLampiran 2</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ySplit="6.0" topLeftCell="A7" activePane="bottomLeft" state="frozen"/>
      <selection activeCell="B8" sqref="B8" pane="bottomLeft"/>
    </sheetView>
  </sheetViews>
  <sheetFormatPr customHeight="1" defaultColWidth="11.22" defaultRowHeight="15.0"/>
  <cols>
    <col customWidth="1" min="2" max="2" width="27.0"/>
    <col customWidth="1" min="3" max="3" width="24.33"/>
    <col customWidth="1" min="4" max="4" width="18.33"/>
    <col customWidth="1" min="5" max="5" width="21.67"/>
    <col customWidth="1" min="6" max="6" width="21.56"/>
    <col customWidth="1" min="7" max="7" width="24.33"/>
    <col customWidth="1" min="8" max="8" width="21.89"/>
    <col customWidth="1" min="9" max="9" width="19.78"/>
    <col customWidth="1" min="10" max="10" width="23.33"/>
    <col customWidth="1" min="12" max="12" width="26.56"/>
    <col customWidth="1" min="13" max="13" width="19.44"/>
    <col customWidth="1" min="15" max="18" width="14.0"/>
    <col customWidth="1" min="19" max="19" width="51.22"/>
    <col customWidth="1" min="20" max="23" width="14.0"/>
    <col customWidth="1" min="24" max="24" width="51.22"/>
  </cols>
  <sheetData>
    <row r="1" ht="26.25" customHeight="1">
      <c r="A1" s="418" t="s">
        <v>1338</v>
      </c>
      <c r="B1" s="419"/>
      <c r="C1" s="419"/>
      <c r="D1" s="419"/>
      <c r="E1" s="419"/>
      <c r="F1" s="419"/>
      <c r="G1" s="419"/>
      <c r="H1" s="419"/>
      <c r="I1" s="419"/>
      <c r="J1" s="419"/>
      <c r="K1" s="419"/>
      <c r="L1" s="419"/>
      <c r="M1" s="419"/>
      <c r="N1" s="419"/>
      <c r="O1" s="419"/>
      <c r="P1" s="419"/>
      <c r="Q1" s="419"/>
      <c r="R1" s="419"/>
      <c r="S1" s="419"/>
      <c r="T1" s="420"/>
      <c r="U1" s="326"/>
      <c r="V1" s="326"/>
      <c r="W1" s="326"/>
      <c r="X1" s="326"/>
    </row>
    <row r="2" ht="22.5" customHeight="1">
      <c r="A2" s="421" t="s">
        <v>1339</v>
      </c>
      <c r="S2" s="422"/>
      <c r="T2" s="423"/>
      <c r="U2" s="326"/>
      <c r="V2" s="326"/>
      <c r="W2" s="326"/>
      <c r="X2" s="326"/>
    </row>
    <row r="3">
      <c r="A3" s="424" t="s">
        <v>1340</v>
      </c>
      <c r="B3" s="425"/>
      <c r="C3" s="424"/>
      <c r="D3" s="425"/>
      <c r="E3" s="425"/>
      <c r="F3" s="424"/>
      <c r="G3" s="426"/>
      <c r="H3" s="425"/>
      <c r="I3" s="425"/>
      <c r="J3" s="427"/>
      <c r="K3" s="424"/>
      <c r="L3" s="428"/>
      <c r="M3" s="428"/>
      <c r="N3" s="426"/>
      <c r="O3" s="424"/>
      <c r="P3" s="425"/>
      <c r="Q3" s="424"/>
      <c r="R3" s="424"/>
      <c r="S3" s="429"/>
      <c r="T3" s="423"/>
      <c r="U3" s="326"/>
      <c r="V3" s="326"/>
      <c r="W3" s="326"/>
      <c r="X3" s="326"/>
    </row>
    <row r="4">
      <c r="A4" s="430" t="s">
        <v>286</v>
      </c>
      <c r="B4" s="431" t="s">
        <v>1341</v>
      </c>
      <c r="C4" s="345"/>
      <c r="D4" s="432" t="s">
        <v>987</v>
      </c>
      <c r="E4" s="344"/>
      <c r="F4" s="345"/>
      <c r="G4" s="433" t="s">
        <v>990</v>
      </c>
      <c r="H4" s="344"/>
      <c r="I4" s="344"/>
      <c r="J4" s="345"/>
      <c r="K4" s="434" t="s">
        <v>286</v>
      </c>
      <c r="L4" s="434" t="s">
        <v>1342</v>
      </c>
      <c r="M4" s="434" t="s">
        <v>991</v>
      </c>
      <c r="N4" s="435" t="s">
        <v>289</v>
      </c>
      <c r="O4" s="436"/>
      <c r="P4" s="212"/>
      <c r="Q4" s="212"/>
      <c r="R4" s="213"/>
      <c r="S4" s="437" t="s">
        <v>297</v>
      </c>
      <c r="T4" s="438" t="s">
        <v>1343</v>
      </c>
      <c r="U4" s="344"/>
      <c r="V4" s="344"/>
      <c r="W4" s="345"/>
      <c r="X4" s="439" t="s">
        <v>297</v>
      </c>
    </row>
    <row r="5">
      <c r="A5" s="440"/>
      <c r="B5" s="441" t="s">
        <v>287</v>
      </c>
      <c r="C5" s="441" t="s">
        <v>293</v>
      </c>
      <c r="D5" s="442" t="s">
        <v>994</v>
      </c>
      <c r="E5" s="442" t="s">
        <v>995</v>
      </c>
      <c r="F5" s="442" t="s">
        <v>996</v>
      </c>
      <c r="G5" s="443" t="s">
        <v>988</v>
      </c>
      <c r="H5" s="444" t="s">
        <v>989</v>
      </c>
      <c r="I5" s="444" t="s">
        <v>1344</v>
      </c>
      <c r="J5" s="444" t="s">
        <v>1345</v>
      </c>
      <c r="K5" s="440"/>
      <c r="L5" s="440"/>
      <c r="M5" s="440"/>
      <c r="N5" s="440"/>
      <c r="O5" s="445" t="s">
        <v>1346</v>
      </c>
      <c r="P5" s="445" t="s">
        <v>294</v>
      </c>
      <c r="Q5" s="445" t="s">
        <v>295</v>
      </c>
      <c r="R5" s="445" t="s">
        <v>296</v>
      </c>
      <c r="S5" s="446"/>
      <c r="T5" s="447" t="s">
        <v>1346</v>
      </c>
      <c r="U5" s="448" t="s">
        <v>294</v>
      </c>
      <c r="V5" s="448" t="s">
        <v>295</v>
      </c>
      <c r="W5" s="448" t="s">
        <v>296</v>
      </c>
      <c r="X5" s="446"/>
    </row>
    <row r="6">
      <c r="A6" s="449">
        <f>0+1</f>
        <v>1</v>
      </c>
      <c r="B6" s="450">
        <f t="shared" ref="B6:S6" si="1">A6+1</f>
        <v>2</v>
      </c>
      <c r="C6" s="450">
        <f t="shared" si="1"/>
        <v>3</v>
      </c>
      <c r="D6" s="451">
        <f t="shared" si="1"/>
        <v>4</v>
      </c>
      <c r="E6" s="451">
        <f t="shared" si="1"/>
        <v>5</v>
      </c>
      <c r="F6" s="451">
        <f t="shared" si="1"/>
        <v>6</v>
      </c>
      <c r="G6" s="443">
        <f t="shared" si="1"/>
        <v>7</v>
      </c>
      <c r="H6" s="449">
        <f t="shared" si="1"/>
        <v>8</v>
      </c>
      <c r="I6" s="449">
        <f t="shared" si="1"/>
        <v>9</v>
      </c>
      <c r="J6" s="444">
        <f t="shared" si="1"/>
        <v>10</v>
      </c>
      <c r="K6" s="452">
        <f t="shared" si="1"/>
        <v>11</v>
      </c>
      <c r="L6" s="445">
        <f t="shared" si="1"/>
        <v>12</v>
      </c>
      <c r="M6" s="445">
        <f t="shared" si="1"/>
        <v>13</v>
      </c>
      <c r="N6" s="453">
        <f t="shared" si="1"/>
        <v>14</v>
      </c>
      <c r="O6" s="452">
        <f t="shared" si="1"/>
        <v>15</v>
      </c>
      <c r="P6" s="452">
        <f t="shared" si="1"/>
        <v>16</v>
      </c>
      <c r="Q6" s="452">
        <f t="shared" si="1"/>
        <v>17</v>
      </c>
      <c r="R6" s="452">
        <f t="shared" si="1"/>
        <v>18</v>
      </c>
      <c r="S6" s="454">
        <f t="shared" si="1"/>
        <v>19</v>
      </c>
      <c r="T6" s="455">
        <v>15.0</v>
      </c>
      <c r="U6" s="456">
        <v>16.0</v>
      </c>
      <c r="V6" s="456">
        <f t="shared" ref="V6:X6" si="2">U6+1</f>
        <v>17</v>
      </c>
      <c r="W6" s="456">
        <f t="shared" si="2"/>
        <v>18</v>
      </c>
      <c r="X6" s="457">
        <f t="shared" si="2"/>
        <v>19</v>
      </c>
    </row>
    <row r="7">
      <c r="A7" s="458" t="s">
        <v>999</v>
      </c>
      <c r="B7" s="344"/>
      <c r="C7" s="344"/>
      <c r="D7" s="344"/>
      <c r="E7" s="344"/>
      <c r="F7" s="344"/>
      <c r="G7" s="344"/>
      <c r="H7" s="344"/>
      <c r="I7" s="344"/>
      <c r="J7" s="344"/>
      <c r="K7" s="344"/>
      <c r="L7" s="344"/>
      <c r="M7" s="344"/>
      <c r="N7" s="344"/>
      <c r="O7" s="344"/>
      <c r="P7" s="344"/>
      <c r="Q7" s="344"/>
      <c r="R7" s="344"/>
      <c r="S7" s="344"/>
      <c r="T7" s="344"/>
      <c r="U7" s="344"/>
      <c r="V7" s="344"/>
      <c r="W7" s="345"/>
      <c r="X7" s="459"/>
      <c r="Y7" s="347"/>
      <c r="Z7" s="347"/>
    </row>
    <row r="8">
      <c r="A8" s="406">
        <v>1.0</v>
      </c>
      <c r="B8" s="387" t="s">
        <v>327</v>
      </c>
      <c r="C8" s="387"/>
      <c r="D8" s="387" t="s">
        <v>1000</v>
      </c>
      <c r="E8" s="403" t="s">
        <v>1001</v>
      </c>
      <c r="F8" s="403"/>
      <c r="G8" s="387" t="s">
        <v>1347</v>
      </c>
      <c r="H8" s="403" t="s">
        <v>1003</v>
      </c>
      <c r="I8" s="387" t="s">
        <v>1038</v>
      </c>
      <c r="J8" s="406" t="s">
        <v>301</v>
      </c>
      <c r="K8" s="407"/>
      <c r="L8" s="460" t="s">
        <v>1348</v>
      </c>
      <c r="M8" s="460" t="s">
        <v>1348</v>
      </c>
      <c r="N8" s="387" t="s">
        <v>1349</v>
      </c>
      <c r="O8" s="381" t="s">
        <v>301</v>
      </c>
      <c r="P8" s="381" t="s">
        <v>301</v>
      </c>
      <c r="Q8" s="381" t="s">
        <v>301</v>
      </c>
      <c r="R8" s="381" t="s">
        <v>301</v>
      </c>
      <c r="S8" s="461"/>
      <c r="T8" s="381" t="s">
        <v>301</v>
      </c>
      <c r="U8" s="381" t="s">
        <v>301</v>
      </c>
      <c r="V8" s="381" t="s">
        <v>301</v>
      </c>
      <c r="W8" s="381" t="s">
        <v>301</v>
      </c>
      <c r="X8" s="462" t="s">
        <v>1350</v>
      </c>
    </row>
    <row r="9">
      <c r="A9" s="400">
        <v>2.0</v>
      </c>
      <c r="B9" s="397" t="s">
        <v>327</v>
      </c>
      <c r="C9" s="397"/>
      <c r="D9" s="397" t="s">
        <v>1000</v>
      </c>
      <c r="E9" s="397" t="s">
        <v>1001</v>
      </c>
      <c r="F9" s="397"/>
      <c r="G9" s="380" t="s">
        <v>1002</v>
      </c>
      <c r="H9" s="397" t="s">
        <v>1003</v>
      </c>
      <c r="I9" s="380" t="s">
        <v>1004</v>
      </c>
      <c r="J9" s="400" t="s">
        <v>301</v>
      </c>
      <c r="K9" s="401"/>
      <c r="L9" s="463" t="s">
        <v>1351</v>
      </c>
      <c r="M9" s="463" t="s">
        <v>1351</v>
      </c>
      <c r="N9" s="380" t="s">
        <v>1352</v>
      </c>
      <c r="O9" s="373" t="s">
        <v>301</v>
      </c>
      <c r="P9" s="373" t="s">
        <v>301</v>
      </c>
      <c r="Q9" s="373" t="s">
        <v>301</v>
      </c>
      <c r="R9" s="373" t="s">
        <v>301</v>
      </c>
      <c r="S9" s="461"/>
      <c r="T9" s="373" t="s">
        <v>301</v>
      </c>
      <c r="U9" s="373" t="s">
        <v>301</v>
      </c>
      <c r="V9" s="373" t="s">
        <v>301</v>
      </c>
      <c r="W9" s="373" t="s">
        <v>301</v>
      </c>
      <c r="X9" s="462" t="s">
        <v>1121</v>
      </c>
    </row>
    <row r="10">
      <c r="A10" s="406">
        <v>3.0</v>
      </c>
      <c r="B10" s="403" t="s">
        <v>327</v>
      </c>
      <c r="C10" s="403"/>
      <c r="D10" s="403" t="s">
        <v>1000</v>
      </c>
      <c r="E10" s="403" t="s">
        <v>1001</v>
      </c>
      <c r="F10" s="403"/>
      <c r="G10" s="387" t="s">
        <v>1002</v>
      </c>
      <c r="H10" s="403" t="s">
        <v>1003</v>
      </c>
      <c r="I10" s="387" t="s">
        <v>1004</v>
      </c>
      <c r="J10" s="406" t="s">
        <v>301</v>
      </c>
      <c r="K10" s="407"/>
      <c r="L10" s="460" t="s">
        <v>1353</v>
      </c>
      <c r="M10" s="460" t="s">
        <v>1353</v>
      </c>
      <c r="N10" s="387" t="s">
        <v>1354</v>
      </c>
      <c r="O10" s="381" t="s">
        <v>301</v>
      </c>
      <c r="P10" s="381" t="s">
        <v>301</v>
      </c>
      <c r="Q10" s="381" t="s">
        <v>301</v>
      </c>
      <c r="R10" s="381" t="s">
        <v>301</v>
      </c>
      <c r="S10" s="461"/>
      <c r="T10" s="381" t="s">
        <v>301</v>
      </c>
      <c r="U10" s="381" t="s">
        <v>301</v>
      </c>
      <c r="V10" s="381" t="s">
        <v>301</v>
      </c>
      <c r="W10" s="381" t="s">
        <v>301</v>
      </c>
      <c r="X10" s="462" t="s">
        <v>1121</v>
      </c>
    </row>
    <row r="11">
      <c r="A11" s="400">
        <v>4.0</v>
      </c>
      <c r="B11" s="397" t="s">
        <v>327</v>
      </c>
      <c r="C11" s="397"/>
      <c r="D11" s="397" t="s">
        <v>1000</v>
      </c>
      <c r="E11" s="397" t="s">
        <v>1001</v>
      </c>
      <c r="F11" s="397"/>
      <c r="G11" s="380" t="s">
        <v>1002</v>
      </c>
      <c r="H11" s="397" t="s">
        <v>1003</v>
      </c>
      <c r="I11" s="380" t="s">
        <v>1004</v>
      </c>
      <c r="J11" s="400" t="s">
        <v>301</v>
      </c>
      <c r="K11" s="401"/>
      <c r="L11" s="463" t="s">
        <v>1355</v>
      </c>
      <c r="M11" s="399" t="s">
        <v>1355</v>
      </c>
      <c r="N11" s="380" t="s">
        <v>1356</v>
      </c>
      <c r="O11" s="373" t="s">
        <v>301</v>
      </c>
      <c r="P11" s="373" t="s">
        <v>301</v>
      </c>
      <c r="Q11" s="373" t="s">
        <v>301</v>
      </c>
      <c r="R11" s="373" t="s">
        <v>301</v>
      </c>
      <c r="S11" s="461"/>
      <c r="T11" s="373" t="s">
        <v>301</v>
      </c>
      <c r="U11" s="373" t="s">
        <v>301</v>
      </c>
      <c r="V11" s="373" t="s">
        <v>301</v>
      </c>
      <c r="W11" s="373" t="s">
        <v>301</v>
      </c>
      <c r="X11" s="462" t="s">
        <v>1121</v>
      </c>
    </row>
    <row r="12">
      <c r="A12" s="406">
        <v>5.0</v>
      </c>
      <c r="B12" s="403" t="s">
        <v>327</v>
      </c>
      <c r="C12" s="403"/>
      <c r="D12" s="403" t="s">
        <v>1000</v>
      </c>
      <c r="E12" s="403" t="s">
        <v>1001</v>
      </c>
      <c r="F12" s="403"/>
      <c r="G12" s="387" t="s">
        <v>1002</v>
      </c>
      <c r="H12" s="403" t="s">
        <v>1003</v>
      </c>
      <c r="I12" s="387" t="s">
        <v>1004</v>
      </c>
      <c r="J12" s="406" t="s">
        <v>301</v>
      </c>
      <c r="K12" s="407"/>
      <c r="L12" s="460" t="s">
        <v>1357</v>
      </c>
      <c r="M12" s="405" t="s">
        <v>1357</v>
      </c>
      <c r="N12" s="387" t="s">
        <v>1356</v>
      </c>
      <c r="O12" s="381" t="s">
        <v>301</v>
      </c>
      <c r="P12" s="381" t="s">
        <v>301</v>
      </c>
      <c r="Q12" s="381" t="s">
        <v>301</v>
      </c>
      <c r="R12" s="381" t="s">
        <v>301</v>
      </c>
      <c r="S12" s="461"/>
      <c r="T12" s="381" t="s">
        <v>301</v>
      </c>
      <c r="U12" s="381" t="s">
        <v>301</v>
      </c>
      <c r="V12" s="381" t="s">
        <v>301</v>
      </c>
      <c r="W12" s="381" t="s">
        <v>301</v>
      </c>
      <c r="X12" s="462" t="s">
        <v>1121</v>
      </c>
    </row>
    <row r="13">
      <c r="A13" s="400">
        <v>6.0</v>
      </c>
      <c r="B13" s="397" t="s">
        <v>327</v>
      </c>
      <c r="C13" s="397"/>
      <c r="D13" s="397" t="s">
        <v>1000</v>
      </c>
      <c r="E13" s="397" t="s">
        <v>1001</v>
      </c>
      <c r="F13" s="397"/>
      <c r="G13" s="380" t="s">
        <v>1002</v>
      </c>
      <c r="H13" s="397" t="s">
        <v>1003</v>
      </c>
      <c r="I13" s="380" t="s">
        <v>1004</v>
      </c>
      <c r="J13" s="400" t="s">
        <v>301</v>
      </c>
      <c r="K13" s="401"/>
      <c r="L13" s="463" t="s">
        <v>1358</v>
      </c>
      <c r="M13" s="463" t="s">
        <v>1358</v>
      </c>
      <c r="N13" s="380" t="s">
        <v>1359</v>
      </c>
      <c r="O13" s="373" t="s">
        <v>301</v>
      </c>
      <c r="P13" s="373" t="s">
        <v>301</v>
      </c>
      <c r="Q13" s="373" t="s">
        <v>301</v>
      </c>
      <c r="R13" s="373" t="s">
        <v>301</v>
      </c>
      <c r="S13" s="461"/>
      <c r="T13" s="373" t="s">
        <v>301</v>
      </c>
      <c r="U13" s="373" t="s">
        <v>301</v>
      </c>
      <c r="V13" s="373" t="s">
        <v>301</v>
      </c>
      <c r="W13" s="373" t="s">
        <v>301</v>
      </c>
      <c r="X13" s="462" t="s">
        <v>1121</v>
      </c>
    </row>
    <row r="14">
      <c r="A14" s="406">
        <v>7.0</v>
      </c>
      <c r="B14" s="403" t="s">
        <v>327</v>
      </c>
      <c r="C14" s="403"/>
      <c r="D14" s="403" t="s">
        <v>1000</v>
      </c>
      <c r="E14" s="403" t="s">
        <v>1001</v>
      </c>
      <c r="F14" s="403"/>
      <c r="G14" s="387" t="s">
        <v>1002</v>
      </c>
      <c r="H14" s="403" t="s">
        <v>1003</v>
      </c>
      <c r="I14" s="387" t="s">
        <v>1004</v>
      </c>
      <c r="J14" s="406" t="s">
        <v>301</v>
      </c>
      <c r="K14" s="407"/>
      <c r="L14" s="460" t="s">
        <v>1360</v>
      </c>
      <c r="M14" s="460" t="s">
        <v>1360</v>
      </c>
      <c r="N14" s="387" t="s">
        <v>1359</v>
      </c>
      <c r="O14" s="381" t="s">
        <v>301</v>
      </c>
      <c r="P14" s="381" t="s">
        <v>301</v>
      </c>
      <c r="Q14" s="381" t="s">
        <v>301</v>
      </c>
      <c r="R14" s="381" t="s">
        <v>301</v>
      </c>
      <c r="S14" s="461"/>
      <c r="T14" s="381" t="s">
        <v>301</v>
      </c>
      <c r="U14" s="381" t="s">
        <v>301</v>
      </c>
      <c r="V14" s="381" t="s">
        <v>301</v>
      </c>
      <c r="W14" s="381" t="s">
        <v>301</v>
      </c>
      <c r="X14" s="283" t="s">
        <v>1361</v>
      </c>
    </row>
    <row r="15">
      <c r="A15" s="400">
        <v>8.0</v>
      </c>
      <c r="B15" s="397" t="s">
        <v>327</v>
      </c>
      <c r="C15" s="397"/>
      <c r="D15" s="397" t="s">
        <v>1000</v>
      </c>
      <c r="E15" s="397" t="s">
        <v>1001</v>
      </c>
      <c r="F15" s="397"/>
      <c r="G15" s="380" t="s">
        <v>1002</v>
      </c>
      <c r="H15" s="397" t="s">
        <v>1003</v>
      </c>
      <c r="I15" s="380" t="s">
        <v>1004</v>
      </c>
      <c r="J15" s="400" t="s">
        <v>301</v>
      </c>
      <c r="K15" s="401"/>
      <c r="L15" s="463" t="s">
        <v>1362</v>
      </c>
      <c r="M15" s="463" t="s">
        <v>1362</v>
      </c>
      <c r="N15" s="380" t="s">
        <v>1359</v>
      </c>
      <c r="O15" s="373" t="s">
        <v>301</v>
      </c>
      <c r="P15" s="373" t="s">
        <v>301</v>
      </c>
      <c r="Q15" s="373" t="s">
        <v>301</v>
      </c>
      <c r="R15" s="373" t="s">
        <v>301</v>
      </c>
      <c r="S15" s="461"/>
      <c r="T15" s="373" t="s">
        <v>301</v>
      </c>
      <c r="U15" s="373" t="s">
        <v>301</v>
      </c>
      <c r="V15" s="373" t="s">
        <v>301</v>
      </c>
      <c r="W15" s="373" t="s">
        <v>301</v>
      </c>
      <c r="X15" s="462" t="s">
        <v>1121</v>
      </c>
    </row>
    <row r="16">
      <c r="A16" s="406">
        <v>9.0</v>
      </c>
      <c r="B16" s="403" t="s">
        <v>327</v>
      </c>
      <c r="C16" s="403"/>
      <c r="D16" s="403" t="s">
        <v>1000</v>
      </c>
      <c r="E16" s="403" t="s">
        <v>1001</v>
      </c>
      <c r="F16" s="403"/>
      <c r="G16" s="387" t="s">
        <v>1002</v>
      </c>
      <c r="H16" s="403" t="s">
        <v>1003</v>
      </c>
      <c r="I16" s="387" t="s">
        <v>1004</v>
      </c>
      <c r="J16" s="406" t="s">
        <v>301</v>
      </c>
      <c r="K16" s="407"/>
      <c r="L16" s="460" t="s">
        <v>1363</v>
      </c>
      <c r="M16" s="405" t="s">
        <v>1363</v>
      </c>
      <c r="N16" s="387" t="s">
        <v>1359</v>
      </c>
      <c r="O16" s="381" t="s">
        <v>301</v>
      </c>
      <c r="P16" s="381" t="s">
        <v>301</v>
      </c>
      <c r="Q16" s="381" t="s">
        <v>301</v>
      </c>
      <c r="R16" s="381" t="s">
        <v>301</v>
      </c>
      <c r="S16" s="461"/>
      <c r="T16" s="381" t="s">
        <v>301</v>
      </c>
      <c r="U16" s="381" t="s">
        <v>301</v>
      </c>
      <c r="V16" s="381" t="s">
        <v>301</v>
      </c>
      <c r="W16" s="381" t="s">
        <v>301</v>
      </c>
      <c r="X16" s="462" t="s">
        <v>1121</v>
      </c>
    </row>
    <row r="17">
      <c r="A17" s="400">
        <v>10.0</v>
      </c>
      <c r="B17" s="397" t="s">
        <v>327</v>
      </c>
      <c r="C17" s="397"/>
      <c r="D17" s="397" t="s">
        <v>1000</v>
      </c>
      <c r="E17" s="397" t="s">
        <v>1001</v>
      </c>
      <c r="F17" s="397"/>
      <c r="G17" s="380" t="s">
        <v>1002</v>
      </c>
      <c r="H17" s="397" t="s">
        <v>1003</v>
      </c>
      <c r="I17" s="380" t="s">
        <v>1004</v>
      </c>
      <c r="J17" s="400" t="s">
        <v>301</v>
      </c>
      <c r="K17" s="401"/>
      <c r="L17" s="463" t="s">
        <v>1364</v>
      </c>
      <c r="M17" s="399" t="s">
        <v>1364</v>
      </c>
      <c r="N17" s="380" t="s">
        <v>1359</v>
      </c>
      <c r="O17" s="373" t="s">
        <v>301</v>
      </c>
      <c r="P17" s="373" t="s">
        <v>301</v>
      </c>
      <c r="Q17" s="373" t="s">
        <v>301</v>
      </c>
      <c r="R17" s="373" t="s">
        <v>301</v>
      </c>
      <c r="S17" s="464"/>
      <c r="T17" s="373" t="s">
        <v>301</v>
      </c>
      <c r="U17" s="373" t="s">
        <v>301</v>
      </c>
      <c r="V17" s="373" t="s">
        <v>301</v>
      </c>
      <c r="W17" s="373" t="s">
        <v>301</v>
      </c>
      <c r="X17" s="283" t="s">
        <v>1121</v>
      </c>
    </row>
    <row r="18">
      <c r="A18" s="406">
        <v>11.0</v>
      </c>
      <c r="B18" s="403" t="s">
        <v>327</v>
      </c>
      <c r="C18" s="403"/>
      <c r="D18" s="403" t="s">
        <v>1000</v>
      </c>
      <c r="E18" s="403" t="s">
        <v>1001</v>
      </c>
      <c r="F18" s="403"/>
      <c r="G18" s="387" t="s">
        <v>1002</v>
      </c>
      <c r="H18" s="403" t="s">
        <v>1003</v>
      </c>
      <c r="I18" s="387" t="s">
        <v>1004</v>
      </c>
      <c r="J18" s="406" t="s">
        <v>301</v>
      </c>
      <c r="K18" s="407"/>
      <c r="L18" s="460" t="s">
        <v>1365</v>
      </c>
      <c r="M18" s="405" t="s">
        <v>1365</v>
      </c>
      <c r="N18" s="387" t="s">
        <v>1366</v>
      </c>
      <c r="O18" s="381" t="s">
        <v>301</v>
      </c>
      <c r="P18" s="381" t="s">
        <v>301</v>
      </c>
      <c r="Q18" s="381" t="s">
        <v>301</v>
      </c>
      <c r="R18" s="381" t="s">
        <v>301</v>
      </c>
      <c r="S18" s="464"/>
      <c r="T18" s="381" t="s">
        <v>301</v>
      </c>
      <c r="U18" s="381" t="s">
        <v>301</v>
      </c>
      <c r="V18" s="381" t="s">
        <v>301</v>
      </c>
      <c r="W18" s="381" t="s">
        <v>301</v>
      </c>
      <c r="X18" s="283" t="s">
        <v>1121</v>
      </c>
    </row>
    <row r="19">
      <c r="A19" s="400">
        <v>12.0</v>
      </c>
      <c r="B19" s="397" t="s">
        <v>327</v>
      </c>
      <c r="C19" s="397"/>
      <c r="D19" s="397" t="s">
        <v>1000</v>
      </c>
      <c r="E19" s="397" t="s">
        <v>1001</v>
      </c>
      <c r="F19" s="397"/>
      <c r="G19" s="380" t="s">
        <v>1002</v>
      </c>
      <c r="H19" s="397" t="s">
        <v>1003</v>
      </c>
      <c r="I19" s="380" t="s">
        <v>1004</v>
      </c>
      <c r="J19" s="400" t="s">
        <v>301</v>
      </c>
      <c r="K19" s="401"/>
      <c r="L19" s="463" t="s">
        <v>1367</v>
      </c>
      <c r="M19" s="399" t="s">
        <v>1367</v>
      </c>
      <c r="N19" s="380" t="s">
        <v>1366</v>
      </c>
      <c r="O19" s="373" t="s">
        <v>301</v>
      </c>
      <c r="P19" s="373" t="s">
        <v>301</v>
      </c>
      <c r="Q19" s="373" t="s">
        <v>301</v>
      </c>
      <c r="R19" s="373" t="s">
        <v>301</v>
      </c>
      <c r="S19" s="464"/>
      <c r="T19" s="373" t="s">
        <v>301</v>
      </c>
      <c r="U19" s="373" t="s">
        <v>301</v>
      </c>
      <c r="V19" s="373" t="s">
        <v>301</v>
      </c>
      <c r="W19" s="373" t="s">
        <v>301</v>
      </c>
      <c r="X19" s="283" t="s">
        <v>1121</v>
      </c>
    </row>
    <row r="20">
      <c r="A20" s="406">
        <v>13.0</v>
      </c>
      <c r="B20" s="403" t="s">
        <v>327</v>
      </c>
      <c r="C20" s="403"/>
      <c r="D20" s="403" t="s">
        <v>1000</v>
      </c>
      <c r="E20" s="465" t="s">
        <v>1045</v>
      </c>
      <c r="F20" s="403"/>
      <c r="G20" s="387" t="s">
        <v>1002</v>
      </c>
      <c r="H20" s="403" t="s">
        <v>1003</v>
      </c>
      <c r="I20" s="387" t="s">
        <v>1368</v>
      </c>
      <c r="J20" s="406" t="s">
        <v>301</v>
      </c>
      <c r="K20" s="407"/>
      <c r="L20" s="460" t="s">
        <v>1369</v>
      </c>
      <c r="M20" s="460" t="s">
        <v>1369</v>
      </c>
      <c r="N20" s="387" t="s">
        <v>1370</v>
      </c>
      <c r="O20" s="381" t="s">
        <v>301</v>
      </c>
      <c r="P20" s="381" t="s">
        <v>301</v>
      </c>
      <c r="Q20" s="381" t="s">
        <v>301</v>
      </c>
      <c r="R20" s="381" t="s">
        <v>301</v>
      </c>
      <c r="S20" s="461"/>
      <c r="T20" s="381" t="s">
        <v>301</v>
      </c>
      <c r="U20" s="381" t="s">
        <v>301</v>
      </c>
      <c r="V20" s="381" t="s">
        <v>301</v>
      </c>
      <c r="W20" s="381" t="s">
        <v>301</v>
      </c>
      <c r="X20" s="283" t="s">
        <v>1121</v>
      </c>
    </row>
    <row r="21">
      <c r="A21" s="400">
        <v>14.0</v>
      </c>
      <c r="B21" s="397" t="s">
        <v>327</v>
      </c>
      <c r="C21" s="397"/>
      <c r="D21" s="397" t="s">
        <v>1000</v>
      </c>
      <c r="E21" s="466" t="s">
        <v>1045</v>
      </c>
      <c r="F21" s="397"/>
      <c r="G21" s="380" t="s">
        <v>1002</v>
      </c>
      <c r="H21" s="397" t="s">
        <v>1003</v>
      </c>
      <c r="I21" s="380" t="s">
        <v>1368</v>
      </c>
      <c r="J21" s="400" t="s">
        <v>301</v>
      </c>
      <c r="K21" s="401"/>
      <c r="L21" s="463" t="s">
        <v>1371</v>
      </c>
      <c r="M21" s="463" t="s">
        <v>1371</v>
      </c>
      <c r="N21" s="380" t="s">
        <v>1372</v>
      </c>
      <c r="O21" s="373" t="s">
        <v>301</v>
      </c>
      <c r="P21" s="373" t="s">
        <v>301</v>
      </c>
      <c r="Q21" s="373" t="s">
        <v>301</v>
      </c>
      <c r="R21" s="373" t="s">
        <v>301</v>
      </c>
      <c r="S21" s="461"/>
      <c r="T21" s="373" t="s">
        <v>301</v>
      </c>
      <c r="U21" s="373" t="s">
        <v>301</v>
      </c>
      <c r="V21" s="373" t="s">
        <v>301</v>
      </c>
      <c r="W21" s="373" t="s">
        <v>301</v>
      </c>
      <c r="X21" s="283"/>
    </row>
    <row r="22">
      <c r="A22" s="406">
        <v>15.0</v>
      </c>
      <c r="B22" s="403" t="s">
        <v>327</v>
      </c>
      <c r="C22" s="403"/>
      <c r="D22" s="403" t="s">
        <v>1000</v>
      </c>
      <c r="E22" s="403" t="s">
        <v>1001</v>
      </c>
      <c r="F22" s="403"/>
      <c r="G22" s="387" t="s">
        <v>1018</v>
      </c>
      <c r="H22" s="403" t="s">
        <v>1003</v>
      </c>
      <c r="I22" s="387" t="s">
        <v>1373</v>
      </c>
      <c r="J22" s="406" t="s">
        <v>301</v>
      </c>
      <c r="K22" s="407"/>
      <c r="L22" s="460" t="s">
        <v>1374</v>
      </c>
      <c r="M22" s="405" t="s">
        <v>1374</v>
      </c>
      <c r="N22" s="387" t="s">
        <v>1375</v>
      </c>
      <c r="O22" s="381" t="s">
        <v>301</v>
      </c>
      <c r="P22" s="381" t="s">
        <v>301</v>
      </c>
      <c r="Q22" s="381" t="s">
        <v>301</v>
      </c>
      <c r="R22" s="381" t="s">
        <v>301</v>
      </c>
      <c r="S22" s="461"/>
      <c r="T22" s="381" t="s">
        <v>301</v>
      </c>
      <c r="U22" s="381" t="s">
        <v>301</v>
      </c>
      <c r="V22" s="381" t="s">
        <v>301</v>
      </c>
      <c r="W22" s="381" t="s">
        <v>301</v>
      </c>
      <c r="X22" s="283"/>
    </row>
    <row r="23">
      <c r="A23" s="400">
        <v>16.0</v>
      </c>
      <c r="B23" s="397" t="s">
        <v>327</v>
      </c>
      <c r="C23" s="397"/>
      <c r="D23" s="397" t="s">
        <v>1000</v>
      </c>
      <c r="E23" s="397" t="s">
        <v>1001</v>
      </c>
      <c r="F23" s="397"/>
      <c r="G23" s="380" t="s">
        <v>1018</v>
      </c>
      <c r="H23" s="397" t="s">
        <v>1003</v>
      </c>
      <c r="I23" s="380" t="s">
        <v>1373</v>
      </c>
      <c r="J23" s="400" t="s">
        <v>301</v>
      </c>
      <c r="K23" s="401"/>
      <c r="L23" s="463" t="s">
        <v>1376</v>
      </c>
      <c r="M23" s="463" t="s">
        <v>1376</v>
      </c>
      <c r="N23" s="380" t="s">
        <v>1377</v>
      </c>
      <c r="O23" s="373" t="s">
        <v>301</v>
      </c>
      <c r="P23" s="373" t="s">
        <v>301</v>
      </c>
      <c r="Q23" s="373" t="s">
        <v>301</v>
      </c>
      <c r="R23" s="373" t="s">
        <v>301</v>
      </c>
      <c r="S23" s="461"/>
      <c r="T23" s="373" t="s">
        <v>301</v>
      </c>
      <c r="U23" s="373" t="s">
        <v>301</v>
      </c>
      <c r="V23" s="373" t="s">
        <v>301</v>
      </c>
      <c r="W23" s="373" t="s">
        <v>301</v>
      </c>
      <c r="X23" s="283"/>
    </row>
    <row r="24">
      <c r="A24" s="406">
        <v>17.0</v>
      </c>
      <c r="B24" s="403" t="s">
        <v>327</v>
      </c>
      <c r="C24" s="403"/>
      <c r="D24" s="403" t="s">
        <v>1000</v>
      </c>
      <c r="E24" s="403" t="s">
        <v>1001</v>
      </c>
      <c r="F24" s="403"/>
      <c r="G24" s="387" t="s">
        <v>1018</v>
      </c>
      <c r="H24" s="403" t="s">
        <v>1003</v>
      </c>
      <c r="I24" s="387" t="s">
        <v>1373</v>
      </c>
      <c r="J24" s="406" t="s">
        <v>301</v>
      </c>
      <c r="K24" s="407"/>
      <c r="L24" s="460" t="s">
        <v>1378</v>
      </c>
      <c r="M24" s="460" t="s">
        <v>1378</v>
      </c>
      <c r="N24" s="387" t="s">
        <v>1356</v>
      </c>
      <c r="O24" s="381" t="s">
        <v>301</v>
      </c>
      <c r="P24" s="381" t="s">
        <v>301</v>
      </c>
      <c r="Q24" s="381" t="s">
        <v>301</v>
      </c>
      <c r="R24" s="381" t="s">
        <v>301</v>
      </c>
      <c r="S24" s="461"/>
      <c r="T24" s="381" t="s">
        <v>301</v>
      </c>
      <c r="U24" s="381" t="s">
        <v>301</v>
      </c>
      <c r="V24" s="381" t="s">
        <v>301</v>
      </c>
      <c r="W24" s="381" t="s">
        <v>301</v>
      </c>
      <c r="X24" s="283"/>
    </row>
    <row r="25">
      <c r="A25" s="400">
        <v>18.0</v>
      </c>
      <c r="B25" s="397" t="s">
        <v>327</v>
      </c>
      <c r="C25" s="397"/>
      <c r="D25" s="397" t="s">
        <v>1000</v>
      </c>
      <c r="E25" s="397" t="s">
        <v>1001</v>
      </c>
      <c r="F25" s="397"/>
      <c r="G25" s="380" t="s">
        <v>1018</v>
      </c>
      <c r="H25" s="397" t="s">
        <v>1003</v>
      </c>
      <c r="I25" s="380" t="s">
        <v>1373</v>
      </c>
      <c r="J25" s="400" t="s">
        <v>301</v>
      </c>
      <c r="K25" s="401"/>
      <c r="L25" s="463" t="s">
        <v>1379</v>
      </c>
      <c r="M25" s="463" t="s">
        <v>1379</v>
      </c>
      <c r="N25" s="380" t="s">
        <v>1380</v>
      </c>
      <c r="O25" s="373" t="s">
        <v>301</v>
      </c>
      <c r="P25" s="373" t="s">
        <v>301</v>
      </c>
      <c r="Q25" s="373" t="s">
        <v>301</v>
      </c>
      <c r="R25" s="373" t="s">
        <v>301</v>
      </c>
      <c r="S25" s="461"/>
      <c r="T25" s="373" t="s">
        <v>301</v>
      </c>
      <c r="U25" s="373" t="s">
        <v>301</v>
      </c>
      <c r="V25" s="373" t="s">
        <v>301</v>
      </c>
      <c r="W25" s="373" t="s">
        <v>301</v>
      </c>
      <c r="X25" s="283" t="s">
        <v>1121</v>
      </c>
    </row>
    <row r="26">
      <c r="A26" s="406">
        <v>19.0</v>
      </c>
      <c r="B26" s="403" t="s">
        <v>327</v>
      </c>
      <c r="C26" s="403"/>
      <c r="D26" s="403" t="s">
        <v>1000</v>
      </c>
      <c r="E26" s="403" t="s">
        <v>1001</v>
      </c>
      <c r="F26" s="403"/>
      <c r="G26" s="387" t="s">
        <v>1018</v>
      </c>
      <c r="H26" s="403" t="s">
        <v>1003</v>
      </c>
      <c r="I26" s="387" t="s">
        <v>1373</v>
      </c>
      <c r="J26" s="406" t="s">
        <v>301</v>
      </c>
      <c r="K26" s="407"/>
      <c r="L26" s="460" t="s">
        <v>1381</v>
      </c>
      <c r="M26" s="405" t="s">
        <v>1381</v>
      </c>
      <c r="N26" s="387" t="s">
        <v>1382</v>
      </c>
      <c r="O26" s="381" t="s">
        <v>301</v>
      </c>
      <c r="P26" s="381" t="s">
        <v>301</v>
      </c>
      <c r="Q26" s="381" t="s">
        <v>301</v>
      </c>
      <c r="R26" s="381" t="s">
        <v>301</v>
      </c>
      <c r="S26" s="461"/>
      <c r="T26" s="381" t="s">
        <v>301</v>
      </c>
      <c r="U26" s="381" t="s">
        <v>301</v>
      </c>
      <c r="V26" s="381" t="s">
        <v>301</v>
      </c>
      <c r="W26" s="381" t="s">
        <v>301</v>
      </c>
      <c r="X26" s="283" t="s">
        <v>1091</v>
      </c>
    </row>
    <row r="27">
      <c r="A27" s="400">
        <v>20.0</v>
      </c>
      <c r="B27" s="397" t="s">
        <v>327</v>
      </c>
      <c r="C27" s="397"/>
      <c r="D27" s="397" t="s">
        <v>1000</v>
      </c>
      <c r="E27" s="397" t="s">
        <v>1001</v>
      </c>
      <c r="F27" s="397"/>
      <c r="G27" s="380" t="s">
        <v>1018</v>
      </c>
      <c r="H27" s="397" t="s">
        <v>1003</v>
      </c>
      <c r="I27" s="380" t="s">
        <v>1373</v>
      </c>
      <c r="J27" s="400" t="s">
        <v>301</v>
      </c>
      <c r="K27" s="401"/>
      <c r="L27" s="463" t="s">
        <v>1383</v>
      </c>
      <c r="M27" s="399" t="s">
        <v>1383</v>
      </c>
      <c r="N27" s="380" t="s">
        <v>1384</v>
      </c>
      <c r="O27" s="373" t="s">
        <v>301</v>
      </c>
      <c r="P27" s="373" t="s">
        <v>301</v>
      </c>
      <c r="Q27" s="373" t="s">
        <v>301</v>
      </c>
      <c r="R27" s="373" t="s">
        <v>301</v>
      </c>
      <c r="S27" s="461"/>
      <c r="T27" s="373" t="s">
        <v>301</v>
      </c>
      <c r="U27" s="373" t="s">
        <v>301</v>
      </c>
      <c r="V27" s="373" t="s">
        <v>301</v>
      </c>
      <c r="W27" s="373" t="s">
        <v>301</v>
      </c>
      <c r="X27" s="283" t="s">
        <v>1091</v>
      </c>
    </row>
    <row r="28">
      <c r="A28" s="406">
        <v>21.0</v>
      </c>
      <c r="B28" s="403" t="s">
        <v>327</v>
      </c>
      <c r="C28" s="403"/>
      <c r="D28" s="403" t="s">
        <v>1000</v>
      </c>
      <c r="E28" s="403" t="s">
        <v>1001</v>
      </c>
      <c r="F28" s="403"/>
      <c r="G28" s="387" t="s">
        <v>1018</v>
      </c>
      <c r="H28" s="403" t="s">
        <v>1003</v>
      </c>
      <c r="I28" s="387" t="s">
        <v>1373</v>
      </c>
      <c r="J28" s="406" t="s">
        <v>301</v>
      </c>
      <c r="K28" s="407"/>
      <c r="L28" s="460" t="s">
        <v>1385</v>
      </c>
      <c r="M28" s="405" t="s">
        <v>1385</v>
      </c>
      <c r="N28" s="387" t="s">
        <v>1386</v>
      </c>
      <c r="O28" s="381" t="s">
        <v>301</v>
      </c>
      <c r="P28" s="381" t="s">
        <v>301</v>
      </c>
      <c r="Q28" s="381" t="s">
        <v>301</v>
      </c>
      <c r="R28" s="381" t="s">
        <v>301</v>
      </c>
      <c r="S28" s="461"/>
      <c r="T28" s="381" t="s">
        <v>301</v>
      </c>
      <c r="U28" s="381" t="s">
        <v>301</v>
      </c>
      <c r="V28" s="381" t="s">
        <v>301</v>
      </c>
      <c r="W28" s="381" t="s">
        <v>301</v>
      </c>
      <c r="X28" s="283"/>
    </row>
    <row r="29">
      <c r="A29" s="400">
        <v>22.0</v>
      </c>
      <c r="B29" s="397" t="s">
        <v>327</v>
      </c>
      <c r="C29" s="397"/>
      <c r="D29" s="397" t="s">
        <v>1000</v>
      </c>
      <c r="E29" s="397" t="s">
        <v>1001</v>
      </c>
      <c r="F29" s="397"/>
      <c r="G29" s="380" t="s">
        <v>1018</v>
      </c>
      <c r="H29" s="397" t="s">
        <v>1003</v>
      </c>
      <c r="I29" s="380" t="s">
        <v>1373</v>
      </c>
      <c r="J29" s="400" t="s">
        <v>301</v>
      </c>
      <c r="K29" s="401"/>
      <c r="L29" s="463" t="s">
        <v>1387</v>
      </c>
      <c r="M29" s="399" t="s">
        <v>1387</v>
      </c>
      <c r="N29" s="380" t="s">
        <v>1382</v>
      </c>
      <c r="O29" s="373" t="s">
        <v>301</v>
      </c>
      <c r="P29" s="373" t="s">
        <v>301</v>
      </c>
      <c r="Q29" s="373" t="s">
        <v>301</v>
      </c>
      <c r="R29" s="373" t="s">
        <v>301</v>
      </c>
      <c r="S29" s="461"/>
      <c r="T29" s="373" t="s">
        <v>301</v>
      </c>
      <c r="U29" s="373" t="s">
        <v>301</v>
      </c>
      <c r="V29" s="373" t="s">
        <v>301</v>
      </c>
      <c r="W29" s="373" t="s">
        <v>301</v>
      </c>
      <c r="X29" s="283" t="s">
        <v>1091</v>
      </c>
    </row>
    <row r="30">
      <c r="A30" s="406">
        <v>23.0</v>
      </c>
      <c r="B30" s="403" t="s">
        <v>327</v>
      </c>
      <c r="C30" s="403"/>
      <c r="D30" s="403" t="s">
        <v>1000</v>
      </c>
      <c r="E30" s="403" t="s">
        <v>1001</v>
      </c>
      <c r="F30" s="403"/>
      <c r="G30" s="387" t="s">
        <v>1018</v>
      </c>
      <c r="H30" s="403" t="s">
        <v>1003</v>
      </c>
      <c r="I30" s="387" t="s">
        <v>1373</v>
      </c>
      <c r="J30" s="406" t="s">
        <v>301</v>
      </c>
      <c r="K30" s="407"/>
      <c r="L30" s="460" t="s">
        <v>1388</v>
      </c>
      <c r="M30" s="405" t="s">
        <v>1388</v>
      </c>
      <c r="N30" s="387" t="s">
        <v>1389</v>
      </c>
      <c r="O30" s="381" t="s">
        <v>301</v>
      </c>
      <c r="P30" s="381" t="s">
        <v>301</v>
      </c>
      <c r="Q30" s="381" t="s">
        <v>301</v>
      </c>
      <c r="R30" s="381" t="s">
        <v>301</v>
      </c>
      <c r="S30" s="461"/>
      <c r="T30" s="381" t="s">
        <v>301</v>
      </c>
      <c r="U30" s="381" t="s">
        <v>301</v>
      </c>
      <c r="V30" s="381" t="s">
        <v>301</v>
      </c>
      <c r="W30" s="381" t="s">
        <v>301</v>
      </c>
      <c r="X30" s="283" t="s">
        <v>1091</v>
      </c>
    </row>
    <row r="31">
      <c r="A31" s="400">
        <v>24.0</v>
      </c>
      <c r="B31" s="397" t="s">
        <v>327</v>
      </c>
      <c r="C31" s="397"/>
      <c r="D31" s="397" t="s">
        <v>1000</v>
      </c>
      <c r="E31" s="397" t="s">
        <v>1001</v>
      </c>
      <c r="F31" s="397"/>
      <c r="G31" s="380" t="s">
        <v>1025</v>
      </c>
      <c r="H31" s="397" t="s">
        <v>1026</v>
      </c>
      <c r="I31" s="380" t="s">
        <v>1027</v>
      </c>
      <c r="J31" s="400" t="s">
        <v>301</v>
      </c>
      <c r="K31" s="401"/>
      <c r="L31" s="463" t="s">
        <v>1390</v>
      </c>
      <c r="M31" s="399" t="s">
        <v>1390</v>
      </c>
      <c r="N31" s="380" t="s">
        <v>1391</v>
      </c>
      <c r="O31" s="373" t="s">
        <v>301</v>
      </c>
      <c r="P31" s="373" t="s">
        <v>301</v>
      </c>
      <c r="Q31" s="373" t="s">
        <v>301</v>
      </c>
      <c r="R31" s="373" t="s">
        <v>301</v>
      </c>
      <c r="S31" s="461"/>
      <c r="T31" s="373" t="s">
        <v>301</v>
      </c>
      <c r="U31" s="373" t="s">
        <v>301</v>
      </c>
      <c r="V31" s="373" t="s">
        <v>301</v>
      </c>
      <c r="W31" s="373" t="s">
        <v>301</v>
      </c>
      <c r="X31" s="283" t="s">
        <v>1091</v>
      </c>
    </row>
    <row r="32">
      <c r="A32" s="406">
        <v>25.0</v>
      </c>
      <c r="B32" s="387" t="s">
        <v>327</v>
      </c>
      <c r="C32" s="403"/>
      <c r="D32" s="403" t="s">
        <v>1000</v>
      </c>
      <c r="E32" s="403" t="s">
        <v>1001</v>
      </c>
      <c r="F32" s="403"/>
      <c r="G32" s="387" t="s">
        <v>1025</v>
      </c>
      <c r="H32" s="403" t="s">
        <v>1026</v>
      </c>
      <c r="I32" s="387" t="s">
        <v>1027</v>
      </c>
      <c r="J32" s="406" t="s">
        <v>301</v>
      </c>
      <c r="K32" s="407"/>
      <c r="L32" s="460" t="s">
        <v>1392</v>
      </c>
      <c r="M32" s="405" t="s">
        <v>1392</v>
      </c>
      <c r="N32" s="387" t="s">
        <v>1393</v>
      </c>
      <c r="O32" s="381" t="s">
        <v>301</v>
      </c>
      <c r="P32" s="381" t="s">
        <v>301</v>
      </c>
      <c r="Q32" s="381" t="s">
        <v>301</v>
      </c>
      <c r="R32" s="381" t="s">
        <v>301</v>
      </c>
      <c r="S32" s="461"/>
      <c r="T32" s="381" t="s">
        <v>301</v>
      </c>
      <c r="U32" s="381" t="s">
        <v>301</v>
      </c>
      <c r="V32" s="381" t="s">
        <v>301</v>
      </c>
      <c r="W32" s="381" t="s">
        <v>301</v>
      </c>
      <c r="X32" s="283" t="s">
        <v>1091</v>
      </c>
    </row>
    <row r="33">
      <c r="A33" s="400">
        <v>26.0</v>
      </c>
      <c r="B33" s="397" t="s">
        <v>327</v>
      </c>
      <c r="C33" s="397"/>
      <c r="D33" s="397" t="s">
        <v>1000</v>
      </c>
      <c r="E33" s="397" t="s">
        <v>1001</v>
      </c>
      <c r="F33" s="397"/>
      <c r="G33" s="380" t="s">
        <v>1025</v>
      </c>
      <c r="H33" s="397" t="s">
        <v>1026</v>
      </c>
      <c r="I33" s="380" t="s">
        <v>1027</v>
      </c>
      <c r="J33" s="400" t="s">
        <v>301</v>
      </c>
      <c r="K33" s="401"/>
      <c r="L33" s="463" t="s">
        <v>1394</v>
      </c>
      <c r="M33" s="399" t="s">
        <v>1394</v>
      </c>
      <c r="N33" s="380" t="s">
        <v>1393</v>
      </c>
      <c r="O33" s="373" t="s">
        <v>301</v>
      </c>
      <c r="P33" s="373" t="s">
        <v>301</v>
      </c>
      <c r="Q33" s="373" t="s">
        <v>301</v>
      </c>
      <c r="R33" s="373" t="s">
        <v>301</v>
      </c>
      <c r="S33" s="461"/>
      <c r="T33" s="373" t="s">
        <v>301</v>
      </c>
      <c r="U33" s="373" t="s">
        <v>301</v>
      </c>
      <c r="V33" s="373" t="s">
        <v>301</v>
      </c>
      <c r="W33" s="373" t="s">
        <v>301</v>
      </c>
      <c r="X33" s="283"/>
    </row>
    <row r="34">
      <c r="A34" s="406">
        <v>27.0</v>
      </c>
      <c r="B34" s="403" t="s">
        <v>327</v>
      </c>
      <c r="C34" s="403"/>
      <c r="D34" s="403" t="s">
        <v>1000</v>
      </c>
      <c r="E34" s="403" t="s">
        <v>1001</v>
      </c>
      <c r="F34" s="403"/>
      <c r="G34" s="387" t="s">
        <v>1025</v>
      </c>
      <c r="H34" s="403" t="s">
        <v>1026</v>
      </c>
      <c r="I34" s="387" t="s">
        <v>1027</v>
      </c>
      <c r="J34" s="406" t="s">
        <v>301</v>
      </c>
      <c r="K34" s="407"/>
      <c r="L34" s="460" t="s">
        <v>1395</v>
      </c>
      <c r="M34" s="405" t="s">
        <v>1395</v>
      </c>
      <c r="N34" s="387" t="s">
        <v>1377</v>
      </c>
      <c r="O34" s="381" t="s">
        <v>301</v>
      </c>
      <c r="P34" s="381" t="s">
        <v>301</v>
      </c>
      <c r="Q34" s="381" t="s">
        <v>301</v>
      </c>
      <c r="R34" s="381" t="s">
        <v>301</v>
      </c>
      <c r="S34" s="461"/>
      <c r="T34" s="381" t="s">
        <v>301</v>
      </c>
      <c r="U34" s="381" t="s">
        <v>301</v>
      </c>
      <c r="V34" s="381" t="s">
        <v>301</v>
      </c>
      <c r="W34" s="381" t="s">
        <v>301</v>
      </c>
      <c r="X34" s="283" t="s">
        <v>1091</v>
      </c>
    </row>
    <row r="35">
      <c r="A35" s="400">
        <v>28.0</v>
      </c>
      <c r="B35" s="397" t="s">
        <v>327</v>
      </c>
      <c r="C35" s="397"/>
      <c r="D35" s="397" t="s">
        <v>1000</v>
      </c>
      <c r="E35" s="397" t="s">
        <v>1001</v>
      </c>
      <c r="F35" s="397"/>
      <c r="G35" s="380" t="s">
        <v>1025</v>
      </c>
      <c r="H35" s="397" t="s">
        <v>1026</v>
      </c>
      <c r="I35" s="380" t="s">
        <v>1027</v>
      </c>
      <c r="J35" s="400" t="s">
        <v>301</v>
      </c>
      <c r="K35" s="401"/>
      <c r="L35" s="463" t="s">
        <v>1396</v>
      </c>
      <c r="M35" s="399" t="s">
        <v>1396</v>
      </c>
      <c r="N35" s="380" t="s">
        <v>1366</v>
      </c>
      <c r="O35" s="373" t="s">
        <v>301</v>
      </c>
      <c r="P35" s="373" t="s">
        <v>301</v>
      </c>
      <c r="Q35" s="373" t="s">
        <v>301</v>
      </c>
      <c r="R35" s="373" t="s">
        <v>301</v>
      </c>
      <c r="S35" s="461"/>
      <c r="T35" s="373" t="s">
        <v>301</v>
      </c>
      <c r="U35" s="373" t="s">
        <v>301</v>
      </c>
      <c r="V35" s="373" t="s">
        <v>301</v>
      </c>
      <c r="W35" s="373" t="s">
        <v>301</v>
      </c>
      <c r="X35" s="283" t="s">
        <v>1091</v>
      </c>
    </row>
    <row r="36">
      <c r="A36" s="406">
        <v>29.0</v>
      </c>
      <c r="B36" s="403" t="s">
        <v>327</v>
      </c>
      <c r="C36" s="403"/>
      <c r="D36" s="403" t="s">
        <v>1000</v>
      </c>
      <c r="E36" s="403" t="s">
        <v>1001</v>
      </c>
      <c r="F36" s="403"/>
      <c r="G36" s="387" t="s">
        <v>1025</v>
      </c>
      <c r="H36" s="403" t="s">
        <v>1026</v>
      </c>
      <c r="I36" s="387" t="s">
        <v>1027</v>
      </c>
      <c r="J36" s="406" t="s">
        <v>301</v>
      </c>
      <c r="K36" s="407"/>
      <c r="L36" s="460" t="s">
        <v>1397</v>
      </c>
      <c r="M36" s="405" t="s">
        <v>1397</v>
      </c>
      <c r="N36" s="387" t="s">
        <v>1398</v>
      </c>
      <c r="O36" s="381" t="s">
        <v>301</v>
      </c>
      <c r="P36" s="381" t="s">
        <v>301</v>
      </c>
      <c r="Q36" s="381" t="s">
        <v>301</v>
      </c>
      <c r="R36" s="381" t="s">
        <v>301</v>
      </c>
      <c r="S36" s="461"/>
      <c r="T36" s="381" t="s">
        <v>301</v>
      </c>
      <c r="U36" s="381" t="s">
        <v>301</v>
      </c>
      <c r="V36" s="381" t="s">
        <v>301</v>
      </c>
      <c r="W36" s="381" t="s">
        <v>301</v>
      </c>
      <c r="X36" s="283" t="s">
        <v>1121</v>
      </c>
    </row>
    <row r="37">
      <c r="A37" s="400">
        <v>30.0</v>
      </c>
      <c r="B37" s="397" t="s">
        <v>327</v>
      </c>
      <c r="C37" s="397"/>
      <c r="D37" s="397" t="s">
        <v>1000</v>
      </c>
      <c r="E37" s="397" t="s">
        <v>1001</v>
      </c>
      <c r="F37" s="397"/>
      <c r="G37" s="380" t="s">
        <v>1025</v>
      </c>
      <c r="H37" s="397" t="s">
        <v>1026</v>
      </c>
      <c r="I37" s="380" t="s">
        <v>1027</v>
      </c>
      <c r="J37" s="400" t="s">
        <v>301</v>
      </c>
      <c r="K37" s="401"/>
      <c r="L37" s="463" t="s">
        <v>1399</v>
      </c>
      <c r="M37" s="399" t="s">
        <v>1399</v>
      </c>
      <c r="N37" s="380" t="s">
        <v>1400</v>
      </c>
      <c r="O37" s="373" t="s">
        <v>301</v>
      </c>
      <c r="P37" s="373" t="s">
        <v>301</v>
      </c>
      <c r="Q37" s="373" t="s">
        <v>301</v>
      </c>
      <c r="R37" s="373" t="s">
        <v>301</v>
      </c>
      <c r="S37" s="461"/>
      <c r="T37" s="373" t="s">
        <v>301</v>
      </c>
      <c r="U37" s="373" t="s">
        <v>301</v>
      </c>
      <c r="V37" s="373" t="s">
        <v>301</v>
      </c>
      <c r="W37" s="373" t="s">
        <v>301</v>
      </c>
      <c r="X37" s="283" t="s">
        <v>1121</v>
      </c>
    </row>
    <row r="38">
      <c r="A38" s="406">
        <v>31.0</v>
      </c>
      <c r="B38" s="403" t="s">
        <v>327</v>
      </c>
      <c r="C38" s="403"/>
      <c r="D38" s="403" t="s">
        <v>1000</v>
      </c>
      <c r="E38" s="403" t="s">
        <v>1001</v>
      </c>
      <c r="F38" s="403"/>
      <c r="G38" s="387" t="s">
        <v>1401</v>
      </c>
      <c r="H38" s="403" t="s">
        <v>1003</v>
      </c>
      <c r="I38" s="387" t="s">
        <v>1402</v>
      </c>
      <c r="J38" s="406" t="s">
        <v>301</v>
      </c>
      <c r="K38" s="407"/>
      <c r="L38" s="460" t="s">
        <v>1403</v>
      </c>
      <c r="M38" s="460" t="s">
        <v>1403</v>
      </c>
      <c r="N38" s="387" t="s">
        <v>1404</v>
      </c>
      <c r="O38" s="381" t="s">
        <v>301</v>
      </c>
      <c r="P38" s="381" t="s">
        <v>301</v>
      </c>
      <c r="Q38" s="381" t="s">
        <v>301</v>
      </c>
      <c r="R38" s="381" t="s">
        <v>301</v>
      </c>
      <c r="S38" s="461"/>
      <c r="T38" s="381" t="s">
        <v>301</v>
      </c>
      <c r="U38" s="381" t="s">
        <v>301</v>
      </c>
      <c r="V38" s="381" t="s">
        <v>301</v>
      </c>
      <c r="W38" s="381" t="s">
        <v>301</v>
      </c>
      <c r="X38" s="283" t="s">
        <v>1121</v>
      </c>
    </row>
    <row r="39">
      <c r="A39" s="400">
        <v>32.0</v>
      </c>
      <c r="B39" s="397" t="s">
        <v>327</v>
      </c>
      <c r="C39" s="397"/>
      <c r="D39" s="397" t="s">
        <v>1058</v>
      </c>
      <c r="E39" s="397" t="s">
        <v>1059</v>
      </c>
      <c r="F39" s="397"/>
      <c r="G39" s="380" t="s">
        <v>1060</v>
      </c>
      <c r="H39" s="397" t="s">
        <v>1061</v>
      </c>
      <c r="I39" s="380" t="s">
        <v>1405</v>
      </c>
      <c r="J39" s="400" t="s">
        <v>301</v>
      </c>
      <c r="K39" s="467"/>
      <c r="L39" s="463" t="s">
        <v>1406</v>
      </c>
      <c r="M39" s="463" t="s">
        <v>1406</v>
      </c>
      <c r="N39" s="380" t="s">
        <v>1407</v>
      </c>
      <c r="O39" s="373" t="s">
        <v>301</v>
      </c>
      <c r="P39" s="373" t="s">
        <v>301</v>
      </c>
      <c r="Q39" s="373" t="s">
        <v>301</v>
      </c>
      <c r="R39" s="373" t="s">
        <v>301</v>
      </c>
      <c r="S39" s="461"/>
      <c r="T39" s="373" t="s">
        <v>301</v>
      </c>
      <c r="U39" s="373" t="s">
        <v>301</v>
      </c>
      <c r="V39" s="373" t="s">
        <v>301</v>
      </c>
      <c r="W39" s="373" t="s">
        <v>301</v>
      </c>
      <c r="X39" s="283" t="s">
        <v>1121</v>
      </c>
    </row>
    <row r="40">
      <c r="A40" s="406">
        <v>33.0</v>
      </c>
      <c r="B40" s="403" t="s">
        <v>327</v>
      </c>
      <c r="C40" s="403"/>
      <c r="D40" s="403" t="s">
        <v>1058</v>
      </c>
      <c r="E40" s="403" t="s">
        <v>1059</v>
      </c>
      <c r="F40" s="403"/>
      <c r="G40" s="387" t="s">
        <v>1060</v>
      </c>
      <c r="H40" s="403" t="s">
        <v>1061</v>
      </c>
      <c r="I40" s="387" t="s">
        <v>1405</v>
      </c>
      <c r="J40" s="406" t="s">
        <v>301</v>
      </c>
      <c r="K40" s="468"/>
      <c r="L40" s="460" t="s">
        <v>1408</v>
      </c>
      <c r="M40" s="460" t="s">
        <v>1408</v>
      </c>
      <c r="N40" s="387" t="s">
        <v>1180</v>
      </c>
      <c r="O40" s="381" t="s">
        <v>301</v>
      </c>
      <c r="P40" s="381" t="s">
        <v>301</v>
      </c>
      <c r="Q40" s="381" t="s">
        <v>301</v>
      </c>
      <c r="R40" s="381" t="s">
        <v>301</v>
      </c>
      <c r="S40" s="461"/>
      <c r="T40" s="381" t="s">
        <v>301</v>
      </c>
      <c r="U40" s="381" t="s">
        <v>301</v>
      </c>
      <c r="V40" s="381" t="s">
        <v>301</v>
      </c>
      <c r="W40" s="381" t="s">
        <v>301</v>
      </c>
      <c r="X40" s="283" t="s">
        <v>1121</v>
      </c>
    </row>
    <row r="41">
      <c r="A41" s="400">
        <v>34.0</v>
      </c>
      <c r="B41" s="397" t="s">
        <v>327</v>
      </c>
      <c r="C41" s="397"/>
      <c r="D41" s="397" t="s">
        <v>1058</v>
      </c>
      <c r="E41" s="397" t="s">
        <v>1059</v>
      </c>
      <c r="F41" s="397"/>
      <c r="G41" s="380" t="s">
        <v>1060</v>
      </c>
      <c r="H41" s="397" t="s">
        <v>1061</v>
      </c>
      <c r="I41" s="380" t="s">
        <v>1405</v>
      </c>
      <c r="J41" s="400" t="s">
        <v>301</v>
      </c>
      <c r="K41" s="467"/>
      <c r="L41" s="463" t="s">
        <v>1409</v>
      </c>
      <c r="M41" s="463" t="s">
        <v>1409</v>
      </c>
      <c r="N41" s="380" t="s">
        <v>1180</v>
      </c>
      <c r="O41" s="373" t="s">
        <v>301</v>
      </c>
      <c r="P41" s="373" t="s">
        <v>301</v>
      </c>
      <c r="Q41" s="373" t="s">
        <v>301</v>
      </c>
      <c r="R41" s="373" t="s">
        <v>301</v>
      </c>
      <c r="S41" s="461"/>
      <c r="T41" s="373" t="s">
        <v>301</v>
      </c>
      <c r="U41" s="373" t="s">
        <v>301</v>
      </c>
      <c r="V41" s="373" t="s">
        <v>301</v>
      </c>
      <c r="W41" s="373" t="s">
        <v>301</v>
      </c>
      <c r="X41" s="283" t="s">
        <v>1121</v>
      </c>
    </row>
    <row r="42">
      <c r="A42" s="406">
        <v>35.0</v>
      </c>
      <c r="B42" s="403" t="s">
        <v>327</v>
      </c>
      <c r="C42" s="403"/>
      <c r="D42" s="403" t="s">
        <v>1058</v>
      </c>
      <c r="E42" s="403" t="s">
        <v>1059</v>
      </c>
      <c r="F42" s="403"/>
      <c r="G42" s="387" t="s">
        <v>1060</v>
      </c>
      <c r="H42" s="403" t="s">
        <v>1061</v>
      </c>
      <c r="I42" s="387" t="s">
        <v>1405</v>
      </c>
      <c r="J42" s="406" t="s">
        <v>301</v>
      </c>
      <c r="K42" s="468"/>
      <c r="L42" s="460" t="s">
        <v>1410</v>
      </c>
      <c r="M42" s="460" t="s">
        <v>1410</v>
      </c>
      <c r="N42" s="387" t="s">
        <v>1180</v>
      </c>
      <c r="O42" s="381" t="s">
        <v>301</v>
      </c>
      <c r="P42" s="381" t="s">
        <v>301</v>
      </c>
      <c r="Q42" s="381" t="s">
        <v>301</v>
      </c>
      <c r="R42" s="381" t="s">
        <v>301</v>
      </c>
      <c r="S42" s="461"/>
      <c r="T42" s="381" t="s">
        <v>301</v>
      </c>
      <c r="U42" s="381" t="s">
        <v>301</v>
      </c>
      <c r="V42" s="381" t="s">
        <v>301</v>
      </c>
      <c r="W42" s="381" t="s">
        <v>301</v>
      </c>
      <c r="X42" s="283" t="s">
        <v>1121</v>
      </c>
    </row>
    <row r="43">
      <c r="A43" s="400">
        <v>36.0</v>
      </c>
      <c r="B43" s="397" t="s">
        <v>327</v>
      </c>
      <c r="C43" s="397"/>
      <c r="D43" s="397" t="s">
        <v>1058</v>
      </c>
      <c r="E43" s="397" t="s">
        <v>1059</v>
      </c>
      <c r="F43" s="397"/>
      <c r="G43" s="380" t="s">
        <v>1060</v>
      </c>
      <c r="H43" s="397" t="s">
        <v>1061</v>
      </c>
      <c r="I43" s="380" t="s">
        <v>1405</v>
      </c>
      <c r="J43" s="400" t="s">
        <v>301</v>
      </c>
      <c r="K43" s="467"/>
      <c r="L43" s="463" t="s">
        <v>1411</v>
      </c>
      <c r="M43" s="463" t="s">
        <v>1411</v>
      </c>
      <c r="N43" s="380" t="s">
        <v>1180</v>
      </c>
      <c r="O43" s="373" t="s">
        <v>301</v>
      </c>
      <c r="P43" s="373" t="s">
        <v>301</v>
      </c>
      <c r="Q43" s="373" t="s">
        <v>301</v>
      </c>
      <c r="R43" s="373" t="s">
        <v>301</v>
      </c>
      <c r="S43" s="461"/>
      <c r="T43" s="373" t="s">
        <v>301</v>
      </c>
      <c r="U43" s="373" t="s">
        <v>301</v>
      </c>
      <c r="V43" s="373" t="s">
        <v>301</v>
      </c>
      <c r="W43" s="373" t="s">
        <v>301</v>
      </c>
      <c r="X43" s="283" t="s">
        <v>1121</v>
      </c>
    </row>
    <row r="44">
      <c r="A44" s="406">
        <v>37.0</v>
      </c>
      <c r="B44" s="403" t="s">
        <v>327</v>
      </c>
      <c r="C44" s="403"/>
      <c r="D44" s="403" t="s">
        <v>1058</v>
      </c>
      <c r="E44" s="403" t="s">
        <v>1059</v>
      </c>
      <c r="F44" s="403"/>
      <c r="G44" s="387" t="s">
        <v>1060</v>
      </c>
      <c r="H44" s="403" t="s">
        <v>1061</v>
      </c>
      <c r="I44" s="387" t="s">
        <v>1405</v>
      </c>
      <c r="J44" s="406" t="s">
        <v>301</v>
      </c>
      <c r="K44" s="468"/>
      <c r="L44" s="460" t="s">
        <v>1412</v>
      </c>
      <c r="M44" s="460" t="s">
        <v>1412</v>
      </c>
      <c r="N44" s="387" t="s">
        <v>1413</v>
      </c>
      <c r="O44" s="381" t="s">
        <v>301</v>
      </c>
      <c r="P44" s="381" t="s">
        <v>301</v>
      </c>
      <c r="Q44" s="381" t="s">
        <v>301</v>
      </c>
      <c r="R44" s="381" t="s">
        <v>301</v>
      </c>
      <c r="S44" s="461"/>
      <c r="T44" s="381" t="s">
        <v>301</v>
      </c>
      <c r="U44" s="381" t="s">
        <v>301</v>
      </c>
      <c r="V44" s="381" t="s">
        <v>301</v>
      </c>
      <c r="W44" s="381" t="s">
        <v>301</v>
      </c>
      <c r="X44" s="283" t="s">
        <v>1121</v>
      </c>
    </row>
    <row r="45">
      <c r="A45" s="400">
        <v>38.0</v>
      </c>
      <c r="B45" s="380" t="s">
        <v>327</v>
      </c>
      <c r="C45" s="380"/>
      <c r="D45" s="380" t="s">
        <v>1058</v>
      </c>
      <c r="E45" s="380" t="s">
        <v>1059</v>
      </c>
      <c r="F45" s="380"/>
      <c r="G45" s="380" t="s">
        <v>1060</v>
      </c>
      <c r="H45" s="380" t="s">
        <v>1061</v>
      </c>
      <c r="I45" s="380" t="s">
        <v>1405</v>
      </c>
      <c r="J45" s="400" t="s">
        <v>301</v>
      </c>
      <c r="K45" s="467"/>
      <c r="L45" s="463" t="s">
        <v>1414</v>
      </c>
      <c r="M45" s="463" t="s">
        <v>1414</v>
      </c>
      <c r="N45" s="380" t="s">
        <v>1180</v>
      </c>
      <c r="O45" s="381" t="s">
        <v>301</v>
      </c>
      <c r="P45" s="381" t="s">
        <v>301</v>
      </c>
      <c r="Q45" s="381" t="s">
        <v>301</v>
      </c>
      <c r="R45" s="381" t="s">
        <v>301</v>
      </c>
      <c r="S45" s="461"/>
      <c r="T45" s="381" t="s">
        <v>301</v>
      </c>
      <c r="U45" s="381" t="s">
        <v>301</v>
      </c>
      <c r="V45" s="381" t="s">
        <v>301</v>
      </c>
      <c r="W45" s="381" t="s">
        <v>301</v>
      </c>
      <c r="X45" s="469"/>
      <c r="Y45" s="347"/>
      <c r="Z45" s="347"/>
    </row>
    <row r="46">
      <c r="A46" s="406">
        <v>39.0</v>
      </c>
      <c r="B46" s="403" t="s">
        <v>327</v>
      </c>
      <c r="C46" s="403"/>
      <c r="D46" s="403" t="s">
        <v>1058</v>
      </c>
      <c r="E46" s="403" t="s">
        <v>1059</v>
      </c>
      <c r="F46" s="403"/>
      <c r="G46" s="387" t="s">
        <v>1060</v>
      </c>
      <c r="H46" s="403" t="s">
        <v>1061</v>
      </c>
      <c r="I46" s="387" t="s">
        <v>1405</v>
      </c>
      <c r="J46" s="406" t="s">
        <v>301</v>
      </c>
      <c r="K46" s="468"/>
      <c r="L46" s="460" t="s">
        <v>1415</v>
      </c>
      <c r="M46" s="460" t="s">
        <v>1415</v>
      </c>
      <c r="N46" s="387" t="s">
        <v>1416</v>
      </c>
      <c r="O46" s="381" t="s">
        <v>301</v>
      </c>
      <c r="P46" s="381" t="s">
        <v>301</v>
      </c>
      <c r="Q46" s="381" t="s">
        <v>301</v>
      </c>
      <c r="R46" s="381" t="s">
        <v>301</v>
      </c>
      <c r="S46" s="461"/>
      <c r="T46" s="381" t="s">
        <v>301</v>
      </c>
      <c r="U46" s="381" t="s">
        <v>301</v>
      </c>
      <c r="V46" s="381" t="s">
        <v>301</v>
      </c>
      <c r="W46" s="381" t="s">
        <v>301</v>
      </c>
      <c r="X46" s="274"/>
    </row>
    <row r="47">
      <c r="A47" s="400">
        <v>40.0</v>
      </c>
      <c r="B47" s="397" t="s">
        <v>327</v>
      </c>
      <c r="C47" s="397"/>
      <c r="D47" s="397" t="s">
        <v>1058</v>
      </c>
      <c r="E47" s="397" t="s">
        <v>1059</v>
      </c>
      <c r="F47" s="397"/>
      <c r="G47" s="380" t="s">
        <v>1060</v>
      </c>
      <c r="H47" s="397" t="s">
        <v>1061</v>
      </c>
      <c r="I47" s="380" t="s">
        <v>1405</v>
      </c>
      <c r="J47" s="400" t="s">
        <v>301</v>
      </c>
      <c r="K47" s="467"/>
      <c r="L47" s="463" t="s">
        <v>1417</v>
      </c>
      <c r="M47" s="463" t="s">
        <v>1417</v>
      </c>
      <c r="N47" s="380" t="s">
        <v>1407</v>
      </c>
      <c r="O47" s="373" t="s">
        <v>301</v>
      </c>
      <c r="P47" s="373" t="s">
        <v>301</v>
      </c>
      <c r="Q47" s="373" t="s">
        <v>301</v>
      </c>
      <c r="R47" s="373" t="s">
        <v>301</v>
      </c>
      <c r="S47" s="461"/>
      <c r="T47" s="373" t="s">
        <v>301</v>
      </c>
      <c r="U47" s="373" t="s">
        <v>301</v>
      </c>
      <c r="V47" s="373" t="s">
        <v>301</v>
      </c>
      <c r="W47" s="373" t="s">
        <v>301</v>
      </c>
      <c r="X47" s="274"/>
    </row>
    <row r="48">
      <c r="A48" s="406">
        <v>41.0</v>
      </c>
      <c r="B48" s="403" t="s">
        <v>327</v>
      </c>
      <c r="C48" s="403"/>
      <c r="D48" s="403" t="s">
        <v>1000</v>
      </c>
      <c r="E48" s="403" t="s">
        <v>1049</v>
      </c>
      <c r="F48" s="403"/>
      <c r="G48" s="387" t="s">
        <v>1050</v>
      </c>
      <c r="H48" s="403" t="s">
        <v>1026</v>
      </c>
      <c r="I48" s="387" t="s">
        <v>1418</v>
      </c>
      <c r="J48" s="406" t="s">
        <v>301</v>
      </c>
      <c r="K48" s="407"/>
      <c r="L48" s="460" t="s">
        <v>1419</v>
      </c>
      <c r="M48" s="460" t="s">
        <v>1419</v>
      </c>
      <c r="N48" s="387" t="s">
        <v>1377</v>
      </c>
      <c r="O48" s="381" t="s">
        <v>301</v>
      </c>
      <c r="P48" s="381" t="s">
        <v>301</v>
      </c>
      <c r="Q48" s="381" t="s">
        <v>301</v>
      </c>
      <c r="R48" s="381" t="s">
        <v>301</v>
      </c>
      <c r="S48" s="461"/>
      <c r="T48" s="381" t="s">
        <v>301</v>
      </c>
      <c r="U48" s="381" t="s">
        <v>301</v>
      </c>
      <c r="V48" s="381" t="s">
        <v>301</v>
      </c>
      <c r="W48" s="381" t="s">
        <v>301</v>
      </c>
      <c r="X48" s="274"/>
    </row>
    <row r="49">
      <c r="A49" s="400">
        <v>42.0</v>
      </c>
      <c r="B49" s="397" t="s">
        <v>327</v>
      </c>
      <c r="C49" s="397"/>
      <c r="D49" s="397" t="s">
        <v>1000</v>
      </c>
      <c r="E49" s="397" t="s">
        <v>1049</v>
      </c>
      <c r="F49" s="397"/>
      <c r="G49" s="380" t="s">
        <v>1050</v>
      </c>
      <c r="H49" s="397" t="s">
        <v>1026</v>
      </c>
      <c r="I49" s="380" t="s">
        <v>1418</v>
      </c>
      <c r="J49" s="400" t="s">
        <v>301</v>
      </c>
      <c r="K49" s="401"/>
      <c r="L49" s="463" t="s">
        <v>1420</v>
      </c>
      <c r="M49" s="463" t="s">
        <v>1420</v>
      </c>
      <c r="N49" s="380" t="s">
        <v>1356</v>
      </c>
      <c r="O49" s="373" t="s">
        <v>301</v>
      </c>
      <c r="P49" s="373" t="s">
        <v>301</v>
      </c>
      <c r="Q49" s="373" t="s">
        <v>301</v>
      </c>
      <c r="R49" s="373" t="s">
        <v>301</v>
      </c>
      <c r="S49" s="461"/>
      <c r="T49" s="373" t="s">
        <v>301</v>
      </c>
      <c r="U49" s="373" t="s">
        <v>301</v>
      </c>
      <c r="V49" s="373" t="s">
        <v>301</v>
      </c>
      <c r="W49" s="373" t="s">
        <v>301</v>
      </c>
      <c r="X49" s="274"/>
    </row>
    <row r="50">
      <c r="A50" s="406">
        <v>43.0</v>
      </c>
      <c r="B50" s="403" t="s">
        <v>327</v>
      </c>
      <c r="C50" s="403"/>
      <c r="D50" s="403" t="s">
        <v>1000</v>
      </c>
      <c r="E50" s="403" t="s">
        <v>1049</v>
      </c>
      <c r="F50" s="403"/>
      <c r="G50" s="387" t="s">
        <v>1050</v>
      </c>
      <c r="H50" s="403" t="s">
        <v>1026</v>
      </c>
      <c r="I50" s="387" t="s">
        <v>1418</v>
      </c>
      <c r="J50" s="406" t="s">
        <v>301</v>
      </c>
      <c r="K50" s="407"/>
      <c r="L50" s="460" t="s">
        <v>1421</v>
      </c>
      <c r="M50" s="460" t="s">
        <v>1421</v>
      </c>
      <c r="N50" s="387" t="s">
        <v>1422</v>
      </c>
      <c r="O50" s="381" t="s">
        <v>301</v>
      </c>
      <c r="P50" s="381" t="s">
        <v>301</v>
      </c>
      <c r="Q50" s="381" t="s">
        <v>301</v>
      </c>
      <c r="R50" s="381" t="s">
        <v>301</v>
      </c>
      <c r="S50" s="461"/>
      <c r="T50" s="381" t="s">
        <v>301</v>
      </c>
      <c r="U50" s="381" t="s">
        <v>301</v>
      </c>
      <c r="V50" s="381" t="s">
        <v>301</v>
      </c>
      <c r="W50" s="381" t="s">
        <v>301</v>
      </c>
      <c r="X50" s="274"/>
    </row>
    <row r="51">
      <c r="A51" s="400">
        <v>44.0</v>
      </c>
      <c r="B51" s="397" t="s">
        <v>327</v>
      </c>
      <c r="C51" s="397"/>
      <c r="D51" s="397" t="s">
        <v>1000</v>
      </c>
      <c r="E51" s="397" t="s">
        <v>1049</v>
      </c>
      <c r="F51" s="397"/>
      <c r="G51" s="380" t="s">
        <v>1050</v>
      </c>
      <c r="H51" s="397" t="s">
        <v>1026</v>
      </c>
      <c r="I51" s="380" t="s">
        <v>1418</v>
      </c>
      <c r="J51" s="400" t="s">
        <v>301</v>
      </c>
      <c r="K51" s="401"/>
      <c r="L51" s="463" t="s">
        <v>1423</v>
      </c>
      <c r="M51" s="463" t="s">
        <v>1423</v>
      </c>
      <c r="N51" s="380" t="s">
        <v>1422</v>
      </c>
      <c r="O51" s="373" t="s">
        <v>301</v>
      </c>
      <c r="P51" s="373" t="s">
        <v>301</v>
      </c>
      <c r="Q51" s="373" t="s">
        <v>301</v>
      </c>
      <c r="R51" s="373" t="s">
        <v>301</v>
      </c>
      <c r="S51" s="461"/>
      <c r="T51" s="373" t="s">
        <v>301</v>
      </c>
      <c r="U51" s="373" t="s">
        <v>301</v>
      </c>
      <c r="V51" s="373" t="s">
        <v>301</v>
      </c>
      <c r="W51" s="373" t="s">
        <v>301</v>
      </c>
      <c r="X51" s="274"/>
    </row>
    <row r="52">
      <c r="A52" s="406">
        <v>45.0</v>
      </c>
      <c r="B52" s="403" t="s">
        <v>327</v>
      </c>
      <c r="C52" s="403"/>
      <c r="D52" s="403" t="s">
        <v>1000</v>
      </c>
      <c r="E52" s="403" t="s">
        <v>1049</v>
      </c>
      <c r="F52" s="403"/>
      <c r="G52" s="387" t="s">
        <v>1050</v>
      </c>
      <c r="H52" s="403" t="s">
        <v>1026</v>
      </c>
      <c r="I52" s="387" t="s">
        <v>1418</v>
      </c>
      <c r="J52" s="406" t="s">
        <v>301</v>
      </c>
      <c r="K52" s="407"/>
      <c r="L52" s="460" t="s">
        <v>1424</v>
      </c>
      <c r="M52" s="460" t="s">
        <v>1424</v>
      </c>
      <c r="N52" s="387" t="s">
        <v>1422</v>
      </c>
      <c r="O52" s="381" t="s">
        <v>301</v>
      </c>
      <c r="P52" s="381" t="s">
        <v>301</v>
      </c>
      <c r="Q52" s="381" t="s">
        <v>301</v>
      </c>
      <c r="R52" s="381" t="s">
        <v>301</v>
      </c>
      <c r="S52" s="461"/>
      <c r="T52" s="381" t="s">
        <v>301</v>
      </c>
      <c r="U52" s="381" t="s">
        <v>301</v>
      </c>
      <c r="V52" s="381" t="s">
        <v>301</v>
      </c>
      <c r="W52" s="381" t="s">
        <v>301</v>
      </c>
      <c r="X52" s="274"/>
    </row>
    <row r="53">
      <c r="A53" s="400">
        <v>46.0</v>
      </c>
      <c r="B53" s="397" t="s">
        <v>327</v>
      </c>
      <c r="C53" s="397"/>
      <c r="D53" s="397" t="s">
        <v>1000</v>
      </c>
      <c r="E53" s="397" t="s">
        <v>1049</v>
      </c>
      <c r="F53" s="397"/>
      <c r="G53" s="380" t="s">
        <v>1050</v>
      </c>
      <c r="H53" s="397" t="s">
        <v>1026</v>
      </c>
      <c r="I53" s="380" t="s">
        <v>1418</v>
      </c>
      <c r="J53" s="400" t="s">
        <v>301</v>
      </c>
      <c r="K53" s="401"/>
      <c r="L53" s="463" t="s">
        <v>1425</v>
      </c>
      <c r="M53" s="463" t="s">
        <v>1425</v>
      </c>
      <c r="N53" s="380" t="s">
        <v>1422</v>
      </c>
      <c r="O53" s="373" t="s">
        <v>301</v>
      </c>
      <c r="P53" s="373" t="s">
        <v>301</v>
      </c>
      <c r="Q53" s="373" t="s">
        <v>301</v>
      </c>
      <c r="R53" s="373" t="s">
        <v>301</v>
      </c>
      <c r="S53" s="461"/>
      <c r="T53" s="373" t="s">
        <v>301</v>
      </c>
      <c r="U53" s="373" t="s">
        <v>301</v>
      </c>
      <c r="V53" s="373" t="s">
        <v>301</v>
      </c>
      <c r="W53" s="373" t="s">
        <v>301</v>
      </c>
      <c r="X53" s="274"/>
    </row>
    <row r="54">
      <c r="A54" s="406">
        <v>47.0</v>
      </c>
      <c r="B54" s="403" t="s">
        <v>327</v>
      </c>
      <c r="C54" s="403"/>
      <c r="D54" s="403" t="s">
        <v>1000</v>
      </c>
      <c r="E54" s="403" t="s">
        <v>1049</v>
      </c>
      <c r="F54" s="403"/>
      <c r="G54" s="387" t="s">
        <v>1050</v>
      </c>
      <c r="H54" s="403" t="s">
        <v>1026</v>
      </c>
      <c r="I54" s="387" t="s">
        <v>1418</v>
      </c>
      <c r="J54" s="406" t="s">
        <v>301</v>
      </c>
      <c r="K54" s="407"/>
      <c r="L54" s="460" t="s">
        <v>1426</v>
      </c>
      <c r="M54" s="460" t="s">
        <v>1426</v>
      </c>
      <c r="N54" s="387" t="s">
        <v>1427</v>
      </c>
      <c r="O54" s="381" t="s">
        <v>301</v>
      </c>
      <c r="P54" s="381" t="s">
        <v>301</v>
      </c>
      <c r="Q54" s="381" t="s">
        <v>301</v>
      </c>
      <c r="R54" s="381" t="s">
        <v>301</v>
      </c>
      <c r="S54" s="461"/>
      <c r="T54" s="381" t="s">
        <v>301</v>
      </c>
      <c r="U54" s="381" t="s">
        <v>301</v>
      </c>
      <c r="V54" s="381" t="s">
        <v>301</v>
      </c>
      <c r="W54" s="381" t="s">
        <v>301</v>
      </c>
      <c r="X54" s="274"/>
    </row>
    <row r="55">
      <c r="A55" s="400">
        <v>48.0</v>
      </c>
      <c r="B55" s="397" t="s">
        <v>327</v>
      </c>
      <c r="C55" s="397"/>
      <c r="D55" s="397" t="s">
        <v>1000</v>
      </c>
      <c r="E55" s="397" t="s">
        <v>1049</v>
      </c>
      <c r="F55" s="397"/>
      <c r="G55" s="380" t="s">
        <v>1050</v>
      </c>
      <c r="H55" s="397" t="s">
        <v>1026</v>
      </c>
      <c r="I55" s="380" t="s">
        <v>1418</v>
      </c>
      <c r="J55" s="400" t="s">
        <v>301</v>
      </c>
      <c r="K55" s="401"/>
      <c r="L55" s="463" t="s">
        <v>1428</v>
      </c>
      <c r="M55" s="463" t="s">
        <v>1428</v>
      </c>
      <c r="N55" s="380" t="s">
        <v>1429</v>
      </c>
      <c r="O55" s="373" t="s">
        <v>301</v>
      </c>
      <c r="P55" s="373" t="s">
        <v>301</v>
      </c>
      <c r="Q55" s="373" t="s">
        <v>301</v>
      </c>
      <c r="R55" s="373" t="s">
        <v>301</v>
      </c>
      <c r="S55" s="461"/>
      <c r="T55" s="373" t="s">
        <v>301</v>
      </c>
      <c r="U55" s="373" t="s">
        <v>301</v>
      </c>
      <c r="V55" s="373" t="s">
        <v>301</v>
      </c>
      <c r="W55" s="373" t="s">
        <v>301</v>
      </c>
      <c r="X55" s="274"/>
    </row>
    <row r="56" ht="34.5" customHeight="1">
      <c r="A56" s="470" t="s">
        <v>1221</v>
      </c>
      <c r="B56" s="62"/>
      <c r="C56" s="62"/>
      <c r="D56" s="62"/>
      <c r="E56" s="62"/>
      <c r="F56" s="62"/>
      <c r="G56" s="62"/>
      <c r="H56" s="62"/>
      <c r="I56" s="62"/>
      <c r="J56" s="62"/>
      <c r="K56" s="62"/>
      <c r="L56" s="62"/>
      <c r="M56" s="62"/>
      <c r="N56" s="62"/>
      <c r="O56" s="62"/>
      <c r="P56" s="62"/>
      <c r="Q56" s="62"/>
      <c r="R56" s="62"/>
      <c r="S56" s="62"/>
      <c r="T56" s="62"/>
      <c r="U56" s="62"/>
      <c r="V56" s="62"/>
      <c r="W56" s="63"/>
      <c r="X56" s="274"/>
    </row>
    <row r="57">
      <c r="A57" s="406">
        <v>1.0</v>
      </c>
      <c r="B57" s="403" t="s">
        <v>331</v>
      </c>
      <c r="C57" s="382"/>
      <c r="D57" s="403" t="s">
        <v>1229</v>
      </c>
      <c r="E57" s="403" t="s">
        <v>1059</v>
      </c>
      <c r="F57" s="382"/>
      <c r="G57" s="387" t="s">
        <v>1222</v>
      </c>
      <c r="H57" s="387" t="s">
        <v>1223</v>
      </c>
      <c r="I57" s="387" t="s">
        <v>1224</v>
      </c>
      <c r="J57" s="406" t="s">
        <v>301</v>
      </c>
      <c r="K57" s="471"/>
      <c r="L57" s="460" t="s">
        <v>1430</v>
      </c>
      <c r="M57" s="460" t="s">
        <v>1430</v>
      </c>
      <c r="N57" s="406" t="s">
        <v>1180</v>
      </c>
      <c r="O57" s="406" t="s">
        <v>301</v>
      </c>
      <c r="P57" s="406" t="s">
        <v>301</v>
      </c>
      <c r="Q57" s="406" t="s">
        <v>301</v>
      </c>
      <c r="R57" s="406" t="s">
        <v>301</v>
      </c>
      <c r="S57" s="472" t="s">
        <v>124</v>
      </c>
      <c r="T57" s="381" t="s">
        <v>301</v>
      </c>
      <c r="U57" s="381" t="s">
        <v>301</v>
      </c>
      <c r="V57" s="381" t="s">
        <v>301</v>
      </c>
      <c r="W57" s="381" t="s">
        <v>301</v>
      </c>
      <c r="X57" s="387" t="s">
        <v>124</v>
      </c>
    </row>
    <row r="58">
      <c r="A58" s="400">
        <v>2.0</v>
      </c>
      <c r="B58" s="397" t="s">
        <v>331</v>
      </c>
      <c r="C58" s="374"/>
      <c r="D58" s="397" t="s">
        <v>1229</v>
      </c>
      <c r="E58" s="397" t="s">
        <v>1059</v>
      </c>
      <c r="F58" s="374"/>
      <c r="G58" s="380" t="s">
        <v>1222</v>
      </c>
      <c r="H58" s="380" t="s">
        <v>1223</v>
      </c>
      <c r="I58" s="380" t="s">
        <v>1224</v>
      </c>
      <c r="J58" s="400" t="s">
        <v>301</v>
      </c>
      <c r="K58" s="473"/>
      <c r="L58" s="463" t="s">
        <v>1431</v>
      </c>
      <c r="M58" s="463" t="s">
        <v>1431</v>
      </c>
      <c r="N58" s="400" t="s">
        <v>1180</v>
      </c>
      <c r="O58" s="400" t="s">
        <v>301</v>
      </c>
      <c r="P58" s="400" t="s">
        <v>301</v>
      </c>
      <c r="Q58" s="400" t="s">
        <v>301</v>
      </c>
      <c r="R58" s="400" t="s">
        <v>301</v>
      </c>
      <c r="S58" s="474" t="s">
        <v>124</v>
      </c>
      <c r="T58" s="373" t="s">
        <v>301</v>
      </c>
      <c r="U58" s="373" t="s">
        <v>301</v>
      </c>
      <c r="V58" s="373" t="s">
        <v>301</v>
      </c>
      <c r="W58" s="373" t="s">
        <v>301</v>
      </c>
      <c r="X58" s="380" t="s">
        <v>124</v>
      </c>
    </row>
    <row r="59">
      <c r="A59" s="406">
        <v>3.0</v>
      </c>
      <c r="B59" s="403" t="s">
        <v>331</v>
      </c>
      <c r="C59" s="382"/>
      <c r="D59" s="403" t="s">
        <v>1229</v>
      </c>
      <c r="E59" s="403" t="s">
        <v>1059</v>
      </c>
      <c r="F59" s="382"/>
      <c r="G59" s="387" t="s">
        <v>1222</v>
      </c>
      <c r="H59" s="387" t="s">
        <v>1223</v>
      </c>
      <c r="I59" s="387" t="s">
        <v>1224</v>
      </c>
      <c r="J59" s="406" t="s">
        <v>301</v>
      </c>
      <c r="K59" s="471"/>
      <c r="L59" s="460" t="s">
        <v>1409</v>
      </c>
      <c r="M59" s="460" t="s">
        <v>1409</v>
      </c>
      <c r="N59" s="406" t="s">
        <v>1180</v>
      </c>
      <c r="O59" s="406" t="s">
        <v>301</v>
      </c>
      <c r="P59" s="406" t="s">
        <v>301</v>
      </c>
      <c r="Q59" s="406" t="s">
        <v>301</v>
      </c>
      <c r="R59" s="406" t="s">
        <v>301</v>
      </c>
      <c r="S59" s="472" t="s">
        <v>124</v>
      </c>
      <c r="T59" s="381" t="s">
        <v>301</v>
      </c>
      <c r="U59" s="381" t="s">
        <v>301</v>
      </c>
      <c r="V59" s="381" t="s">
        <v>301</v>
      </c>
      <c r="W59" s="381" t="s">
        <v>301</v>
      </c>
      <c r="X59" s="387" t="s">
        <v>124</v>
      </c>
    </row>
    <row r="60">
      <c r="A60" s="400">
        <v>4.0</v>
      </c>
      <c r="B60" s="380" t="s">
        <v>331</v>
      </c>
      <c r="C60" s="378"/>
      <c r="D60" s="380" t="s">
        <v>1229</v>
      </c>
      <c r="E60" s="380" t="s">
        <v>1059</v>
      </c>
      <c r="F60" s="378"/>
      <c r="G60" s="380" t="s">
        <v>1222</v>
      </c>
      <c r="H60" s="380" t="s">
        <v>1223</v>
      </c>
      <c r="I60" s="380" t="s">
        <v>1224</v>
      </c>
      <c r="J60" s="400" t="s">
        <v>301</v>
      </c>
      <c r="K60" s="473"/>
      <c r="L60" s="463" t="s">
        <v>1410</v>
      </c>
      <c r="M60" s="463" t="s">
        <v>1410</v>
      </c>
      <c r="N60" s="400" t="s">
        <v>1180</v>
      </c>
      <c r="O60" s="400" t="s">
        <v>301</v>
      </c>
      <c r="P60" s="400" t="s">
        <v>301</v>
      </c>
      <c r="Q60" s="400" t="s">
        <v>301</v>
      </c>
      <c r="R60" s="400" t="s">
        <v>301</v>
      </c>
      <c r="S60" s="474" t="s">
        <v>124</v>
      </c>
      <c r="T60" s="373" t="s">
        <v>301</v>
      </c>
      <c r="U60" s="373" t="s">
        <v>301</v>
      </c>
      <c r="V60" s="373" t="s">
        <v>301</v>
      </c>
      <c r="W60" s="373" t="s">
        <v>301</v>
      </c>
      <c r="X60" s="380" t="s">
        <v>124</v>
      </c>
      <c r="Y60" s="347"/>
      <c r="Z60" s="347"/>
    </row>
    <row r="61">
      <c r="A61" s="406">
        <v>5.0</v>
      </c>
      <c r="B61" s="403" t="s">
        <v>331</v>
      </c>
      <c r="C61" s="382"/>
      <c r="D61" s="403" t="s">
        <v>1229</v>
      </c>
      <c r="E61" s="403" t="s">
        <v>1059</v>
      </c>
      <c r="F61" s="382"/>
      <c r="G61" s="387" t="s">
        <v>1222</v>
      </c>
      <c r="H61" s="387" t="s">
        <v>1223</v>
      </c>
      <c r="I61" s="387" t="s">
        <v>1224</v>
      </c>
      <c r="J61" s="406" t="s">
        <v>301</v>
      </c>
      <c r="K61" s="471"/>
      <c r="L61" s="460" t="s">
        <v>1411</v>
      </c>
      <c r="M61" s="460" t="s">
        <v>1411</v>
      </c>
      <c r="N61" s="406" t="s">
        <v>1171</v>
      </c>
      <c r="O61" s="406" t="s">
        <v>301</v>
      </c>
      <c r="P61" s="406" t="s">
        <v>301</v>
      </c>
      <c r="Q61" s="406" t="s">
        <v>301</v>
      </c>
      <c r="R61" s="406" t="s">
        <v>301</v>
      </c>
      <c r="S61" s="472" t="s">
        <v>124</v>
      </c>
      <c r="T61" s="381" t="s">
        <v>301</v>
      </c>
      <c r="U61" s="381" t="s">
        <v>301</v>
      </c>
      <c r="V61" s="381" t="s">
        <v>301</v>
      </c>
      <c r="W61" s="381" t="s">
        <v>301</v>
      </c>
      <c r="X61" s="387" t="s">
        <v>124</v>
      </c>
    </row>
    <row r="62">
      <c r="A62" s="400">
        <v>6.0</v>
      </c>
      <c r="B62" s="397" t="s">
        <v>331</v>
      </c>
      <c r="C62" s="374"/>
      <c r="D62" s="397" t="s">
        <v>1229</v>
      </c>
      <c r="E62" s="397" t="s">
        <v>1059</v>
      </c>
      <c r="F62" s="374"/>
      <c r="G62" s="380" t="s">
        <v>1222</v>
      </c>
      <c r="H62" s="380" t="s">
        <v>1223</v>
      </c>
      <c r="I62" s="380" t="s">
        <v>1224</v>
      </c>
      <c r="J62" s="400" t="s">
        <v>301</v>
      </c>
      <c r="K62" s="473"/>
      <c r="L62" s="463" t="s">
        <v>1412</v>
      </c>
      <c r="M62" s="463" t="s">
        <v>1412</v>
      </c>
      <c r="N62" s="400" t="s">
        <v>1432</v>
      </c>
      <c r="O62" s="400" t="s">
        <v>301</v>
      </c>
      <c r="P62" s="400" t="s">
        <v>301</v>
      </c>
      <c r="Q62" s="400" t="s">
        <v>301</v>
      </c>
      <c r="R62" s="400" t="s">
        <v>301</v>
      </c>
      <c r="S62" s="474" t="s">
        <v>124</v>
      </c>
      <c r="T62" s="373" t="s">
        <v>301</v>
      </c>
      <c r="U62" s="373" t="s">
        <v>301</v>
      </c>
      <c r="V62" s="373" t="s">
        <v>301</v>
      </c>
      <c r="W62" s="373" t="s">
        <v>301</v>
      </c>
      <c r="X62" s="380" t="s">
        <v>124</v>
      </c>
    </row>
    <row r="63">
      <c r="A63" s="406">
        <v>7.0</v>
      </c>
      <c r="B63" s="403" t="s">
        <v>331</v>
      </c>
      <c r="C63" s="382"/>
      <c r="D63" s="403" t="s">
        <v>1229</v>
      </c>
      <c r="E63" s="403" t="s">
        <v>1059</v>
      </c>
      <c r="F63" s="382"/>
      <c r="G63" s="387" t="s">
        <v>1222</v>
      </c>
      <c r="H63" s="387" t="s">
        <v>1223</v>
      </c>
      <c r="I63" s="387" t="s">
        <v>1224</v>
      </c>
      <c r="J63" s="406" t="s">
        <v>301</v>
      </c>
      <c r="K63" s="471"/>
      <c r="L63" s="460" t="s">
        <v>1414</v>
      </c>
      <c r="M63" s="460" t="s">
        <v>1414</v>
      </c>
      <c r="N63" s="406" t="s">
        <v>1180</v>
      </c>
      <c r="O63" s="406" t="s">
        <v>301</v>
      </c>
      <c r="P63" s="406" t="s">
        <v>301</v>
      </c>
      <c r="Q63" s="406" t="s">
        <v>301</v>
      </c>
      <c r="R63" s="406" t="s">
        <v>301</v>
      </c>
      <c r="S63" s="472" t="s">
        <v>124</v>
      </c>
      <c r="T63" s="381" t="s">
        <v>301</v>
      </c>
      <c r="U63" s="381" t="s">
        <v>301</v>
      </c>
      <c r="V63" s="381" t="s">
        <v>301</v>
      </c>
      <c r="W63" s="381" t="s">
        <v>301</v>
      </c>
      <c r="X63" s="387" t="s">
        <v>124</v>
      </c>
    </row>
    <row r="64">
      <c r="A64" s="400">
        <v>8.0</v>
      </c>
      <c r="B64" s="397" t="s">
        <v>331</v>
      </c>
      <c r="C64" s="374"/>
      <c r="D64" s="397" t="s">
        <v>1229</v>
      </c>
      <c r="E64" s="397" t="s">
        <v>1059</v>
      </c>
      <c r="F64" s="374"/>
      <c r="G64" s="380" t="s">
        <v>1222</v>
      </c>
      <c r="H64" s="380" t="s">
        <v>1223</v>
      </c>
      <c r="I64" s="380" t="s">
        <v>1224</v>
      </c>
      <c r="J64" s="400" t="s">
        <v>301</v>
      </c>
      <c r="K64" s="473"/>
      <c r="L64" s="463" t="s">
        <v>1417</v>
      </c>
      <c r="M64" s="463" t="s">
        <v>1417</v>
      </c>
      <c r="N64" s="400" t="s">
        <v>1433</v>
      </c>
      <c r="O64" s="400" t="s">
        <v>301</v>
      </c>
      <c r="P64" s="400" t="s">
        <v>301</v>
      </c>
      <c r="Q64" s="400" t="s">
        <v>301</v>
      </c>
      <c r="R64" s="400" t="s">
        <v>301</v>
      </c>
      <c r="S64" s="474" t="s">
        <v>124</v>
      </c>
      <c r="T64" s="373" t="s">
        <v>301</v>
      </c>
      <c r="U64" s="373" t="s">
        <v>301</v>
      </c>
      <c r="V64" s="373" t="s">
        <v>301</v>
      </c>
      <c r="W64" s="373" t="s">
        <v>301</v>
      </c>
      <c r="X64" s="380" t="s">
        <v>124</v>
      </c>
    </row>
    <row r="65">
      <c r="A65" s="406">
        <v>9.0</v>
      </c>
      <c r="B65" s="403" t="s">
        <v>331</v>
      </c>
      <c r="C65" s="382"/>
      <c r="D65" s="403" t="s">
        <v>1229</v>
      </c>
      <c r="E65" s="403" t="s">
        <v>1059</v>
      </c>
      <c r="F65" s="382"/>
      <c r="G65" s="387" t="s">
        <v>1222</v>
      </c>
      <c r="H65" s="387" t="s">
        <v>1223</v>
      </c>
      <c r="I65" s="387" t="s">
        <v>1224</v>
      </c>
      <c r="J65" s="406" t="s">
        <v>301</v>
      </c>
      <c r="K65" s="471"/>
      <c r="L65" s="460" t="s">
        <v>1406</v>
      </c>
      <c r="M65" s="460" t="s">
        <v>1406</v>
      </c>
      <c r="N65" s="406" t="s">
        <v>1434</v>
      </c>
      <c r="O65" s="406" t="s">
        <v>301</v>
      </c>
      <c r="P65" s="406" t="s">
        <v>301</v>
      </c>
      <c r="Q65" s="406" t="s">
        <v>301</v>
      </c>
      <c r="R65" s="406" t="s">
        <v>301</v>
      </c>
      <c r="S65" s="472" t="s">
        <v>124</v>
      </c>
      <c r="T65" s="381" t="s">
        <v>301</v>
      </c>
      <c r="U65" s="381" t="s">
        <v>301</v>
      </c>
      <c r="V65" s="381" t="s">
        <v>301</v>
      </c>
      <c r="W65" s="381" t="s">
        <v>301</v>
      </c>
      <c r="X65" s="387" t="s">
        <v>124</v>
      </c>
    </row>
    <row r="66">
      <c r="A66" s="400">
        <v>10.0</v>
      </c>
      <c r="B66" s="397" t="s">
        <v>331</v>
      </c>
      <c r="C66" s="374"/>
      <c r="D66" s="397" t="s">
        <v>1229</v>
      </c>
      <c r="E66" s="397" t="s">
        <v>1059</v>
      </c>
      <c r="F66" s="374"/>
      <c r="G66" s="380" t="s">
        <v>1222</v>
      </c>
      <c r="H66" s="380" t="s">
        <v>1223</v>
      </c>
      <c r="I66" s="380" t="s">
        <v>1224</v>
      </c>
      <c r="J66" s="400" t="s">
        <v>301</v>
      </c>
      <c r="K66" s="473"/>
      <c r="L66" s="463" t="s">
        <v>1415</v>
      </c>
      <c r="M66" s="463" t="s">
        <v>1415</v>
      </c>
      <c r="N66" s="400" t="s">
        <v>1435</v>
      </c>
      <c r="O66" s="400" t="s">
        <v>301</v>
      </c>
      <c r="P66" s="400" t="s">
        <v>301</v>
      </c>
      <c r="Q66" s="400" t="s">
        <v>301</v>
      </c>
      <c r="R66" s="400" t="s">
        <v>301</v>
      </c>
      <c r="S66" s="474" t="s">
        <v>124</v>
      </c>
      <c r="T66" s="373" t="s">
        <v>301</v>
      </c>
      <c r="U66" s="373" t="s">
        <v>301</v>
      </c>
      <c r="V66" s="373" t="s">
        <v>301</v>
      </c>
      <c r="W66" s="373" t="s">
        <v>301</v>
      </c>
      <c r="X66" s="380" t="s">
        <v>124</v>
      </c>
    </row>
    <row r="67">
      <c r="A67" s="406">
        <v>11.0</v>
      </c>
      <c r="B67" s="403" t="s">
        <v>331</v>
      </c>
      <c r="C67" s="382"/>
      <c r="D67" s="403" t="s">
        <v>1229</v>
      </c>
      <c r="E67" s="403" t="s">
        <v>1059</v>
      </c>
      <c r="F67" s="382"/>
      <c r="G67" s="387" t="s">
        <v>1222</v>
      </c>
      <c r="H67" s="387" t="s">
        <v>1223</v>
      </c>
      <c r="I67" s="387" t="s">
        <v>1224</v>
      </c>
      <c r="J67" s="406" t="s">
        <v>301</v>
      </c>
      <c r="K67" s="471"/>
      <c r="L67" s="460" t="s">
        <v>1436</v>
      </c>
      <c r="M67" s="460" t="s">
        <v>1436</v>
      </c>
      <c r="N67" s="406" t="s">
        <v>1437</v>
      </c>
      <c r="O67" s="406" t="s">
        <v>301</v>
      </c>
      <c r="P67" s="406" t="s">
        <v>301</v>
      </c>
      <c r="Q67" s="406" t="s">
        <v>301</v>
      </c>
      <c r="R67" s="406" t="s">
        <v>301</v>
      </c>
      <c r="S67" s="472" t="s">
        <v>124</v>
      </c>
      <c r="T67" s="381" t="s">
        <v>301</v>
      </c>
      <c r="U67" s="381" t="s">
        <v>301</v>
      </c>
      <c r="V67" s="381" t="s">
        <v>301</v>
      </c>
      <c r="W67" s="381" t="s">
        <v>301</v>
      </c>
      <c r="X67" s="387" t="s">
        <v>124</v>
      </c>
    </row>
    <row r="68">
      <c r="A68" s="400">
        <v>12.0</v>
      </c>
      <c r="B68" s="397" t="s">
        <v>307</v>
      </c>
      <c r="C68" s="374"/>
      <c r="D68" s="397" t="s">
        <v>1229</v>
      </c>
      <c r="E68" s="397" t="s">
        <v>1245</v>
      </c>
      <c r="F68" s="374"/>
      <c r="G68" s="380" t="s">
        <v>1246</v>
      </c>
      <c r="H68" s="380" t="s">
        <v>1247</v>
      </c>
      <c r="I68" s="380" t="s">
        <v>1248</v>
      </c>
      <c r="J68" s="400" t="s">
        <v>301</v>
      </c>
      <c r="K68" s="473"/>
      <c r="L68" s="463" t="s">
        <v>1438</v>
      </c>
      <c r="M68" s="463" t="s">
        <v>1438</v>
      </c>
      <c r="N68" s="400" t="s">
        <v>1439</v>
      </c>
      <c r="O68" s="400" t="s">
        <v>301</v>
      </c>
      <c r="P68" s="400" t="s">
        <v>301</v>
      </c>
      <c r="Q68" s="400" t="s">
        <v>301</v>
      </c>
      <c r="R68" s="400" t="s">
        <v>301</v>
      </c>
      <c r="S68" s="474" t="s">
        <v>124</v>
      </c>
      <c r="T68" s="373" t="s">
        <v>301</v>
      </c>
      <c r="U68" s="373" t="s">
        <v>301</v>
      </c>
      <c r="V68" s="373" t="s">
        <v>301</v>
      </c>
      <c r="W68" s="373" t="s">
        <v>301</v>
      </c>
      <c r="X68" s="380" t="s">
        <v>124</v>
      </c>
    </row>
    <row r="69">
      <c r="A69" s="406">
        <v>13.0</v>
      </c>
      <c r="B69" s="403" t="s">
        <v>307</v>
      </c>
      <c r="C69" s="382"/>
      <c r="D69" s="403" t="s">
        <v>1229</v>
      </c>
      <c r="E69" s="403" t="s">
        <v>1245</v>
      </c>
      <c r="F69" s="382"/>
      <c r="G69" s="387" t="s">
        <v>1246</v>
      </c>
      <c r="H69" s="387" t="s">
        <v>1247</v>
      </c>
      <c r="I69" s="387" t="s">
        <v>1248</v>
      </c>
      <c r="J69" s="406" t="s">
        <v>301</v>
      </c>
      <c r="K69" s="471"/>
      <c r="L69" s="460" t="s">
        <v>1440</v>
      </c>
      <c r="M69" s="460" t="s">
        <v>1440</v>
      </c>
      <c r="N69" s="406" t="s">
        <v>1441</v>
      </c>
      <c r="O69" s="406" t="s">
        <v>301</v>
      </c>
      <c r="P69" s="406" t="s">
        <v>301</v>
      </c>
      <c r="Q69" s="406" t="s">
        <v>301</v>
      </c>
      <c r="R69" s="406" t="s">
        <v>301</v>
      </c>
      <c r="S69" s="472" t="s">
        <v>124</v>
      </c>
      <c r="T69" s="381" t="s">
        <v>301</v>
      </c>
      <c r="U69" s="381" t="s">
        <v>301</v>
      </c>
      <c r="V69" s="381" t="s">
        <v>301</v>
      </c>
      <c r="W69" s="381" t="s">
        <v>301</v>
      </c>
      <c r="X69" s="387" t="s">
        <v>124</v>
      </c>
    </row>
    <row r="70">
      <c r="A70" s="400">
        <v>14.0</v>
      </c>
      <c r="B70" s="397" t="s">
        <v>307</v>
      </c>
      <c r="C70" s="374"/>
      <c r="D70" s="397" t="s">
        <v>1229</v>
      </c>
      <c r="E70" s="397" t="s">
        <v>1245</v>
      </c>
      <c r="F70" s="374"/>
      <c r="G70" s="380" t="s">
        <v>1246</v>
      </c>
      <c r="H70" s="380" t="s">
        <v>1247</v>
      </c>
      <c r="I70" s="380" t="s">
        <v>1248</v>
      </c>
      <c r="J70" s="400" t="s">
        <v>301</v>
      </c>
      <c r="K70" s="473"/>
      <c r="L70" s="463" t="s">
        <v>1442</v>
      </c>
      <c r="M70" s="463" t="s">
        <v>1442</v>
      </c>
      <c r="N70" s="400" t="s">
        <v>1443</v>
      </c>
      <c r="O70" s="400" t="s">
        <v>301</v>
      </c>
      <c r="P70" s="400" t="s">
        <v>301</v>
      </c>
      <c r="Q70" s="400" t="s">
        <v>301</v>
      </c>
      <c r="R70" s="400" t="s">
        <v>301</v>
      </c>
      <c r="S70" s="474" t="s">
        <v>1444</v>
      </c>
      <c r="T70" s="373" t="s">
        <v>301</v>
      </c>
      <c r="U70" s="373" t="s">
        <v>301</v>
      </c>
      <c r="V70" s="373" t="s">
        <v>301</v>
      </c>
      <c r="W70" s="373" t="s">
        <v>301</v>
      </c>
      <c r="X70" s="380" t="s">
        <v>1444</v>
      </c>
    </row>
    <row r="71">
      <c r="A71" s="406">
        <v>15.0</v>
      </c>
      <c r="B71" s="403" t="s">
        <v>307</v>
      </c>
      <c r="C71" s="382"/>
      <c r="D71" s="403" t="s">
        <v>1229</v>
      </c>
      <c r="E71" s="403" t="s">
        <v>1245</v>
      </c>
      <c r="F71" s="382"/>
      <c r="G71" s="387" t="s">
        <v>1246</v>
      </c>
      <c r="H71" s="387" t="s">
        <v>1247</v>
      </c>
      <c r="I71" s="387" t="s">
        <v>1253</v>
      </c>
      <c r="J71" s="406" t="s">
        <v>301</v>
      </c>
      <c r="K71" s="475"/>
      <c r="L71" s="460" t="s">
        <v>1445</v>
      </c>
      <c r="M71" s="460" t="s">
        <v>1445</v>
      </c>
      <c r="N71" s="406" t="s">
        <v>1446</v>
      </c>
      <c r="O71" s="406" t="s">
        <v>301</v>
      </c>
      <c r="P71" s="406" t="s">
        <v>301</v>
      </c>
      <c r="Q71" s="406" t="s">
        <v>301</v>
      </c>
      <c r="R71" s="406" t="s">
        <v>301</v>
      </c>
      <c r="S71" s="472" t="s">
        <v>1444</v>
      </c>
      <c r="T71" s="381" t="s">
        <v>301</v>
      </c>
      <c r="U71" s="381" t="s">
        <v>301</v>
      </c>
      <c r="V71" s="381" t="s">
        <v>301</v>
      </c>
      <c r="W71" s="381" t="s">
        <v>301</v>
      </c>
      <c r="X71" s="387" t="s">
        <v>1444</v>
      </c>
    </row>
    <row r="72">
      <c r="A72" s="400">
        <v>16.0</v>
      </c>
      <c r="B72" s="397" t="s">
        <v>307</v>
      </c>
      <c r="C72" s="374"/>
      <c r="D72" s="397" t="s">
        <v>1229</v>
      </c>
      <c r="E72" s="397" t="s">
        <v>1258</v>
      </c>
      <c r="F72" s="374"/>
      <c r="G72" s="380" t="s">
        <v>1259</v>
      </c>
      <c r="H72" s="380" t="s">
        <v>1260</v>
      </c>
      <c r="I72" s="380" t="s">
        <v>1261</v>
      </c>
      <c r="J72" s="400" t="s">
        <v>301</v>
      </c>
      <c r="K72" s="378"/>
      <c r="L72" s="463" t="s">
        <v>1447</v>
      </c>
      <c r="M72" s="463" t="s">
        <v>1447</v>
      </c>
      <c r="N72" s="474" t="s">
        <v>1448</v>
      </c>
      <c r="O72" s="400" t="s">
        <v>301</v>
      </c>
      <c r="P72" s="400" t="s">
        <v>301</v>
      </c>
      <c r="Q72" s="400" t="s">
        <v>301</v>
      </c>
      <c r="R72" s="400" t="s">
        <v>301</v>
      </c>
      <c r="S72" s="474" t="s">
        <v>124</v>
      </c>
      <c r="T72" s="373" t="s">
        <v>301</v>
      </c>
      <c r="U72" s="373" t="s">
        <v>301</v>
      </c>
      <c r="V72" s="373" t="s">
        <v>301</v>
      </c>
      <c r="W72" s="373" t="s">
        <v>301</v>
      </c>
      <c r="X72" s="380" t="s">
        <v>124</v>
      </c>
    </row>
    <row r="73">
      <c r="A73" s="406">
        <v>17.0</v>
      </c>
      <c r="B73" s="403" t="s">
        <v>307</v>
      </c>
      <c r="C73" s="382"/>
      <c r="D73" s="403" t="s">
        <v>1229</v>
      </c>
      <c r="E73" s="403" t="s">
        <v>1258</v>
      </c>
      <c r="F73" s="382"/>
      <c r="G73" s="387" t="s">
        <v>1259</v>
      </c>
      <c r="H73" s="387" t="s">
        <v>1260</v>
      </c>
      <c r="I73" s="387" t="s">
        <v>1261</v>
      </c>
      <c r="J73" s="406" t="s">
        <v>301</v>
      </c>
      <c r="K73" s="386"/>
      <c r="L73" s="460" t="s">
        <v>1449</v>
      </c>
      <c r="M73" s="460" t="s">
        <v>1449</v>
      </c>
      <c r="N73" s="472" t="s">
        <v>1450</v>
      </c>
      <c r="O73" s="406" t="s">
        <v>301</v>
      </c>
      <c r="P73" s="406" t="s">
        <v>301</v>
      </c>
      <c r="Q73" s="406" t="s">
        <v>301</v>
      </c>
      <c r="R73" s="406" t="s">
        <v>301</v>
      </c>
      <c r="S73" s="472" t="s">
        <v>124</v>
      </c>
      <c r="T73" s="381" t="s">
        <v>301</v>
      </c>
      <c r="U73" s="381" t="s">
        <v>301</v>
      </c>
      <c r="V73" s="381" t="s">
        <v>301</v>
      </c>
      <c r="W73" s="381" t="s">
        <v>301</v>
      </c>
      <c r="X73" s="387" t="s">
        <v>124</v>
      </c>
    </row>
    <row r="74">
      <c r="A74" s="400">
        <v>18.0</v>
      </c>
      <c r="B74" s="397" t="s">
        <v>307</v>
      </c>
      <c r="C74" s="374"/>
      <c r="D74" s="397" t="s">
        <v>1229</v>
      </c>
      <c r="E74" s="397" t="s">
        <v>1258</v>
      </c>
      <c r="F74" s="374"/>
      <c r="G74" s="380" t="s">
        <v>1259</v>
      </c>
      <c r="H74" s="380" t="s">
        <v>1260</v>
      </c>
      <c r="I74" s="380" t="s">
        <v>1261</v>
      </c>
      <c r="J74" s="400" t="s">
        <v>301</v>
      </c>
      <c r="K74" s="378"/>
      <c r="L74" s="463" t="s">
        <v>1451</v>
      </c>
      <c r="M74" s="463" t="s">
        <v>1451</v>
      </c>
      <c r="N74" s="474" t="s">
        <v>1452</v>
      </c>
      <c r="O74" s="400" t="s">
        <v>301</v>
      </c>
      <c r="P74" s="400" t="s">
        <v>301</v>
      </c>
      <c r="Q74" s="400" t="s">
        <v>301</v>
      </c>
      <c r="R74" s="400" t="s">
        <v>301</v>
      </c>
      <c r="S74" s="474" t="s">
        <v>124</v>
      </c>
      <c r="T74" s="373" t="s">
        <v>301</v>
      </c>
      <c r="U74" s="373" t="s">
        <v>301</v>
      </c>
      <c r="V74" s="373" t="s">
        <v>301</v>
      </c>
      <c r="W74" s="373" t="s">
        <v>301</v>
      </c>
      <c r="X74" s="380" t="s">
        <v>124</v>
      </c>
    </row>
    <row r="75">
      <c r="A75" s="406">
        <v>19.0</v>
      </c>
      <c r="B75" s="403" t="s">
        <v>307</v>
      </c>
      <c r="C75" s="382"/>
      <c r="D75" s="403" t="s">
        <v>1229</v>
      </c>
      <c r="E75" s="403" t="s">
        <v>1258</v>
      </c>
      <c r="F75" s="382"/>
      <c r="G75" s="387" t="s">
        <v>1259</v>
      </c>
      <c r="H75" s="387" t="s">
        <v>1260</v>
      </c>
      <c r="I75" s="387" t="s">
        <v>1261</v>
      </c>
      <c r="J75" s="406" t="s">
        <v>301</v>
      </c>
      <c r="K75" s="475"/>
      <c r="L75" s="460" t="s">
        <v>1453</v>
      </c>
      <c r="M75" s="460" t="s">
        <v>1453</v>
      </c>
      <c r="N75" s="406" t="s">
        <v>1454</v>
      </c>
      <c r="O75" s="406" t="s">
        <v>301</v>
      </c>
      <c r="P75" s="406" t="s">
        <v>301</v>
      </c>
      <c r="Q75" s="406" t="s">
        <v>301</v>
      </c>
      <c r="R75" s="406" t="s">
        <v>301</v>
      </c>
      <c r="S75" s="472" t="s">
        <v>1444</v>
      </c>
      <c r="T75" s="381" t="s">
        <v>301</v>
      </c>
      <c r="U75" s="381" t="s">
        <v>301</v>
      </c>
      <c r="V75" s="381" t="s">
        <v>301</v>
      </c>
      <c r="W75" s="381" t="s">
        <v>301</v>
      </c>
      <c r="X75" s="387" t="s">
        <v>1444</v>
      </c>
    </row>
    <row r="76">
      <c r="A76" s="400">
        <v>20.0</v>
      </c>
      <c r="B76" s="397" t="s">
        <v>307</v>
      </c>
      <c r="C76" s="374"/>
      <c r="D76" s="397" t="s">
        <v>1229</v>
      </c>
      <c r="E76" s="397" t="s">
        <v>1258</v>
      </c>
      <c r="F76" s="374"/>
      <c r="G76" s="380" t="s">
        <v>1259</v>
      </c>
      <c r="H76" s="380" t="s">
        <v>1260</v>
      </c>
      <c r="I76" s="380" t="s">
        <v>1261</v>
      </c>
      <c r="J76" s="400" t="s">
        <v>301</v>
      </c>
      <c r="K76" s="476"/>
      <c r="L76" s="463" t="s">
        <v>1455</v>
      </c>
      <c r="M76" s="463" t="s">
        <v>1455</v>
      </c>
      <c r="N76" s="400" t="s">
        <v>1456</v>
      </c>
      <c r="O76" s="400" t="s">
        <v>301</v>
      </c>
      <c r="P76" s="400" t="s">
        <v>301</v>
      </c>
      <c r="Q76" s="400" t="s">
        <v>301</v>
      </c>
      <c r="R76" s="400" t="s">
        <v>301</v>
      </c>
      <c r="S76" s="474" t="s">
        <v>1444</v>
      </c>
      <c r="T76" s="373" t="s">
        <v>301</v>
      </c>
      <c r="U76" s="373" t="s">
        <v>301</v>
      </c>
      <c r="V76" s="373" t="s">
        <v>301</v>
      </c>
      <c r="W76" s="373" t="s">
        <v>301</v>
      </c>
      <c r="X76" s="380" t="s">
        <v>1444</v>
      </c>
    </row>
    <row r="77">
      <c r="A77" s="406">
        <v>21.0</v>
      </c>
      <c r="B77" s="403" t="s">
        <v>307</v>
      </c>
      <c r="C77" s="382"/>
      <c r="D77" s="403" t="s">
        <v>1229</v>
      </c>
      <c r="E77" s="403" t="s">
        <v>1258</v>
      </c>
      <c r="F77" s="382"/>
      <c r="G77" s="387" t="s">
        <v>1259</v>
      </c>
      <c r="H77" s="387" t="s">
        <v>1260</v>
      </c>
      <c r="I77" s="387" t="s">
        <v>1261</v>
      </c>
      <c r="J77" s="406" t="s">
        <v>301</v>
      </c>
      <c r="K77" s="475"/>
      <c r="L77" s="460" t="s">
        <v>1457</v>
      </c>
      <c r="M77" s="460" t="s">
        <v>1457</v>
      </c>
      <c r="N77" s="406" t="s">
        <v>1458</v>
      </c>
      <c r="O77" s="406" t="s">
        <v>301</v>
      </c>
      <c r="P77" s="406" t="s">
        <v>301</v>
      </c>
      <c r="Q77" s="406" t="s">
        <v>301</v>
      </c>
      <c r="R77" s="406" t="s">
        <v>301</v>
      </c>
      <c r="S77" s="472" t="s">
        <v>1444</v>
      </c>
      <c r="T77" s="381" t="s">
        <v>301</v>
      </c>
      <c r="U77" s="381" t="s">
        <v>301</v>
      </c>
      <c r="V77" s="381" t="s">
        <v>301</v>
      </c>
      <c r="W77" s="381" t="s">
        <v>301</v>
      </c>
      <c r="X77" s="387" t="s">
        <v>1444</v>
      </c>
    </row>
    <row r="78">
      <c r="A78" s="400">
        <v>22.0</v>
      </c>
      <c r="B78" s="397" t="s">
        <v>307</v>
      </c>
      <c r="C78" s="374"/>
      <c r="D78" s="397" t="s">
        <v>1229</v>
      </c>
      <c r="E78" s="397" t="s">
        <v>1258</v>
      </c>
      <c r="F78" s="374"/>
      <c r="G78" s="380" t="s">
        <v>1259</v>
      </c>
      <c r="H78" s="380" t="s">
        <v>1260</v>
      </c>
      <c r="I78" s="380" t="s">
        <v>1264</v>
      </c>
      <c r="J78" s="400" t="s">
        <v>301</v>
      </c>
      <c r="K78" s="476"/>
      <c r="L78" s="463" t="s">
        <v>1459</v>
      </c>
      <c r="M78" s="463" t="s">
        <v>1459</v>
      </c>
      <c r="N78" s="400" t="s">
        <v>1454</v>
      </c>
      <c r="O78" s="400" t="s">
        <v>301</v>
      </c>
      <c r="P78" s="400" t="s">
        <v>301</v>
      </c>
      <c r="Q78" s="400" t="s">
        <v>301</v>
      </c>
      <c r="R78" s="400" t="s">
        <v>301</v>
      </c>
      <c r="S78" s="474" t="s">
        <v>1444</v>
      </c>
      <c r="T78" s="373" t="s">
        <v>301</v>
      </c>
      <c r="U78" s="373" t="s">
        <v>301</v>
      </c>
      <c r="V78" s="373" t="s">
        <v>301</v>
      </c>
      <c r="W78" s="373" t="s">
        <v>301</v>
      </c>
      <c r="X78" s="380" t="s">
        <v>1444</v>
      </c>
    </row>
    <row r="79">
      <c r="A79" s="406">
        <v>23.0</v>
      </c>
      <c r="B79" s="403" t="s">
        <v>307</v>
      </c>
      <c r="C79" s="382"/>
      <c r="D79" s="403" t="s">
        <v>1229</v>
      </c>
      <c r="E79" s="403" t="s">
        <v>1258</v>
      </c>
      <c r="F79" s="382"/>
      <c r="G79" s="387" t="s">
        <v>1259</v>
      </c>
      <c r="H79" s="387" t="s">
        <v>1260</v>
      </c>
      <c r="I79" s="387" t="s">
        <v>1264</v>
      </c>
      <c r="J79" s="406" t="s">
        <v>301</v>
      </c>
      <c r="K79" s="475"/>
      <c r="L79" s="460" t="s">
        <v>1460</v>
      </c>
      <c r="M79" s="460" t="s">
        <v>1460</v>
      </c>
      <c r="N79" s="406" t="s">
        <v>1454</v>
      </c>
      <c r="O79" s="406" t="s">
        <v>301</v>
      </c>
      <c r="P79" s="406" t="s">
        <v>301</v>
      </c>
      <c r="Q79" s="406" t="s">
        <v>301</v>
      </c>
      <c r="R79" s="406" t="s">
        <v>301</v>
      </c>
      <c r="S79" s="472" t="s">
        <v>1444</v>
      </c>
      <c r="T79" s="381" t="s">
        <v>301</v>
      </c>
      <c r="U79" s="381" t="s">
        <v>301</v>
      </c>
      <c r="V79" s="381" t="s">
        <v>301</v>
      </c>
      <c r="W79" s="381" t="s">
        <v>301</v>
      </c>
      <c r="X79" s="387" t="s">
        <v>1444</v>
      </c>
    </row>
    <row r="80">
      <c r="A80" s="400">
        <v>24.0</v>
      </c>
      <c r="B80" s="397" t="s">
        <v>307</v>
      </c>
      <c r="C80" s="374"/>
      <c r="D80" s="397" t="s">
        <v>1229</v>
      </c>
      <c r="E80" s="397" t="s">
        <v>1258</v>
      </c>
      <c r="F80" s="374"/>
      <c r="G80" s="380" t="s">
        <v>1259</v>
      </c>
      <c r="H80" s="380" t="s">
        <v>1260</v>
      </c>
      <c r="I80" s="380" t="s">
        <v>1264</v>
      </c>
      <c r="J80" s="400" t="s">
        <v>301</v>
      </c>
      <c r="K80" s="476"/>
      <c r="L80" s="463" t="s">
        <v>1461</v>
      </c>
      <c r="M80" s="463" t="s">
        <v>1461</v>
      </c>
      <c r="N80" s="400" t="s">
        <v>1377</v>
      </c>
      <c r="O80" s="400" t="s">
        <v>301</v>
      </c>
      <c r="P80" s="400" t="s">
        <v>301</v>
      </c>
      <c r="Q80" s="400" t="s">
        <v>301</v>
      </c>
      <c r="R80" s="400" t="s">
        <v>301</v>
      </c>
      <c r="S80" s="474" t="s">
        <v>1444</v>
      </c>
      <c r="T80" s="373" t="s">
        <v>301</v>
      </c>
      <c r="U80" s="373" t="s">
        <v>301</v>
      </c>
      <c r="V80" s="373" t="s">
        <v>301</v>
      </c>
      <c r="W80" s="373" t="s">
        <v>301</v>
      </c>
      <c r="X80" s="380" t="s">
        <v>1444</v>
      </c>
    </row>
    <row r="81">
      <c r="A81" s="406">
        <v>25.0</v>
      </c>
      <c r="B81" s="403" t="s">
        <v>307</v>
      </c>
      <c r="C81" s="382"/>
      <c r="D81" s="403" t="s">
        <v>1229</v>
      </c>
      <c r="E81" s="403" t="s">
        <v>1258</v>
      </c>
      <c r="F81" s="382"/>
      <c r="G81" s="387" t="s">
        <v>1259</v>
      </c>
      <c r="H81" s="387" t="s">
        <v>1260</v>
      </c>
      <c r="I81" s="387" t="s">
        <v>1264</v>
      </c>
      <c r="J81" s="406" t="s">
        <v>301</v>
      </c>
      <c r="K81" s="475"/>
      <c r="L81" s="460" t="s">
        <v>1462</v>
      </c>
      <c r="M81" s="460" t="s">
        <v>1462</v>
      </c>
      <c r="N81" s="406" t="s">
        <v>1377</v>
      </c>
      <c r="O81" s="406" t="s">
        <v>301</v>
      </c>
      <c r="P81" s="406" t="s">
        <v>301</v>
      </c>
      <c r="Q81" s="406" t="s">
        <v>301</v>
      </c>
      <c r="R81" s="406" t="s">
        <v>301</v>
      </c>
      <c r="S81" s="472" t="s">
        <v>1444</v>
      </c>
      <c r="T81" s="381" t="s">
        <v>301</v>
      </c>
      <c r="U81" s="381" t="s">
        <v>301</v>
      </c>
      <c r="V81" s="381" t="s">
        <v>301</v>
      </c>
      <c r="W81" s="381" t="s">
        <v>301</v>
      </c>
      <c r="X81" s="387" t="s">
        <v>1444</v>
      </c>
    </row>
    <row r="82">
      <c r="A82" s="400">
        <v>26.0</v>
      </c>
      <c r="B82" s="397" t="s">
        <v>307</v>
      </c>
      <c r="C82" s="374"/>
      <c r="D82" s="397" t="s">
        <v>1229</v>
      </c>
      <c r="E82" s="397" t="s">
        <v>1267</v>
      </c>
      <c r="F82" s="374"/>
      <c r="G82" s="380" t="s">
        <v>1268</v>
      </c>
      <c r="H82" s="380" t="s">
        <v>1269</v>
      </c>
      <c r="I82" s="380" t="s">
        <v>1270</v>
      </c>
      <c r="J82" s="400" t="s">
        <v>301</v>
      </c>
      <c r="K82" s="476"/>
      <c r="L82" s="463" t="s">
        <v>1463</v>
      </c>
      <c r="M82" s="463" t="s">
        <v>1463</v>
      </c>
      <c r="N82" s="400" t="s">
        <v>1375</v>
      </c>
      <c r="O82" s="400" t="s">
        <v>301</v>
      </c>
      <c r="P82" s="400" t="s">
        <v>301</v>
      </c>
      <c r="Q82" s="400" t="s">
        <v>301</v>
      </c>
      <c r="R82" s="400" t="s">
        <v>301</v>
      </c>
      <c r="S82" s="474" t="s">
        <v>124</v>
      </c>
      <c r="T82" s="373" t="s">
        <v>301</v>
      </c>
      <c r="U82" s="373" t="s">
        <v>301</v>
      </c>
      <c r="V82" s="373" t="s">
        <v>301</v>
      </c>
      <c r="W82" s="373" t="s">
        <v>301</v>
      </c>
      <c r="X82" s="380" t="s">
        <v>1444</v>
      </c>
    </row>
    <row r="83">
      <c r="A83" s="406">
        <v>27.0</v>
      </c>
      <c r="B83" s="403" t="s">
        <v>307</v>
      </c>
      <c r="C83" s="382"/>
      <c r="D83" s="403" t="s">
        <v>1229</v>
      </c>
      <c r="E83" s="403" t="s">
        <v>1267</v>
      </c>
      <c r="F83" s="382"/>
      <c r="G83" s="387" t="s">
        <v>1268</v>
      </c>
      <c r="H83" s="387" t="s">
        <v>1269</v>
      </c>
      <c r="I83" s="387" t="s">
        <v>1270</v>
      </c>
      <c r="J83" s="406" t="s">
        <v>301</v>
      </c>
      <c r="K83" s="475"/>
      <c r="L83" s="460" t="s">
        <v>1464</v>
      </c>
      <c r="M83" s="460" t="s">
        <v>1464</v>
      </c>
      <c r="N83" s="406" t="s">
        <v>1377</v>
      </c>
      <c r="O83" s="406" t="s">
        <v>301</v>
      </c>
      <c r="P83" s="406" t="s">
        <v>301</v>
      </c>
      <c r="Q83" s="406" t="s">
        <v>301</v>
      </c>
      <c r="R83" s="406" t="s">
        <v>301</v>
      </c>
      <c r="S83" s="472" t="s">
        <v>124</v>
      </c>
      <c r="T83" s="381" t="s">
        <v>301</v>
      </c>
      <c r="U83" s="381" t="s">
        <v>301</v>
      </c>
      <c r="V83" s="381" t="s">
        <v>301</v>
      </c>
      <c r="W83" s="381" t="s">
        <v>301</v>
      </c>
      <c r="X83" s="387" t="s">
        <v>1444</v>
      </c>
    </row>
    <row r="84">
      <c r="A84" s="400">
        <v>28.0</v>
      </c>
      <c r="B84" s="380" t="s">
        <v>307</v>
      </c>
      <c r="C84" s="374"/>
      <c r="D84" s="397" t="s">
        <v>1229</v>
      </c>
      <c r="E84" s="380" t="s">
        <v>1267</v>
      </c>
      <c r="F84" s="374"/>
      <c r="G84" s="380" t="s">
        <v>1268</v>
      </c>
      <c r="H84" s="380" t="s">
        <v>1269</v>
      </c>
      <c r="I84" s="380" t="s">
        <v>1270</v>
      </c>
      <c r="J84" s="400" t="s">
        <v>301</v>
      </c>
      <c r="K84" s="476"/>
      <c r="L84" s="463" t="s">
        <v>1465</v>
      </c>
      <c r="M84" s="463" t="s">
        <v>1465</v>
      </c>
      <c r="N84" s="477" t="s">
        <v>1466</v>
      </c>
      <c r="O84" s="400" t="s">
        <v>301</v>
      </c>
      <c r="P84" s="400" t="s">
        <v>301</v>
      </c>
      <c r="Q84" s="400" t="s">
        <v>301</v>
      </c>
      <c r="R84" s="400" t="s">
        <v>301</v>
      </c>
      <c r="S84" s="474" t="s">
        <v>124</v>
      </c>
      <c r="T84" s="373" t="s">
        <v>301</v>
      </c>
      <c r="U84" s="373" t="s">
        <v>301</v>
      </c>
      <c r="V84" s="373" t="s">
        <v>301</v>
      </c>
      <c r="W84" s="373" t="s">
        <v>301</v>
      </c>
      <c r="X84" s="380" t="s">
        <v>1444</v>
      </c>
    </row>
    <row r="85">
      <c r="A85" s="406">
        <v>29.0</v>
      </c>
      <c r="B85" s="387" t="s">
        <v>307</v>
      </c>
      <c r="C85" s="382"/>
      <c r="D85" s="403" t="s">
        <v>1229</v>
      </c>
      <c r="E85" s="387" t="s">
        <v>1267</v>
      </c>
      <c r="F85" s="382"/>
      <c r="G85" s="387" t="s">
        <v>1268</v>
      </c>
      <c r="H85" s="387" t="s">
        <v>1269</v>
      </c>
      <c r="I85" s="387" t="s">
        <v>1270</v>
      </c>
      <c r="J85" s="406" t="s">
        <v>301</v>
      </c>
      <c r="K85" s="471"/>
      <c r="L85" s="460" t="s">
        <v>1467</v>
      </c>
      <c r="M85" s="460" t="s">
        <v>1467</v>
      </c>
      <c r="N85" s="478" t="s">
        <v>1468</v>
      </c>
      <c r="O85" s="406" t="s">
        <v>301</v>
      </c>
      <c r="P85" s="406" t="s">
        <v>301</v>
      </c>
      <c r="Q85" s="406" t="s">
        <v>301</v>
      </c>
      <c r="R85" s="406" t="s">
        <v>301</v>
      </c>
      <c r="S85" s="472" t="s">
        <v>1444</v>
      </c>
      <c r="T85" s="381" t="s">
        <v>301</v>
      </c>
      <c r="U85" s="381" t="s">
        <v>301</v>
      </c>
      <c r="V85" s="381" t="s">
        <v>301</v>
      </c>
      <c r="W85" s="381" t="s">
        <v>301</v>
      </c>
      <c r="X85" s="380" t="s">
        <v>124</v>
      </c>
    </row>
    <row r="86">
      <c r="A86" s="400">
        <v>30.0</v>
      </c>
      <c r="B86" s="380" t="s">
        <v>307</v>
      </c>
      <c r="C86" s="374"/>
      <c r="D86" s="397" t="s">
        <v>1229</v>
      </c>
      <c r="E86" s="380" t="s">
        <v>1267</v>
      </c>
      <c r="F86" s="374"/>
      <c r="G86" s="380" t="s">
        <v>1268</v>
      </c>
      <c r="H86" s="380" t="s">
        <v>1269</v>
      </c>
      <c r="I86" s="380" t="s">
        <v>1273</v>
      </c>
      <c r="J86" s="400" t="s">
        <v>301</v>
      </c>
      <c r="K86" s="476"/>
      <c r="L86" s="463" t="s">
        <v>1469</v>
      </c>
      <c r="M86" s="463" t="s">
        <v>1469</v>
      </c>
      <c r="N86" s="477" t="s">
        <v>1470</v>
      </c>
      <c r="O86" s="400" t="s">
        <v>301</v>
      </c>
      <c r="P86" s="400" t="s">
        <v>301</v>
      </c>
      <c r="Q86" s="400" t="s">
        <v>301</v>
      </c>
      <c r="R86" s="400" t="s">
        <v>301</v>
      </c>
      <c r="S86" s="474" t="s">
        <v>124</v>
      </c>
      <c r="T86" s="373" t="s">
        <v>301</v>
      </c>
      <c r="U86" s="373" t="s">
        <v>301</v>
      </c>
      <c r="V86" s="373" t="s">
        <v>301</v>
      </c>
      <c r="W86" s="373" t="s">
        <v>301</v>
      </c>
      <c r="X86" s="387" t="s">
        <v>124</v>
      </c>
    </row>
    <row r="87">
      <c r="A87" s="406">
        <v>31.0</v>
      </c>
      <c r="B87" s="387" t="s">
        <v>307</v>
      </c>
      <c r="C87" s="382"/>
      <c r="D87" s="403" t="s">
        <v>1229</v>
      </c>
      <c r="E87" s="387" t="s">
        <v>1267</v>
      </c>
      <c r="F87" s="382"/>
      <c r="G87" s="387" t="s">
        <v>1268</v>
      </c>
      <c r="H87" s="387" t="s">
        <v>1269</v>
      </c>
      <c r="I87" s="387" t="s">
        <v>1273</v>
      </c>
      <c r="J87" s="406" t="s">
        <v>301</v>
      </c>
      <c r="K87" s="386"/>
      <c r="L87" s="460" t="s">
        <v>1471</v>
      </c>
      <c r="M87" s="460" t="s">
        <v>1471</v>
      </c>
      <c r="N87" s="479" t="s">
        <v>1377</v>
      </c>
      <c r="O87" s="406" t="s">
        <v>301</v>
      </c>
      <c r="P87" s="406" t="s">
        <v>301</v>
      </c>
      <c r="Q87" s="406" t="s">
        <v>301</v>
      </c>
      <c r="R87" s="406" t="s">
        <v>301</v>
      </c>
      <c r="S87" s="472" t="s">
        <v>124</v>
      </c>
      <c r="T87" s="381" t="s">
        <v>301</v>
      </c>
      <c r="U87" s="381" t="s">
        <v>301</v>
      </c>
      <c r="V87" s="381" t="s">
        <v>301</v>
      </c>
      <c r="W87" s="381" t="s">
        <v>301</v>
      </c>
      <c r="X87" s="387" t="s">
        <v>124</v>
      </c>
    </row>
    <row r="88">
      <c r="A88" s="400">
        <v>32.0</v>
      </c>
      <c r="B88" s="397" t="s">
        <v>307</v>
      </c>
      <c r="C88" s="374"/>
      <c r="D88" s="397" t="s">
        <v>1229</v>
      </c>
      <c r="E88" s="397" t="s">
        <v>1267</v>
      </c>
      <c r="F88" s="374"/>
      <c r="G88" s="380" t="s">
        <v>1268</v>
      </c>
      <c r="H88" s="380" t="s">
        <v>1269</v>
      </c>
      <c r="I88" s="380" t="s">
        <v>1273</v>
      </c>
      <c r="J88" s="400" t="s">
        <v>301</v>
      </c>
      <c r="K88" s="378"/>
      <c r="L88" s="463" t="s">
        <v>1472</v>
      </c>
      <c r="M88" s="463" t="s">
        <v>1472</v>
      </c>
      <c r="N88" s="480" t="s">
        <v>1377</v>
      </c>
      <c r="O88" s="400" t="s">
        <v>301</v>
      </c>
      <c r="P88" s="400" t="s">
        <v>301</v>
      </c>
      <c r="Q88" s="400" t="s">
        <v>301</v>
      </c>
      <c r="R88" s="400" t="s">
        <v>301</v>
      </c>
      <c r="S88" s="474" t="s">
        <v>124</v>
      </c>
      <c r="T88" s="373" t="s">
        <v>301</v>
      </c>
      <c r="U88" s="373" t="s">
        <v>301</v>
      </c>
      <c r="V88" s="373" t="s">
        <v>301</v>
      </c>
      <c r="W88" s="373" t="s">
        <v>301</v>
      </c>
      <c r="X88" s="380" t="s">
        <v>1444</v>
      </c>
    </row>
    <row r="89">
      <c r="A89" s="406">
        <v>33.0</v>
      </c>
      <c r="B89" s="403" t="s">
        <v>307</v>
      </c>
      <c r="C89" s="382"/>
      <c r="D89" s="403" t="s">
        <v>1229</v>
      </c>
      <c r="E89" s="403" t="s">
        <v>1267</v>
      </c>
      <c r="F89" s="382"/>
      <c r="G89" s="387" t="s">
        <v>1268</v>
      </c>
      <c r="H89" s="387" t="s">
        <v>1269</v>
      </c>
      <c r="I89" s="387" t="s">
        <v>1273</v>
      </c>
      <c r="J89" s="406" t="s">
        <v>301</v>
      </c>
      <c r="K89" s="386"/>
      <c r="L89" s="460" t="s">
        <v>1473</v>
      </c>
      <c r="M89" s="460" t="s">
        <v>1473</v>
      </c>
      <c r="N89" s="406" t="s">
        <v>1474</v>
      </c>
      <c r="O89" s="406" t="s">
        <v>301</v>
      </c>
      <c r="P89" s="406" t="s">
        <v>301</v>
      </c>
      <c r="Q89" s="406" t="s">
        <v>301</v>
      </c>
      <c r="R89" s="406" t="s">
        <v>301</v>
      </c>
      <c r="S89" s="472" t="s">
        <v>124</v>
      </c>
      <c r="T89" s="381" t="s">
        <v>301</v>
      </c>
      <c r="U89" s="381" t="s">
        <v>301</v>
      </c>
      <c r="V89" s="381" t="s">
        <v>301</v>
      </c>
      <c r="W89" s="381" t="s">
        <v>301</v>
      </c>
      <c r="X89" s="387" t="s">
        <v>124</v>
      </c>
    </row>
    <row r="90">
      <c r="A90" s="400">
        <v>34.0</v>
      </c>
      <c r="B90" s="397" t="s">
        <v>307</v>
      </c>
      <c r="C90" s="374"/>
      <c r="D90" s="397" t="s">
        <v>1229</v>
      </c>
      <c r="E90" s="397" t="s">
        <v>1267</v>
      </c>
      <c r="F90" s="374"/>
      <c r="G90" s="380" t="s">
        <v>1268</v>
      </c>
      <c r="H90" s="380" t="s">
        <v>1269</v>
      </c>
      <c r="I90" s="380" t="s">
        <v>1273</v>
      </c>
      <c r="J90" s="400" t="s">
        <v>301</v>
      </c>
      <c r="K90" s="476"/>
      <c r="L90" s="463" t="s">
        <v>1475</v>
      </c>
      <c r="M90" s="463" t="s">
        <v>1475</v>
      </c>
      <c r="N90" s="480" t="s">
        <v>1377</v>
      </c>
      <c r="O90" s="400" t="s">
        <v>301</v>
      </c>
      <c r="P90" s="400" t="s">
        <v>301</v>
      </c>
      <c r="Q90" s="400" t="s">
        <v>301</v>
      </c>
      <c r="R90" s="400" t="s">
        <v>301</v>
      </c>
      <c r="S90" s="474" t="s">
        <v>124</v>
      </c>
      <c r="T90" s="373" t="s">
        <v>301</v>
      </c>
      <c r="U90" s="373" t="s">
        <v>301</v>
      </c>
      <c r="V90" s="373" t="s">
        <v>301</v>
      </c>
      <c r="W90" s="373" t="s">
        <v>301</v>
      </c>
      <c r="X90" s="380" t="s">
        <v>124</v>
      </c>
    </row>
    <row r="91">
      <c r="A91" s="406">
        <v>35.0</v>
      </c>
      <c r="B91" s="403" t="s">
        <v>307</v>
      </c>
      <c r="C91" s="382"/>
      <c r="D91" s="403" t="s">
        <v>1229</v>
      </c>
      <c r="E91" s="403" t="s">
        <v>1267</v>
      </c>
      <c r="F91" s="382"/>
      <c r="G91" s="387" t="s">
        <v>1268</v>
      </c>
      <c r="H91" s="387" t="s">
        <v>1269</v>
      </c>
      <c r="I91" s="387" t="s">
        <v>1273</v>
      </c>
      <c r="J91" s="406" t="s">
        <v>301</v>
      </c>
      <c r="K91" s="475"/>
      <c r="L91" s="460" t="s">
        <v>1476</v>
      </c>
      <c r="M91" s="460" t="s">
        <v>1476</v>
      </c>
      <c r="N91" s="481" t="s">
        <v>1377</v>
      </c>
      <c r="O91" s="406" t="s">
        <v>301</v>
      </c>
      <c r="P91" s="406" t="s">
        <v>301</v>
      </c>
      <c r="Q91" s="406" t="s">
        <v>301</v>
      </c>
      <c r="R91" s="406" t="s">
        <v>301</v>
      </c>
      <c r="S91" s="472" t="s">
        <v>124</v>
      </c>
      <c r="T91" s="381" t="s">
        <v>301</v>
      </c>
      <c r="U91" s="381" t="s">
        <v>301</v>
      </c>
      <c r="V91" s="381" t="s">
        <v>301</v>
      </c>
      <c r="W91" s="381" t="s">
        <v>301</v>
      </c>
      <c r="X91" s="387" t="s">
        <v>124</v>
      </c>
    </row>
    <row r="92">
      <c r="A92" s="400">
        <v>36.0</v>
      </c>
      <c r="B92" s="397" t="s">
        <v>307</v>
      </c>
      <c r="C92" s="374"/>
      <c r="D92" s="397" t="s">
        <v>1229</v>
      </c>
      <c r="E92" s="397" t="s">
        <v>1267</v>
      </c>
      <c r="F92" s="374"/>
      <c r="G92" s="380" t="s">
        <v>1268</v>
      </c>
      <c r="H92" s="380" t="s">
        <v>1269</v>
      </c>
      <c r="I92" s="380" t="s">
        <v>1273</v>
      </c>
      <c r="J92" s="400" t="s">
        <v>301</v>
      </c>
      <c r="K92" s="476"/>
      <c r="L92" s="463" t="s">
        <v>1477</v>
      </c>
      <c r="M92" s="463" t="s">
        <v>1477</v>
      </c>
      <c r="N92" s="480" t="s">
        <v>1377</v>
      </c>
      <c r="O92" s="400" t="s">
        <v>301</v>
      </c>
      <c r="P92" s="400" t="s">
        <v>301</v>
      </c>
      <c r="Q92" s="400" t="s">
        <v>301</v>
      </c>
      <c r="R92" s="400" t="s">
        <v>301</v>
      </c>
      <c r="S92" s="474" t="s">
        <v>124</v>
      </c>
      <c r="T92" s="373" t="s">
        <v>301</v>
      </c>
      <c r="U92" s="373" t="s">
        <v>301</v>
      </c>
      <c r="V92" s="373" t="s">
        <v>301</v>
      </c>
      <c r="W92" s="373" t="s">
        <v>301</v>
      </c>
      <c r="X92" s="380" t="s">
        <v>124</v>
      </c>
    </row>
    <row r="93">
      <c r="A93" s="406">
        <v>37.0</v>
      </c>
      <c r="B93" s="403" t="s">
        <v>307</v>
      </c>
      <c r="C93" s="382"/>
      <c r="D93" s="403" t="s">
        <v>1229</v>
      </c>
      <c r="E93" s="403" t="s">
        <v>1267</v>
      </c>
      <c r="F93" s="382"/>
      <c r="G93" s="387" t="s">
        <v>1268</v>
      </c>
      <c r="H93" s="387" t="s">
        <v>1269</v>
      </c>
      <c r="I93" s="387" t="s">
        <v>1273</v>
      </c>
      <c r="J93" s="406" t="s">
        <v>301</v>
      </c>
      <c r="K93" s="475"/>
      <c r="L93" s="460" t="s">
        <v>1478</v>
      </c>
      <c r="M93" s="460" t="s">
        <v>1478</v>
      </c>
      <c r="N93" s="481" t="s">
        <v>1377</v>
      </c>
      <c r="O93" s="406" t="s">
        <v>301</v>
      </c>
      <c r="P93" s="406" t="s">
        <v>301</v>
      </c>
      <c r="Q93" s="406" t="s">
        <v>301</v>
      </c>
      <c r="R93" s="406" t="s">
        <v>301</v>
      </c>
      <c r="S93" s="472" t="s">
        <v>1444</v>
      </c>
      <c r="T93" s="381" t="s">
        <v>301</v>
      </c>
      <c r="U93" s="381" t="s">
        <v>301</v>
      </c>
      <c r="V93" s="381" t="s">
        <v>301</v>
      </c>
      <c r="W93" s="381" t="s">
        <v>301</v>
      </c>
      <c r="X93" s="387" t="s">
        <v>124</v>
      </c>
    </row>
    <row r="94">
      <c r="A94" s="400">
        <v>38.0</v>
      </c>
      <c r="B94" s="397" t="s">
        <v>307</v>
      </c>
      <c r="C94" s="374"/>
      <c r="D94" s="397" t="s">
        <v>1229</v>
      </c>
      <c r="E94" s="397" t="s">
        <v>1267</v>
      </c>
      <c r="F94" s="374"/>
      <c r="G94" s="380" t="s">
        <v>1268</v>
      </c>
      <c r="H94" s="380" t="s">
        <v>1269</v>
      </c>
      <c r="I94" s="380" t="s">
        <v>1273</v>
      </c>
      <c r="J94" s="400" t="s">
        <v>301</v>
      </c>
      <c r="K94" s="476"/>
      <c r="L94" s="463" t="s">
        <v>1479</v>
      </c>
      <c r="M94" s="463" t="s">
        <v>1479</v>
      </c>
      <c r="N94" s="480" t="s">
        <v>1377</v>
      </c>
      <c r="O94" s="400" t="s">
        <v>301</v>
      </c>
      <c r="P94" s="400" t="s">
        <v>301</v>
      </c>
      <c r="Q94" s="400" t="s">
        <v>301</v>
      </c>
      <c r="R94" s="400" t="s">
        <v>301</v>
      </c>
      <c r="S94" s="474" t="s">
        <v>1444</v>
      </c>
      <c r="T94" s="381" t="s">
        <v>301</v>
      </c>
      <c r="U94" s="381" t="s">
        <v>301</v>
      </c>
      <c r="V94" s="381" t="s">
        <v>301</v>
      </c>
      <c r="W94" s="381" t="s">
        <v>301</v>
      </c>
      <c r="X94" s="380" t="s">
        <v>124</v>
      </c>
    </row>
    <row r="95">
      <c r="A95" s="406">
        <v>39.0</v>
      </c>
      <c r="B95" s="403" t="s">
        <v>307</v>
      </c>
      <c r="C95" s="382"/>
      <c r="D95" s="403" t="s">
        <v>1229</v>
      </c>
      <c r="E95" s="403" t="s">
        <v>1267</v>
      </c>
      <c r="F95" s="382"/>
      <c r="G95" s="387" t="s">
        <v>1268</v>
      </c>
      <c r="H95" s="387" t="s">
        <v>1269</v>
      </c>
      <c r="I95" s="387" t="s">
        <v>1273</v>
      </c>
      <c r="J95" s="406" t="s">
        <v>301</v>
      </c>
      <c r="K95" s="475"/>
      <c r="L95" s="460" t="s">
        <v>1480</v>
      </c>
      <c r="M95" s="460" t="s">
        <v>1480</v>
      </c>
      <c r="N95" s="406" t="s">
        <v>1481</v>
      </c>
      <c r="O95" s="406" t="s">
        <v>301</v>
      </c>
      <c r="P95" s="406" t="s">
        <v>301</v>
      </c>
      <c r="Q95" s="406" t="s">
        <v>301</v>
      </c>
      <c r="R95" s="406" t="s">
        <v>301</v>
      </c>
      <c r="S95" s="472" t="s">
        <v>124</v>
      </c>
      <c r="T95" s="381" t="s">
        <v>301</v>
      </c>
      <c r="U95" s="381" t="s">
        <v>301</v>
      </c>
      <c r="V95" s="381" t="s">
        <v>301</v>
      </c>
      <c r="W95" s="381" t="s">
        <v>301</v>
      </c>
      <c r="X95" s="387" t="s">
        <v>124</v>
      </c>
    </row>
    <row r="96">
      <c r="A96" s="400">
        <v>40.0</v>
      </c>
      <c r="B96" s="397" t="s">
        <v>307</v>
      </c>
      <c r="C96" s="374"/>
      <c r="D96" s="397" t="s">
        <v>1229</v>
      </c>
      <c r="E96" s="397" t="s">
        <v>1267</v>
      </c>
      <c r="F96" s="374"/>
      <c r="G96" s="380" t="s">
        <v>1268</v>
      </c>
      <c r="H96" s="380" t="s">
        <v>1269</v>
      </c>
      <c r="I96" s="380" t="s">
        <v>1273</v>
      </c>
      <c r="J96" s="400" t="s">
        <v>301</v>
      </c>
      <c r="K96" s="476"/>
      <c r="L96" s="463" t="s">
        <v>1482</v>
      </c>
      <c r="M96" s="463" t="s">
        <v>1482</v>
      </c>
      <c r="N96" s="480" t="s">
        <v>1483</v>
      </c>
      <c r="O96" s="400" t="s">
        <v>301</v>
      </c>
      <c r="P96" s="400" t="s">
        <v>301</v>
      </c>
      <c r="Q96" s="400" t="s">
        <v>301</v>
      </c>
      <c r="R96" s="400" t="s">
        <v>301</v>
      </c>
      <c r="S96" s="474" t="s">
        <v>124</v>
      </c>
      <c r="T96" s="373" t="s">
        <v>301</v>
      </c>
      <c r="U96" s="373" t="s">
        <v>301</v>
      </c>
      <c r="V96" s="373" t="s">
        <v>301</v>
      </c>
      <c r="W96" s="373" t="s">
        <v>301</v>
      </c>
      <c r="X96" s="380" t="s">
        <v>1444</v>
      </c>
    </row>
    <row r="97">
      <c r="A97" s="406">
        <v>41.0</v>
      </c>
      <c r="B97" s="403" t="s">
        <v>307</v>
      </c>
      <c r="C97" s="382"/>
      <c r="D97" s="403" t="s">
        <v>1229</v>
      </c>
      <c r="E97" s="403" t="s">
        <v>1267</v>
      </c>
      <c r="F97" s="382"/>
      <c r="G97" s="387" t="s">
        <v>1268</v>
      </c>
      <c r="H97" s="387" t="s">
        <v>1269</v>
      </c>
      <c r="I97" s="387" t="s">
        <v>1273</v>
      </c>
      <c r="J97" s="406" t="s">
        <v>301</v>
      </c>
      <c r="K97" s="475"/>
      <c r="L97" s="460" t="s">
        <v>1484</v>
      </c>
      <c r="M97" s="460" t="s">
        <v>1484</v>
      </c>
      <c r="N97" s="482" t="s">
        <v>1485</v>
      </c>
      <c r="O97" s="406" t="s">
        <v>301</v>
      </c>
      <c r="P97" s="406" t="s">
        <v>301</v>
      </c>
      <c r="Q97" s="406" t="s">
        <v>301</v>
      </c>
      <c r="R97" s="406" t="s">
        <v>301</v>
      </c>
      <c r="S97" s="472" t="s">
        <v>124</v>
      </c>
      <c r="T97" s="381" t="s">
        <v>301</v>
      </c>
      <c r="U97" s="381" t="s">
        <v>301</v>
      </c>
      <c r="V97" s="381" t="s">
        <v>301</v>
      </c>
      <c r="W97" s="381" t="s">
        <v>301</v>
      </c>
      <c r="X97" s="387" t="s">
        <v>1444</v>
      </c>
    </row>
    <row r="98">
      <c r="A98" s="400">
        <v>42.0</v>
      </c>
      <c r="B98" s="397" t="s">
        <v>307</v>
      </c>
      <c r="C98" s="374"/>
      <c r="D98" s="397" t="s">
        <v>1229</v>
      </c>
      <c r="E98" s="397" t="s">
        <v>1267</v>
      </c>
      <c r="F98" s="374"/>
      <c r="G98" s="380" t="s">
        <v>1268</v>
      </c>
      <c r="H98" s="380" t="s">
        <v>1269</v>
      </c>
      <c r="I98" s="380" t="s">
        <v>1273</v>
      </c>
      <c r="J98" s="400" t="s">
        <v>301</v>
      </c>
      <c r="K98" s="473"/>
      <c r="L98" s="463" t="s">
        <v>1486</v>
      </c>
      <c r="M98" s="463" t="s">
        <v>1486</v>
      </c>
      <c r="N98" s="474" t="s">
        <v>1487</v>
      </c>
      <c r="O98" s="400" t="s">
        <v>301</v>
      </c>
      <c r="P98" s="400" t="s">
        <v>301</v>
      </c>
      <c r="Q98" s="400" t="s">
        <v>301</v>
      </c>
      <c r="R98" s="400" t="s">
        <v>301</v>
      </c>
      <c r="S98" s="474" t="s">
        <v>124</v>
      </c>
      <c r="T98" s="373" t="s">
        <v>301</v>
      </c>
      <c r="U98" s="373" t="s">
        <v>301</v>
      </c>
      <c r="V98" s="373" t="s">
        <v>301</v>
      </c>
      <c r="W98" s="373" t="s">
        <v>301</v>
      </c>
      <c r="X98" s="380" t="s">
        <v>124</v>
      </c>
    </row>
    <row r="99">
      <c r="A99" s="406">
        <v>43.0</v>
      </c>
      <c r="B99" s="387" t="s">
        <v>307</v>
      </c>
      <c r="C99" s="382"/>
      <c r="D99" s="403" t="s">
        <v>1229</v>
      </c>
      <c r="E99" s="403" t="s">
        <v>1267</v>
      </c>
      <c r="F99" s="382"/>
      <c r="G99" s="387" t="s">
        <v>1268</v>
      </c>
      <c r="H99" s="387" t="s">
        <v>1269</v>
      </c>
      <c r="I99" s="387" t="s">
        <v>1273</v>
      </c>
      <c r="J99" s="406" t="s">
        <v>301</v>
      </c>
      <c r="K99" s="471"/>
      <c r="L99" s="460" t="s">
        <v>1488</v>
      </c>
      <c r="M99" s="460" t="s">
        <v>1488</v>
      </c>
      <c r="N99" s="482" t="s">
        <v>1366</v>
      </c>
      <c r="O99" s="406" t="s">
        <v>301</v>
      </c>
      <c r="P99" s="406" t="s">
        <v>301</v>
      </c>
      <c r="Q99" s="406" t="s">
        <v>301</v>
      </c>
      <c r="R99" s="406" t="s">
        <v>301</v>
      </c>
      <c r="S99" s="472" t="s">
        <v>124</v>
      </c>
      <c r="T99" s="381" t="s">
        <v>301</v>
      </c>
      <c r="U99" s="381" t="s">
        <v>301</v>
      </c>
      <c r="V99" s="381" t="s">
        <v>301</v>
      </c>
      <c r="W99" s="381" t="s">
        <v>301</v>
      </c>
      <c r="X99" s="387" t="s">
        <v>124</v>
      </c>
    </row>
    <row r="100">
      <c r="A100" s="400">
        <v>44.0</v>
      </c>
      <c r="B100" s="397" t="s">
        <v>307</v>
      </c>
      <c r="C100" s="374"/>
      <c r="D100" s="397" t="s">
        <v>1229</v>
      </c>
      <c r="E100" s="397" t="s">
        <v>1267</v>
      </c>
      <c r="F100" s="374"/>
      <c r="G100" s="380" t="s">
        <v>1268</v>
      </c>
      <c r="H100" s="380" t="s">
        <v>1269</v>
      </c>
      <c r="I100" s="380" t="s">
        <v>1273</v>
      </c>
      <c r="J100" s="400" t="s">
        <v>301</v>
      </c>
      <c r="K100" s="378"/>
      <c r="L100" s="463" t="s">
        <v>1489</v>
      </c>
      <c r="M100" s="463" t="s">
        <v>1489</v>
      </c>
      <c r="N100" s="483" t="s">
        <v>1487</v>
      </c>
      <c r="O100" s="400" t="s">
        <v>301</v>
      </c>
      <c r="P100" s="400" t="s">
        <v>301</v>
      </c>
      <c r="Q100" s="400" t="s">
        <v>301</v>
      </c>
      <c r="R100" s="400" t="s">
        <v>301</v>
      </c>
      <c r="S100" s="474" t="s">
        <v>1444</v>
      </c>
      <c r="T100" s="373" t="s">
        <v>301</v>
      </c>
      <c r="U100" s="373" t="s">
        <v>301</v>
      </c>
      <c r="V100" s="373" t="s">
        <v>301</v>
      </c>
      <c r="W100" s="373" t="s">
        <v>301</v>
      </c>
      <c r="X100" s="380" t="s">
        <v>124</v>
      </c>
    </row>
    <row r="101">
      <c r="A101" s="406">
        <v>45.0</v>
      </c>
      <c r="B101" s="403" t="s">
        <v>307</v>
      </c>
      <c r="C101" s="382"/>
      <c r="D101" s="403" t="s">
        <v>1229</v>
      </c>
      <c r="E101" s="403" t="s">
        <v>1267</v>
      </c>
      <c r="F101" s="382"/>
      <c r="G101" s="387" t="s">
        <v>1268</v>
      </c>
      <c r="H101" s="387" t="s">
        <v>1269</v>
      </c>
      <c r="I101" s="387" t="s">
        <v>1273</v>
      </c>
      <c r="J101" s="406" t="s">
        <v>301</v>
      </c>
      <c r="K101" s="386"/>
      <c r="L101" s="460" t="s">
        <v>1490</v>
      </c>
      <c r="M101" s="460" t="s">
        <v>1490</v>
      </c>
      <c r="N101" s="481" t="s">
        <v>1491</v>
      </c>
      <c r="O101" s="406" t="s">
        <v>301</v>
      </c>
      <c r="P101" s="406" t="s">
        <v>301</v>
      </c>
      <c r="Q101" s="406" t="s">
        <v>301</v>
      </c>
      <c r="R101" s="406" t="s">
        <v>301</v>
      </c>
      <c r="S101" s="472" t="s">
        <v>1444</v>
      </c>
      <c r="T101" s="381" t="s">
        <v>301</v>
      </c>
      <c r="U101" s="381" t="s">
        <v>301</v>
      </c>
      <c r="V101" s="381" t="s">
        <v>301</v>
      </c>
      <c r="W101" s="381" t="s">
        <v>301</v>
      </c>
      <c r="X101" s="387" t="s">
        <v>124</v>
      </c>
    </row>
    <row r="102">
      <c r="A102" s="400">
        <v>46.0</v>
      </c>
      <c r="B102" s="397" t="s">
        <v>307</v>
      </c>
      <c r="C102" s="374"/>
      <c r="D102" s="397" t="s">
        <v>1229</v>
      </c>
      <c r="E102" s="397" t="s">
        <v>1267</v>
      </c>
      <c r="F102" s="374"/>
      <c r="G102" s="380" t="s">
        <v>1268</v>
      </c>
      <c r="H102" s="380" t="s">
        <v>1269</v>
      </c>
      <c r="I102" s="380" t="s">
        <v>1280</v>
      </c>
      <c r="J102" s="400" t="s">
        <v>301</v>
      </c>
      <c r="K102" s="378"/>
      <c r="L102" s="463" t="s">
        <v>1492</v>
      </c>
      <c r="M102" s="463" t="s">
        <v>1492</v>
      </c>
      <c r="N102" s="480" t="s">
        <v>1375</v>
      </c>
      <c r="O102" s="400" t="s">
        <v>301</v>
      </c>
      <c r="P102" s="400" t="s">
        <v>301</v>
      </c>
      <c r="Q102" s="400" t="s">
        <v>301</v>
      </c>
      <c r="R102" s="400" t="s">
        <v>301</v>
      </c>
      <c r="S102" s="474" t="s">
        <v>1444</v>
      </c>
      <c r="T102" s="373" t="s">
        <v>301</v>
      </c>
      <c r="U102" s="373" t="s">
        <v>301</v>
      </c>
      <c r="V102" s="373" t="s">
        <v>301</v>
      </c>
      <c r="W102" s="373" t="s">
        <v>301</v>
      </c>
      <c r="X102" s="380" t="s">
        <v>124</v>
      </c>
    </row>
    <row r="103">
      <c r="A103" s="406">
        <v>47.0</v>
      </c>
      <c r="B103" s="403" t="s">
        <v>307</v>
      </c>
      <c r="C103" s="382"/>
      <c r="D103" s="403" t="s">
        <v>1229</v>
      </c>
      <c r="E103" s="403" t="s">
        <v>1267</v>
      </c>
      <c r="F103" s="382"/>
      <c r="G103" s="387" t="s">
        <v>1268</v>
      </c>
      <c r="H103" s="387" t="s">
        <v>1269</v>
      </c>
      <c r="I103" s="387" t="s">
        <v>1280</v>
      </c>
      <c r="J103" s="406" t="s">
        <v>301</v>
      </c>
      <c r="K103" s="386"/>
      <c r="L103" s="460" t="s">
        <v>1493</v>
      </c>
      <c r="M103" s="460" t="s">
        <v>1493</v>
      </c>
      <c r="N103" s="481" t="s">
        <v>1494</v>
      </c>
      <c r="O103" s="406" t="s">
        <v>301</v>
      </c>
      <c r="P103" s="406" t="s">
        <v>301</v>
      </c>
      <c r="Q103" s="406" t="s">
        <v>301</v>
      </c>
      <c r="R103" s="406" t="s">
        <v>301</v>
      </c>
      <c r="S103" s="472" t="s">
        <v>124</v>
      </c>
      <c r="T103" s="381" t="s">
        <v>301</v>
      </c>
      <c r="U103" s="381" t="s">
        <v>301</v>
      </c>
      <c r="V103" s="381" t="s">
        <v>301</v>
      </c>
      <c r="W103" s="381" t="s">
        <v>301</v>
      </c>
      <c r="X103" s="387" t="s">
        <v>1444</v>
      </c>
    </row>
    <row r="104">
      <c r="A104" s="400">
        <v>48.0</v>
      </c>
      <c r="B104" s="397" t="s">
        <v>307</v>
      </c>
      <c r="C104" s="374"/>
      <c r="D104" s="397" t="s">
        <v>1229</v>
      </c>
      <c r="E104" s="397" t="s">
        <v>1267</v>
      </c>
      <c r="F104" s="374"/>
      <c r="G104" s="380" t="s">
        <v>1268</v>
      </c>
      <c r="H104" s="380" t="s">
        <v>1269</v>
      </c>
      <c r="I104" s="380" t="s">
        <v>1280</v>
      </c>
      <c r="J104" s="400" t="s">
        <v>301</v>
      </c>
      <c r="K104" s="473"/>
      <c r="L104" s="463" t="s">
        <v>1495</v>
      </c>
      <c r="M104" s="463" t="s">
        <v>1495</v>
      </c>
      <c r="N104" s="480" t="s">
        <v>1377</v>
      </c>
      <c r="O104" s="400" t="s">
        <v>301</v>
      </c>
      <c r="P104" s="400" t="s">
        <v>301</v>
      </c>
      <c r="Q104" s="400" t="s">
        <v>301</v>
      </c>
      <c r="R104" s="400" t="s">
        <v>301</v>
      </c>
      <c r="S104" s="474" t="s">
        <v>1444</v>
      </c>
      <c r="T104" s="373" t="s">
        <v>301</v>
      </c>
      <c r="U104" s="373" t="s">
        <v>301</v>
      </c>
      <c r="V104" s="373" t="s">
        <v>301</v>
      </c>
      <c r="W104" s="373" t="s">
        <v>301</v>
      </c>
      <c r="X104" s="380" t="s">
        <v>1444</v>
      </c>
    </row>
    <row r="105">
      <c r="A105" s="406">
        <v>49.0</v>
      </c>
      <c r="B105" s="387" t="s">
        <v>307</v>
      </c>
      <c r="C105" s="386"/>
      <c r="D105" s="387" t="s">
        <v>1229</v>
      </c>
      <c r="E105" s="387" t="s">
        <v>1267</v>
      </c>
      <c r="F105" s="386"/>
      <c r="G105" s="387" t="s">
        <v>1268</v>
      </c>
      <c r="H105" s="387" t="s">
        <v>1269</v>
      </c>
      <c r="I105" s="387" t="s">
        <v>1280</v>
      </c>
      <c r="J105" s="406" t="s">
        <v>301</v>
      </c>
      <c r="K105" s="471"/>
      <c r="L105" s="460" t="s">
        <v>1496</v>
      </c>
      <c r="M105" s="460" t="s">
        <v>1496</v>
      </c>
      <c r="N105" s="484"/>
      <c r="O105" s="406" t="s">
        <v>301</v>
      </c>
      <c r="P105" s="406" t="s">
        <v>301</v>
      </c>
      <c r="Q105" s="406" t="s">
        <v>301</v>
      </c>
      <c r="R105" s="406" t="s">
        <v>301</v>
      </c>
      <c r="S105" s="472" t="s">
        <v>1497</v>
      </c>
      <c r="T105" s="381" t="s">
        <v>301</v>
      </c>
      <c r="U105" s="381" t="s">
        <v>301</v>
      </c>
      <c r="V105" s="381" t="s">
        <v>301</v>
      </c>
      <c r="W105" s="381" t="s">
        <v>301</v>
      </c>
      <c r="X105" s="387" t="s">
        <v>1444</v>
      </c>
    </row>
    <row r="106">
      <c r="A106" s="400">
        <v>50.0</v>
      </c>
      <c r="B106" s="380" t="s">
        <v>307</v>
      </c>
      <c r="C106" s="378"/>
      <c r="D106" s="380" t="s">
        <v>1229</v>
      </c>
      <c r="E106" s="380" t="s">
        <v>1267</v>
      </c>
      <c r="F106" s="378"/>
      <c r="G106" s="380" t="s">
        <v>1268</v>
      </c>
      <c r="H106" s="380" t="s">
        <v>1269</v>
      </c>
      <c r="I106" s="380" t="s">
        <v>1280</v>
      </c>
      <c r="J106" s="400" t="s">
        <v>301</v>
      </c>
      <c r="K106" s="476"/>
      <c r="L106" s="463" t="s">
        <v>1498</v>
      </c>
      <c r="M106" s="463" t="s">
        <v>1498</v>
      </c>
      <c r="N106" s="400" t="s">
        <v>1398</v>
      </c>
      <c r="O106" s="400" t="s">
        <v>301</v>
      </c>
      <c r="P106" s="400" t="s">
        <v>301</v>
      </c>
      <c r="Q106" s="400" t="s">
        <v>301</v>
      </c>
      <c r="R106" s="400" t="s">
        <v>301</v>
      </c>
      <c r="S106" s="474" t="s">
        <v>124</v>
      </c>
      <c r="T106" s="381" t="s">
        <v>301</v>
      </c>
      <c r="U106" s="381" t="s">
        <v>301</v>
      </c>
      <c r="V106" s="381" t="s">
        <v>301</v>
      </c>
      <c r="W106" s="381" t="s">
        <v>301</v>
      </c>
      <c r="X106" s="380" t="s">
        <v>124</v>
      </c>
    </row>
    <row r="107">
      <c r="A107" s="406">
        <v>51.0</v>
      </c>
      <c r="B107" s="387" t="s">
        <v>307</v>
      </c>
      <c r="C107" s="386"/>
      <c r="D107" s="387" t="s">
        <v>1229</v>
      </c>
      <c r="E107" s="387" t="s">
        <v>1267</v>
      </c>
      <c r="F107" s="386"/>
      <c r="G107" s="387" t="s">
        <v>1268</v>
      </c>
      <c r="H107" s="387" t="s">
        <v>1269</v>
      </c>
      <c r="I107" s="387" t="s">
        <v>1280</v>
      </c>
      <c r="J107" s="406" t="s">
        <v>301</v>
      </c>
      <c r="K107" s="485"/>
      <c r="L107" s="460" t="s">
        <v>1499</v>
      </c>
      <c r="M107" s="460" t="s">
        <v>1499</v>
      </c>
      <c r="N107" s="406" t="s">
        <v>1474</v>
      </c>
      <c r="O107" s="406" t="s">
        <v>301</v>
      </c>
      <c r="P107" s="406" t="s">
        <v>301</v>
      </c>
      <c r="Q107" s="406" t="s">
        <v>301</v>
      </c>
      <c r="R107" s="406" t="s">
        <v>301</v>
      </c>
      <c r="S107" s="472" t="s">
        <v>124</v>
      </c>
      <c r="T107" s="373" t="s">
        <v>301</v>
      </c>
      <c r="U107" s="373" t="s">
        <v>301</v>
      </c>
      <c r="V107" s="373" t="s">
        <v>301</v>
      </c>
      <c r="W107" s="373" t="s">
        <v>301</v>
      </c>
      <c r="X107" s="387" t="s">
        <v>1444</v>
      </c>
    </row>
    <row r="108">
      <c r="A108" s="400">
        <v>52.0</v>
      </c>
      <c r="B108" s="380" t="s">
        <v>307</v>
      </c>
      <c r="C108" s="378"/>
      <c r="D108" s="380" t="s">
        <v>1229</v>
      </c>
      <c r="E108" s="380" t="s">
        <v>1267</v>
      </c>
      <c r="F108" s="378"/>
      <c r="G108" s="380" t="s">
        <v>1268</v>
      </c>
      <c r="H108" s="380" t="s">
        <v>1269</v>
      </c>
      <c r="I108" s="380" t="s">
        <v>1280</v>
      </c>
      <c r="J108" s="400" t="s">
        <v>301</v>
      </c>
      <c r="K108" s="486"/>
      <c r="L108" s="463" t="s">
        <v>1500</v>
      </c>
      <c r="M108" s="463" t="s">
        <v>1500</v>
      </c>
      <c r="N108" s="400" t="s">
        <v>1501</v>
      </c>
      <c r="O108" s="400" t="s">
        <v>301</v>
      </c>
      <c r="P108" s="400" t="s">
        <v>301</v>
      </c>
      <c r="Q108" s="400" t="s">
        <v>301</v>
      </c>
      <c r="R108" s="400" t="s">
        <v>301</v>
      </c>
      <c r="S108" s="474" t="s">
        <v>1444</v>
      </c>
      <c r="T108" s="381" t="s">
        <v>301</v>
      </c>
      <c r="U108" s="381" t="s">
        <v>301</v>
      </c>
      <c r="V108" s="381" t="s">
        <v>301</v>
      </c>
      <c r="W108" s="381" t="s">
        <v>301</v>
      </c>
      <c r="X108" s="380" t="s">
        <v>1497</v>
      </c>
    </row>
    <row r="109">
      <c r="A109" s="406">
        <v>53.0</v>
      </c>
      <c r="B109" s="387" t="s">
        <v>307</v>
      </c>
      <c r="C109" s="386"/>
      <c r="D109" s="387" t="s">
        <v>1229</v>
      </c>
      <c r="E109" s="387" t="s">
        <v>1267</v>
      </c>
      <c r="F109" s="386"/>
      <c r="G109" s="387" t="s">
        <v>1268</v>
      </c>
      <c r="H109" s="387" t="s">
        <v>1269</v>
      </c>
      <c r="I109" s="387" t="s">
        <v>1280</v>
      </c>
      <c r="J109" s="406" t="s">
        <v>301</v>
      </c>
      <c r="K109" s="471"/>
      <c r="L109" s="460" t="s">
        <v>1502</v>
      </c>
      <c r="M109" s="460" t="s">
        <v>1502</v>
      </c>
      <c r="N109" s="472" t="s">
        <v>1487</v>
      </c>
      <c r="O109" s="406" t="s">
        <v>301</v>
      </c>
      <c r="P109" s="406" t="s">
        <v>301</v>
      </c>
      <c r="Q109" s="406" t="s">
        <v>301</v>
      </c>
      <c r="R109" s="406" t="s">
        <v>301</v>
      </c>
      <c r="S109" s="472" t="s">
        <v>1444</v>
      </c>
      <c r="T109" s="373" t="s">
        <v>301</v>
      </c>
      <c r="U109" s="373" t="s">
        <v>301</v>
      </c>
      <c r="V109" s="373" t="s">
        <v>301</v>
      </c>
      <c r="W109" s="373" t="s">
        <v>301</v>
      </c>
      <c r="X109" s="387" t="s">
        <v>124</v>
      </c>
    </row>
    <row r="110">
      <c r="A110" s="400">
        <v>54.0</v>
      </c>
      <c r="B110" s="380" t="s">
        <v>307</v>
      </c>
      <c r="C110" s="378"/>
      <c r="D110" s="380" t="s">
        <v>1229</v>
      </c>
      <c r="E110" s="380" t="s">
        <v>1267</v>
      </c>
      <c r="F110" s="378"/>
      <c r="G110" s="380" t="s">
        <v>1268</v>
      </c>
      <c r="H110" s="380" t="s">
        <v>1269</v>
      </c>
      <c r="I110" s="380" t="s">
        <v>1280</v>
      </c>
      <c r="J110" s="400" t="s">
        <v>301</v>
      </c>
      <c r="K110" s="476"/>
      <c r="L110" s="463" t="s">
        <v>1503</v>
      </c>
      <c r="M110" s="463" t="s">
        <v>1503</v>
      </c>
      <c r="N110" s="400" t="s">
        <v>1504</v>
      </c>
      <c r="O110" s="400" t="s">
        <v>301</v>
      </c>
      <c r="P110" s="400" t="s">
        <v>301</v>
      </c>
      <c r="Q110" s="400" t="s">
        <v>301</v>
      </c>
      <c r="R110" s="400" t="s">
        <v>301</v>
      </c>
      <c r="S110" s="474" t="s">
        <v>1505</v>
      </c>
      <c r="T110" s="381" t="s">
        <v>301</v>
      </c>
      <c r="U110" s="381" t="s">
        <v>301</v>
      </c>
      <c r="V110" s="381" t="s">
        <v>301</v>
      </c>
      <c r="W110" s="381" t="s">
        <v>301</v>
      </c>
      <c r="X110" s="380" t="s">
        <v>124</v>
      </c>
    </row>
    <row r="111">
      <c r="A111" s="406">
        <v>55.0</v>
      </c>
      <c r="B111" s="387" t="s">
        <v>307</v>
      </c>
      <c r="C111" s="386"/>
      <c r="D111" s="387" t="s">
        <v>1229</v>
      </c>
      <c r="E111" s="387" t="s">
        <v>1284</v>
      </c>
      <c r="F111" s="386"/>
      <c r="G111" s="387" t="s">
        <v>1285</v>
      </c>
      <c r="H111" s="387" t="s">
        <v>1286</v>
      </c>
      <c r="I111" s="387" t="s">
        <v>1287</v>
      </c>
      <c r="J111" s="406" t="s">
        <v>301</v>
      </c>
      <c r="K111" s="475"/>
      <c r="L111" s="460" t="s">
        <v>1506</v>
      </c>
      <c r="M111" s="460" t="s">
        <v>1506</v>
      </c>
      <c r="N111" s="406" t="s">
        <v>1507</v>
      </c>
      <c r="O111" s="406" t="s">
        <v>301</v>
      </c>
      <c r="P111" s="406" t="s">
        <v>301</v>
      </c>
      <c r="Q111" s="406" t="s">
        <v>301</v>
      </c>
      <c r="R111" s="406" t="s">
        <v>301</v>
      </c>
      <c r="S111" s="472" t="s">
        <v>124</v>
      </c>
      <c r="T111" s="373" t="s">
        <v>301</v>
      </c>
      <c r="U111" s="373" t="s">
        <v>301</v>
      </c>
      <c r="V111" s="373" t="s">
        <v>301</v>
      </c>
      <c r="W111" s="373" t="s">
        <v>301</v>
      </c>
      <c r="X111" s="387" t="s">
        <v>1444</v>
      </c>
    </row>
    <row r="112">
      <c r="A112" s="400">
        <v>56.0</v>
      </c>
      <c r="B112" s="380" t="s">
        <v>307</v>
      </c>
      <c r="C112" s="378"/>
      <c r="D112" s="380" t="s">
        <v>1229</v>
      </c>
      <c r="E112" s="380" t="s">
        <v>1284</v>
      </c>
      <c r="F112" s="378"/>
      <c r="G112" s="380" t="s">
        <v>1285</v>
      </c>
      <c r="H112" s="380" t="s">
        <v>1286</v>
      </c>
      <c r="I112" s="380" t="s">
        <v>1287</v>
      </c>
      <c r="J112" s="400" t="s">
        <v>301</v>
      </c>
      <c r="K112" s="378"/>
      <c r="L112" s="463" t="s">
        <v>1508</v>
      </c>
      <c r="M112" s="463" t="s">
        <v>1508</v>
      </c>
      <c r="N112" s="400" t="s">
        <v>1507</v>
      </c>
      <c r="O112" s="400" t="s">
        <v>301</v>
      </c>
      <c r="P112" s="400" t="s">
        <v>301</v>
      </c>
      <c r="Q112" s="400" t="s">
        <v>301</v>
      </c>
      <c r="R112" s="400" t="s">
        <v>301</v>
      </c>
      <c r="S112" s="474" t="s">
        <v>124</v>
      </c>
      <c r="T112" s="381" t="s">
        <v>301</v>
      </c>
      <c r="U112" s="381" t="s">
        <v>301</v>
      </c>
      <c r="V112" s="381" t="s">
        <v>301</v>
      </c>
      <c r="W112" s="381" t="s">
        <v>301</v>
      </c>
      <c r="X112" s="380" t="s">
        <v>1444</v>
      </c>
    </row>
    <row r="113">
      <c r="A113" s="406">
        <v>57.0</v>
      </c>
      <c r="B113" s="387" t="s">
        <v>307</v>
      </c>
      <c r="C113" s="386"/>
      <c r="D113" s="387" t="s">
        <v>1229</v>
      </c>
      <c r="E113" s="387" t="s">
        <v>1284</v>
      </c>
      <c r="F113" s="386"/>
      <c r="G113" s="387" t="s">
        <v>1285</v>
      </c>
      <c r="H113" s="387" t="s">
        <v>1286</v>
      </c>
      <c r="I113" s="387" t="s">
        <v>1287</v>
      </c>
      <c r="J113" s="406" t="s">
        <v>301</v>
      </c>
      <c r="K113" s="471"/>
      <c r="L113" s="460" t="s">
        <v>1509</v>
      </c>
      <c r="M113" s="460" t="s">
        <v>1509</v>
      </c>
      <c r="N113" s="406" t="s">
        <v>1507</v>
      </c>
      <c r="O113" s="406" t="s">
        <v>301</v>
      </c>
      <c r="P113" s="406" t="s">
        <v>301</v>
      </c>
      <c r="Q113" s="406" t="s">
        <v>301</v>
      </c>
      <c r="R113" s="406" t="s">
        <v>301</v>
      </c>
      <c r="S113" s="472" t="s">
        <v>124</v>
      </c>
      <c r="T113" s="373" t="s">
        <v>301</v>
      </c>
      <c r="U113" s="373" t="s">
        <v>301</v>
      </c>
      <c r="V113" s="373" t="s">
        <v>301</v>
      </c>
      <c r="W113" s="373" t="s">
        <v>301</v>
      </c>
      <c r="X113" s="387" t="s">
        <v>1505</v>
      </c>
    </row>
    <row r="114">
      <c r="A114" s="400">
        <v>58.0</v>
      </c>
      <c r="B114" s="380" t="s">
        <v>331</v>
      </c>
      <c r="C114" s="378"/>
      <c r="D114" s="380" t="s">
        <v>1229</v>
      </c>
      <c r="E114" s="380" t="s">
        <v>1059</v>
      </c>
      <c r="F114" s="378"/>
      <c r="G114" s="380" t="s">
        <v>1222</v>
      </c>
      <c r="H114" s="380" t="s">
        <v>1223</v>
      </c>
      <c r="I114" s="380" t="s">
        <v>1224</v>
      </c>
      <c r="J114" s="400" t="s">
        <v>301</v>
      </c>
      <c r="K114" s="476"/>
      <c r="L114" s="463" t="s">
        <v>1510</v>
      </c>
      <c r="M114" s="463" t="s">
        <v>1510</v>
      </c>
      <c r="N114" s="474" t="s">
        <v>1468</v>
      </c>
      <c r="O114" s="400" t="s">
        <v>301</v>
      </c>
      <c r="P114" s="400" t="s">
        <v>301</v>
      </c>
      <c r="Q114" s="400" t="s">
        <v>301</v>
      </c>
      <c r="R114" s="400" t="s">
        <v>301</v>
      </c>
      <c r="S114" s="474" t="s">
        <v>124</v>
      </c>
      <c r="T114" s="381" t="s">
        <v>301</v>
      </c>
      <c r="U114" s="381" t="s">
        <v>301</v>
      </c>
      <c r="V114" s="381" t="s">
        <v>301</v>
      </c>
      <c r="W114" s="381" t="s">
        <v>301</v>
      </c>
      <c r="X114" s="380" t="s">
        <v>124</v>
      </c>
    </row>
    <row r="115">
      <c r="A115" s="406">
        <v>59.0</v>
      </c>
      <c r="B115" s="387" t="s">
        <v>307</v>
      </c>
      <c r="C115" s="386"/>
      <c r="D115" s="387" t="s">
        <v>1229</v>
      </c>
      <c r="E115" s="387" t="s">
        <v>1284</v>
      </c>
      <c r="F115" s="386"/>
      <c r="G115" s="387" t="s">
        <v>1285</v>
      </c>
      <c r="H115" s="387" t="s">
        <v>1286</v>
      </c>
      <c r="I115" s="387" t="s">
        <v>1287</v>
      </c>
      <c r="J115" s="406" t="s">
        <v>301</v>
      </c>
      <c r="K115" s="475"/>
      <c r="L115" s="460" t="s">
        <v>1511</v>
      </c>
      <c r="M115" s="460" t="s">
        <v>1511</v>
      </c>
      <c r="N115" s="472" t="s">
        <v>1512</v>
      </c>
      <c r="O115" s="406" t="s">
        <v>301</v>
      </c>
      <c r="P115" s="406" t="s">
        <v>301</v>
      </c>
      <c r="Q115" s="406" t="s">
        <v>301</v>
      </c>
      <c r="R115" s="406" t="s">
        <v>301</v>
      </c>
      <c r="S115" s="472" t="s">
        <v>1444</v>
      </c>
      <c r="T115" s="373" t="s">
        <v>301</v>
      </c>
      <c r="U115" s="373" t="s">
        <v>301</v>
      </c>
      <c r="V115" s="373" t="s">
        <v>301</v>
      </c>
      <c r="W115" s="373" t="s">
        <v>301</v>
      </c>
      <c r="X115" s="387" t="s">
        <v>124</v>
      </c>
    </row>
    <row r="116">
      <c r="A116" s="400">
        <v>60.0</v>
      </c>
      <c r="B116" s="380" t="s">
        <v>307</v>
      </c>
      <c r="C116" s="378"/>
      <c r="D116" s="380" t="s">
        <v>1229</v>
      </c>
      <c r="E116" s="380" t="s">
        <v>1284</v>
      </c>
      <c r="F116" s="378"/>
      <c r="G116" s="380" t="s">
        <v>1285</v>
      </c>
      <c r="H116" s="380" t="s">
        <v>1286</v>
      </c>
      <c r="I116" s="380" t="s">
        <v>1287</v>
      </c>
      <c r="J116" s="400" t="s">
        <v>301</v>
      </c>
      <c r="K116" s="476"/>
      <c r="L116" s="463" t="s">
        <v>1513</v>
      </c>
      <c r="M116" s="463" t="s">
        <v>1513</v>
      </c>
      <c r="N116" s="400" t="s">
        <v>1514</v>
      </c>
      <c r="O116" s="400" t="s">
        <v>301</v>
      </c>
      <c r="P116" s="400" t="s">
        <v>301</v>
      </c>
      <c r="Q116" s="400" t="s">
        <v>301</v>
      </c>
      <c r="R116" s="400" t="s">
        <v>301</v>
      </c>
      <c r="S116" s="474" t="s">
        <v>124</v>
      </c>
      <c r="T116" s="373" t="s">
        <v>301</v>
      </c>
      <c r="U116" s="373" t="s">
        <v>301</v>
      </c>
      <c r="V116" s="373" t="s">
        <v>301</v>
      </c>
      <c r="W116" s="373" t="s">
        <v>301</v>
      </c>
      <c r="X116" s="380" t="s">
        <v>124</v>
      </c>
    </row>
    <row r="117">
      <c r="A117" s="406">
        <v>61.0</v>
      </c>
      <c r="B117" s="387" t="s">
        <v>307</v>
      </c>
      <c r="C117" s="386"/>
      <c r="D117" s="387" t="s">
        <v>1229</v>
      </c>
      <c r="E117" s="387" t="s">
        <v>1284</v>
      </c>
      <c r="F117" s="386"/>
      <c r="G117" s="387" t="s">
        <v>1294</v>
      </c>
      <c r="H117" s="387" t="s">
        <v>1295</v>
      </c>
      <c r="I117" s="387" t="s">
        <v>1296</v>
      </c>
      <c r="J117" s="406" t="s">
        <v>301</v>
      </c>
      <c r="K117" s="386"/>
      <c r="L117" s="460" t="s">
        <v>1515</v>
      </c>
      <c r="M117" s="460" t="s">
        <v>1515</v>
      </c>
      <c r="N117" s="406" t="s">
        <v>1491</v>
      </c>
      <c r="O117" s="406" t="s">
        <v>301</v>
      </c>
      <c r="P117" s="406" t="s">
        <v>301</v>
      </c>
      <c r="Q117" s="406" t="s">
        <v>301</v>
      </c>
      <c r="R117" s="406" t="s">
        <v>301</v>
      </c>
      <c r="S117" s="472" t="s">
        <v>124</v>
      </c>
      <c r="T117" s="381" t="s">
        <v>301</v>
      </c>
      <c r="U117" s="381" t="s">
        <v>301</v>
      </c>
      <c r="V117" s="381" t="s">
        <v>301</v>
      </c>
      <c r="W117" s="381" t="s">
        <v>301</v>
      </c>
      <c r="X117" s="387" t="s">
        <v>124</v>
      </c>
    </row>
    <row r="118">
      <c r="A118" s="400">
        <v>62.0</v>
      </c>
      <c r="B118" s="380" t="s">
        <v>307</v>
      </c>
      <c r="C118" s="378"/>
      <c r="D118" s="380" t="s">
        <v>1229</v>
      </c>
      <c r="E118" s="380" t="s">
        <v>1284</v>
      </c>
      <c r="F118" s="378"/>
      <c r="G118" s="380" t="s">
        <v>1294</v>
      </c>
      <c r="H118" s="380" t="s">
        <v>1295</v>
      </c>
      <c r="I118" s="380" t="s">
        <v>1296</v>
      </c>
      <c r="J118" s="400" t="s">
        <v>301</v>
      </c>
      <c r="K118" s="378"/>
      <c r="L118" s="463" t="s">
        <v>1516</v>
      </c>
      <c r="M118" s="463" t="s">
        <v>1516</v>
      </c>
      <c r="N118" s="400" t="s">
        <v>1517</v>
      </c>
      <c r="O118" s="400" t="s">
        <v>301</v>
      </c>
      <c r="P118" s="400" t="s">
        <v>301</v>
      </c>
      <c r="Q118" s="400" t="s">
        <v>301</v>
      </c>
      <c r="R118" s="400" t="s">
        <v>301</v>
      </c>
      <c r="S118" s="474" t="s">
        <v>124</v>
      </c>
      <c r="T118" s="373" t="s">
        <v>301</v>
      </c>
      <c r="U118" s="373" t="s">
        <v>301</v>
      </c>
      <c r="V118" s="373" t="s">
        <v>301</v>
      </c>
      <c r="W118" s="373" t="s">
        <v>301</v>
      </c>
      <c r="X118" s="380" t="s">
        <v>1444</v>
      </c>
    </row>
    <row r="119">
      <c r="A119" s="406">
        <v>63.0</v>
      </c>
      <c r="B119" s="387" t="s">
        <v>307</v>
      </c>
      <c r="C119" s="386"/>
      <c r="D119" s="387" t="s">
        <v>1229</v>
      </c>
      <c r="E119" s="387" t="s">
        <v>1284</v>
      </c>
      <c r="F119" s="386"/>
      <c r="G119" s="387" t="s">
        <v>1294</v>
      </c>
      <c r="H119" s="387" t="s">
        <v>1295</v>
      </c>
      <c r="I119" s="387" t="s">
        <v>1296</v>
      </c>
      <c r="J119" s="406" t="s">
        <v>301</v>
      </c>
      <c r="K119" s="475"/>
      <c r="L119" s="460" t="s">
        <v>1518</v>
      </c>
      <c r="M119" s="460" t="s">
        <v>1518</v>
      </c>
      <c r="N119" s="472" t="s">
        <v>1519</v>
      </c>
      <c r="O119" s="406" t="s">
        <v>301</v>
      </c>
      <c r="P119" s="406" t="s">
        <v>301</v>
      </c>
      <c r="Q119" s="406" t="s">
        <v>301</v>
      </c>
      <c r="R119" s="406" t="s">
        <v>301</v>
      </c>
      <c r="S119" s="472" t="s">
        <v>1444</v>
      </c>
      <c r="T119" s="381" t="s">
        <v>301</v>
      </c>
      <c r="U119" s="381" t="s">
        <v>301</v>
      </c>
      <c r="V119" s="381" t="s">
        <v>301</v>
      </c>
      <c r="W119" s="381" t="s">
        <v>301</v>
      </c>
      <c r="X119" s="387" t="s">
        <v>124</v>
      </c>
    </row>
    <row r="120">
      <c r="A120" s="400">
        <v>64.0</v>
      </c>
      <c r="B120" s="380" t="s">
        <v>307</v>
      </c>
      <c r="C120" s="378"/>
      <c r="D120" s="380" t="s">
        <v>1229</v>
      </c>
      <c r="E120" s="380" t="s">
        <v>1284</v>
      </c>
      <c r="F120" s="378"/>
      <c r="G120" s="380" t="s">
        <v>1294</v>
      </c>
      <c r="H120" s="380" t="s">
        <v>1295</v>
      </c>
      <c r="I120" s="380" t="s">
        <v>1300</v>
      </c>
      <c r="J120" s="400" t="s">
        <v>301</v>
      </c>
      <c r="K120" s="473"/>
      <c r="L120" s="463" t="s">
        <v>1520</v>
      </c>
      <c r="M120" s="463" t="s">
        <v>1520</v>
      </c>
      <c r="N120" s="400" t="s">
        <v>1521</v>
      </c>
      <c r="O120" s="400" t="s">
        <v>301</v>
      </c>
      <c r="P120" s="400" t="s">
        <v>301</v>
      </c>
      <c r="Q120" s="400" t="s">
        <v>301</v>
      </c>
      <c r="R120" s="400" t="s">
        <v>301</v>
      </c>
      <c r="S120" s="474" t="s">
        <v>124</v>
      </c>
      <c r="T120" s="373" t="s">
        <v>301</v>
      </c>
      <c r="U120" s="373" t="s">
        <v>301</v>
      </c>
      <c r="V120" s="373" t="s">
        <v>301</v>
      </c>
      <c r="W120" s="373" t="s">
        <v>301</v>
      </c>
      <c r="X120" s="380" t="s">
        <v>124</v>
      </c>
    </row>
    <row r="121">
      <c r="A121" s="406">
        <v>65.0</v>
      </c>
      <c r="B121" s="387" t="s">
        <v>307</v>
      </c>
      <c r="C121" s="386"/>
      <c r="D121" s="387" t="s">
        <v>1229</v>
      </c>
      <c r="E121" s="387" t="s">
        <v>1284</v>
      </c>
      <c r="F121" s="386"/>
      <c r="G121" s="387" t="s">
        <v>1294</v>
      </c>
      <c r="H121" s="387" t="s">
        <v>1295</v>
      </c>
      <c r="I121" s="387" t="s">
        <v>1300</v>
      </c>
      <c r="J121" s="406" t="s">
        <v>301</v>
      </c>
      <c r="K121" s="471"/>
      <c r="L121" s="460" t="s">
        <v>1522</v>
      </c>
      <c r="M121" s="460" t="s">
        <v>1522</v>
      </c>
      <c r="N121" s="406" t="s">
        <v>1523</v>
      </c>
      <c r="O121" s="406" t="s">
        <v>301</v>
      </c>
      <c r="P121" s="406" t="s">
        <v>301</v>
      </c>
      <c r="Q121" s="406" t="s">
        <v>301</v>
      </c>
      <c r="R121" s="406" t="s">
        <v>301</v>
      </c>
      <c r="S121" s="472" t="s">
        <v>124</v>
      </c>
      <c r="T121" s="381" t="s">
        <v>301</v>
      </c>
      <c r="U121" s="381" t="s">
        <v>301</v>
      </c>
      <c r="V121" s="381" t="s">
        <v>301</v>
      </c>
      <c r="W121" s="381" t="s">
        <v>301</v>
      </c>
      <c r="X121" s="387" t="s">
        <v>124</v>
      </c>
    </row>
    <row r="122">
      <c r="A122" s="400">
        <v>66.0</v>
      </c>
      <c r="B122" s="380" t="s">
        <v>307</v>
      </c>
      <c r="C122" s="378"/>
      <c r="D122" s="380" t="s">
        <v>1229</v>
      </c>
      <c r="E122" s="380" t="s">
        <v>1284</v>
      </c>
      <c r="F122" s="378"/>
      <c r="G122" s="380" t="s">
        <v>1294</v>
      </c>
      <c r="H122" s="380" t="s">
        <v>1295</v>
      </c>
      <c r="I122" s="380" t="s">
        <v>1300</v>
      </c>
      <c r="J122" s="400" t="s">
        <v>301</v>
      </c>
      <c r="K122" s="378"/>
      <c r="L122" s="463" t="s">
        <v>1515</v>
      </c>
      <c r="M122" s="463" t="s">
        <v>1515</v>
      </c>
      <c r="N122" s="400" t="s">
        <v>1491</v>
      </c>
      <c r="O122" s="400" t="s">
        <v>301</v>
      </c>
      <c r="P122" s="400" t="s">
        <v>301</v>
      </c>
      <c r="Q122" s="400" t="s">
        <v>301</v>
      </c>
      <c r="R122" s="400" t="s">
        <v>301</v>
      </c>
      <c r="S122" s="474" t="s">
        <v>124</v>
      </c>
      <c r="T122" s="373" t="s">
        <v>301</v>
      </c>
      <c r="U122" s="373" t="s">
        <v>301</v>
      </c>
      <c r="V122" s="373" t="s">
        <v>301</v>
      </c>
      <c r="W122" s="373" t="s">
        <v>301</v>
      </c>
      <c r="X122" s="380" t="s">
        <v>1444</v>
      </c>
    </row>
    <row r="123">
      <c r="A123" s="406">
        <v>67.0</v>
      </c>
      <c r="B123" s="387" t="s">
        <v>307</v>
      </c>
      <c r="C123" s="386"/>
      <c r="D123" s="387" t="s">
        <v>1229</v>
      </c>
      <c r="E123" s="387" t="s">
        <v>1284</v>
      </c>
      <c r="F123" s="386"/>
      <c r="G123" s="387" t="s">
        <v>1294</v>
      </c>
      <c r="H123" s="387" t="s">
        <v>1295</v>
      </c>
      <c r="I123" s="387" t="s">
        <v>1300</v>
      </c>
      <c r="J123" s="406" t="s">
        <v>301</v>
      </c>
      <c r="K123" s="471"/>
      <c r="L123" s="460" t="s">
        <v>1524</v>
      </c>
      <c r="M123" s="460" t="s">
        <v>1524</v>
      </c>
      <c r="N123" s="472" t="s">
        <v>1468</v>
      </c>
      <c r="O123" s="406" t="s">
        <v>301</v>
      </c>
      <c r="P123" s="406" t="s">
        <v>301</v>
      </c>
      <c r="Q123" s="406" t="s">
        <v>301</v>
      </c>
      <c r="R123" s="406" t="s">
        <v>301</v>
      </c>
      <c r="S123" s="472" t="s">
        <v>1444</v>
      </c>
      <c r="T123" s="381" t="s">
        <v>301</v>
      </c>
      <c r="U123" s="381" t="s">
        <v>301</v>
      </c>
      <c r="V123" s="381" t="s">
        <v>301</v>
      </c>
      <c r="W123" s="381" t="s">
        <v>301</v>
      </c>
      <c r="X123" s="387" t="s">
        <v>124</v>
      </c>
    </row>
    <row r="124">
      <c r="A124" s="470" t="s">
        <v>1525</v>
      </c>
      <c r="B124" s="62"/>
      <c r="C124" s="62"/>
      <c r="D124" s="62"/>
      <c r="E124" s="62"/>
      <c r="F124" s="62"/>
      <c r="G124" s="62"/>
      <c r="H124" s="62"/>
      <c r="I124" s="62"/>
      <c r="J124" s="62"/>
      <c r="K124" s="62"/>
      <c r="L124" s="62"/>
      <c r="M124" s="62"/>
      <c r="N124" s="62"/>
      <c r="O124" s="62"/>
      <c r="P124" s="62"/>
      <c r="Q124" s="62"/>
      <c r="R124" s="62"/>
      <c r="S124" s="62"/>
      <c r="T124" s="62"/>
      <c r="U124" s="62"/>
      <c r="V124" s="62"/>
      <c r="W124" s="63"/>
      <c r="X124" s="487"/>
    </row>
    <row r="125">
      <c r="A125" s="406">
        <v>1.0</v>
      </c>
      <c r="B125" s="386" t="s">
        <v>323</v>
      </c>
      <c r="C125" s="386"/>
      <c r="D125" s="387" t="s">
        <v>1084</v>
      </c>
      <c r="E125" s="387" t="s">
        <v>1085</v>
      </c>
      <c r="F125" s="386"/>
      <c r="G125" s="387" t="s">
        <v>1086</v>
      </c>
      <c r="H125" s="387" t="s">
        <v>1087</v>
      </c>
      <c r="I125" s="387" t="s">
        <v>1088</v>
      </c>
      <c r="J125" s="406" t="s">
        <v>301</v>
      </c>
      <c r="K125" s="488"/>
      <c r="L125" s="460" t="s">
        <v>1526</v>
      </c>
      <c r="M125" s="460" t="s">
        <v>1526</v>
      </c>
      <c r="N125" s="387" t="s">
        <v>1527</v>
      </c>
      <c r="O125" s="381" t="s">
        <v>301</v>
      </c>
      <c r="P125" s="381" t="s">
        <v>301</v>
      </c>
      <c r="Q125" s="381" t="s">
        <v>301</v>
      </c>
      <c r="R125" s="381" t="s">
        <v>301</v>
      </c>
      <c r="S125" s="489" t="s">
        <v>1121</v>
      </c>
      <c r="T125" s="490" t="s">
        <v>301</v>
      </c>
      <c r="U125" s="490" t="s">
        <v>301</v>
      </c>
      <c r="V125" s="490" t="s">
        <v>301</v>
      </c>
      <c r="W125" s="490" t="s">
        <v>301</v>
      </c>
      <c r="X125" s="387" t="s">
        <v>1121</v>
      </c>
    </row>
    <row r="126">
      <c r="A126" s="400">
        <v>2.0</v>
      </c>
      <c r="B126" s="378" t="s">
        <v>323</v>
      </c>
      <c r="C126" s="378"/>
      <c r="D126" s="380" t="s">
        <v>1084</v>
      </c>
      <c r="E126" s="380" t="s">
        <v>1085</v>
      </c>
      <c r="F126" s="378"/>
      <c r="G126" s="380" t="s">
        <v>1086</v>
      </c>
      <c r="H126" s="380" t="s">
        <v>1087</v>
      </c>
      <c r="I126" s="380" t="s">
        <v>1088</v>
      </c>
      <c r="J126" s="400" t="s">
        <v>301</v>
      </c>
      <c r="K126" s="491"/>
      <c r="L126" s="463" t="s">
        <v>1528</v>
      </c>
      <c r="M126" s="463" t="s">
        <v>1528</v>
      </c>
      <c r="N126" s="380" t="s">
        <v>1491</v>
      </c>
      <c r="O126" s="373" t="s">
        <v>301</v>
      </c>
      <c r="P126" s="373" t="s">
        <v>301</v>
      </c>
      <c r="Q126" s="373" t="s">
        <v>301</v>
      </c>
      <c r="R126" s="373" t="s">
        <v>301</v>
      </c>
      <c r="S126" s="380" t="s">
        <v>1121</v>
      </c>
      <c r="T126" s="490" t="s">
        <v>301</v>
      </c>
      <c r="U126" s="490" t="s">
        <v>301</v>
      </c>
      <c r="V126" s="490" t="s">
        <v>301</v>
      </c>
      <c r="W126" s="490" t="s">
        <v>301</v>
      </c>
      <c r="X126" s="380" t="s">
        <v>1121</v>
      </c>
    </row>
    <row r="127">
      <c r="A127" s="406">
        <v>3.0</v>
      </c>
      <c r="B127" s="386" t="s">
        <v>323</v>
      </c>
      <c r="C127" s="386"/>
      <c r="D127" s="387" t="s">
        <v>1084</v>
      </c>
      <c r="E127" s="387" t="s">
        <v>1085</v>
      </c>
      <c r="F127" s="386"/>
      <c r="G127" s="387" t="s">
        <v>1086</v>
      </c>
      <c r="H127" s="387" t="s">
        <v>1087</v>
      </c>
      <c r="I127" s="387" t="s">
        <v>1088</v>
      </c>
      <c r="J127" s="406" t="s">
        <v>301</v>
      </c>
      <c r="K127" s="488"/>
      <c r="L127" s="460" t="s">
        <v>1529</v>
      </c>
      <c r="M127" s="460" t="s">
        <v>1529</v>
      </c>
      <c r="N127" s="387" t="s">
        <v>1491</v>
      </c>
      <c r="O127" s="381" t="s">
        <v>301</v>
      </c>
      <c r="P127" s="381" t="s">
        <v>301</v>
      </c>
      <c r="Q127" s="381" t="s">
        <v>301</v>
      </c>
      <c r="R127" s="381" t="s">
        <v>301</v>
      </c>
      <c r="S127" s="387" t="s">
        <v>1121</v>
      </c>
      <c r="T127" s="490" t="s">
        <v>301</v>
      </c>
      <c r="U127" s="490" t="s">
        <v>301</v>
      </c>
      <c r="V127" s="490" t="s">
        <v>301</v>
      </c>
      <c r="W127" s="490" t="s">
        <v>301</v>
      </c>
      <c r="X127" s="387" t="s">
        <v>1121</v>
      </c>
    </row>
    <row r="128">
      <c r="A128" s="400">
        <v>4.0</v>
      </c>
      <c r="B128" s="378" t="s">
        <v>323</v>
      </c>
      <c r="C128" s="378"/>
      <c r="D128" s="380" t="s">
        <v>1084</v>
      </c>
      <c r="E128" s="380" t="s">
        <v>1085</v>
      </c>
      <c r="F128" s="378"/>
      <c r="G128" s="380" t="s">
        <v>1086</v>
      </c>
      <c r="H128" s="380" t="s">
        <v>1087</v>
      </c>
      <c r="I128" s="380" t="s">
        <v>1088</v>
      </c>
      <c r="J128" s="400" t="s">
        <v>301</v>
      </c>
      <c r="K128" s="491"/>
      <c r="L128" s="463" t="s">
        <v>1530</v>
      </c>
      <c r="M128" s="463" t="s">
        <v>1530</v>
      </c>
      <c r="N128" s="380" t="s">
        <v>1171</v>
      </c>
      <c r="O128" s="373" t="s">
        <v>301</v>
      </c>
      <c r="P128" s="373" t="s">
        <v>301</v>
      </c>
      <c r="Q128" s="373" t="s">
        <v>301</v>
      </c>
      <c r="R128" s="373" t="s">
        <v>301</v>
      </c>
      <c r="S128" s="380" t="s">
        <v>1121</v>
      </c>
      <c r="T128" s="490" t="s">
        <v>301</v>
      </c>
      <c r="U128" s="490" t="s">
        <v>301</v>
      </c>
      <c r="V128" s="490" t="s">
        <v>301</v>
      </c>
      <c r="W128" s="490" t="s">
        <v>301</v>
      </c>
      <c r="X128" s="380" t="s">
        <v>1121</v>
      </c>
    </row>
    <row r="129">
      <c r="A129" s="406">
        <v>5.0</v>
      </c>
      <c r="B129" s="386" t="s">
        <v>323</v>
      </c>
      <c r="C129" s="386"/>
      <c r="D129" s="387" t="s">
        <v>1058</v>
      </c>
      <c r="E129" s="387" t="s">
        <v>1059</v>
      </c>
      <c r="F129" s="386"/>
      <c r="G129" s="387" t="s">
        <v>1098</v>
      </c>
      <c r="H129" s="387" t="s">
        <v>1099</v>
      </c>
      <c r="I129" s="387" t="s">
        <v>1100</v>
      </c>
      <c r="J129" s="406" t="s">
        <v>301</v>
      </c>
      <c r="K129" s="402"/>
      <c r="L129" s="460" t="s">
        <v>1531</v>
      </c>
      <c r="M129" s="460" t="s">
        <v>1531</v>
      </c>
      <c r="N129" s="387" t="s">
        <v>1514</v>
      </c>
      <c r="O129" s="381" t="s">
        <v>301</v>
      </c>
      <c r="P129" s="381" t="s">
        <v>301</v>
      </c>
      <c r="Q129" s="381" t="s">
        <v>301</v>
      </c>
      <c r="R129" s="381" t="s">
        <v>301</v>
      </c>
      <c r="S129" s="387" t="s">
        <v>1091</v>
      </c>
      <c r="T129" s="490" t="s">
        <v>301</v>
      </c>
      <c r="U129" s="490" t="s">
        <v>301</v>
      </c>
      <c r="V129" s="490" t="s">
        <v>301</v>
      </c>
      <c r="W129" s="490" t="s">
        <v>301</v>
      </c>
      <c r="X129" s="387" t="s">
        <v>1091</v>
      </c>
    </row>
    <row r="130">
      <c r="A130" s="400">
        <v>6.0</v>
      </c>
      <c r="B130" s="378" t="s">
        <v>323</v>
      </c>
      <c r="C130" s="378"/>
      <c r="D130" s="380" t="s">
        <v>1058</v>
      </c>
      <c r="E130" s="380" t="s">
        <v>1059</v>
      </c>
      <c r="F130" s="378"/>
      <c r="G130" s="380" t="s">
        <v>1098</v>
      </c>
      <c r="H130" s="380" t="s">
        <v>1099</v>
      </c>
      <c r="I130" s="380" t="s">
        <v>1100</v>
      </c>
      <c r="J130" s="400" t="s">
        <v>301</v>
      </c>
      <c r="K130" s="396"/>
      <c r="L130" s="463" t="s">
        <v>1408</v>
      </c>
      <c r="M130" s="463" t="s">
        <v>1408</v>
      </c>
      <c r="N130" s="380" t="s">
        <v>1180</v>
      </c>
      <c r="O130" s="381" t="s">
        <v>301</v>
      </c>
      <c r="P130" s="381" t="s">
        <v>301</v>
      </c>
      <c r="Q130" s="381" t="s">
        <v>301</v>
      </c>
      <c r="R130" s="381" t="s">
        <v>301</v>
      </c>
      <c r="S130" s="380" t="s">
        <v>1121</v>
      </c>
      <c r="T130" s="490" t="s">
        <v>301</v>
      </c>
      <c r="U130" s="490" t="s">
        <v>301</v>
      </c>
      <c r="V130" s="490" t="s">
        <v>301</v>
      </c>
      <c r="W130" s="490" t="s">
        <v>301</v>
      </c>
      <c r="X130" s="380" t="s">
        <v>1121</v>
      </c>
    </row>
    <row r="131">
      <c r="A131" s="406">
        <v>7.0</v>
      </c>
      <c r="B131" s="386" t="s">
        <v>323</v>
      </c>
      <c r="C131" s="386"/>
      <c r="D131" s="387" t="s">
        <v>1058</v>
      </c>
      <c r="E131" s="387" t="s">
        <v>1059</v>
      </c>
      <c r="F131" s="386"/>
      <c r="G131" s="387" t="s">
        <v>1098</v>
      </c>
      <c r="H131" s="387" t="s">
        <v>1099</v>
      </c>
      <c r="I131" s="387" t="s">
        <v>1100</v>
      </c>
      <c r="J131" s="406" t="s">
        <v>301</v>
      </c>
      <c r="K131" s="402"/>
      <c r="L131" s="460" t="s">
        <v>1409</v>
      </c>
      <c r="M131" s="460" t="s">
        <v>1409</v>
      </c>
      <c r="N131" s="387" t="s">
        <v>1180</v>
      </c>
      <c r="O131" s="373" t="s">
        <v>301</v>
      </c>
      <c r="P131" s="373" t="s">
        <v>301</v>
      </c>
      <c r="Q131" s="373" t="s">
        <v>301</v>
      </c>
      <c r="R131" s="373" t="s">
        <v>301</v>
      </c>
      <c r="S131" s="387" t="s">
        <v>1121</v>
      </c>
      <c r="T131" s="490" t="s">
        <v>301</v>
      </c>
      <c r="U131" s="490" t="s">
        <v>301</v>
      </c>
      <c r="V131" s="490" t="s">
        <v>301</v>
      </c>
      <c r="W131" s="490" t="s">
        <v>301</v>
      </c>
      <c r="X131" s="387" t="s">
        <v>1121</v>
      </c>
    </row>
    <row r="132">
      <c r="A132" s="400">
        <v>8.0</v>
      </c>
      <c r="B132" s="378" t="s">
        <v>323</v>
      </c>
      <c r="C132" s="378"/>
      <c r="D132" s="380" t="s">
        <v>1058</v>
      </c>
      <c r="E132" s="380" t="s">
        <v>1059</v>
      </c>
      <c r="F132" s="378"/>
      <c r="G132" s="380" t="s">
        <v>1098</v>
      </c>
      <c r="H132" s="380" t="s">
        <v>1099</v>
      </c>
      <c r="I132" s="380" t="s">
        <v>1100</v>
      </c>
      <c r="J132" s="400" t="s">
        <v>301</v>
      </c>
      <c r="K132" s="396"/>
      <c r="L132" s="463" t="s">
        <v>1532</v>
      </c>
      <c r="M132" s="463" t="s">
        <v>1532</v>
      </c>
      <c r="N132" s="380" t="s">
        <v>1180</v>
      </c>
      <c r="O132" s="381" t="s">
        <v>301</v>
      </c>
      <c r="P132" s="381" t="s">
        <v>301</v>
      </c>
      <c r="Q132" s="381" t="s">
        <v>301</v>
      </c>
      <c r="R132" s="381" t="s">
        <v>301</v>
      </c>
      <c r="S132" s="380" t="s">
        <v>1121</v>
      </c>
      <c r="T132" s="490" t="s">
        <v>301</v>
      </c>
      <c r="U132" s="490" t="s">
        <v>301</v>
      </c>
      <c r="V132" s="490" t="s">
        <v>301</v>
      </c>
      <c r="W132" s="490" t="s">
        <v>301</v>
      </c>
      <c r="X132" s="380" t="s">
        <v>1121</v>
      </c>
    </row>
    <row r="133">
      <c r="A133" s="406">
        <v>9.0</v>
      </c>
      <c r="B133" s="386" t="s">
        <v>323</v>
      </c>
      <c r="C133" s="386"/>
      <c r="D133" s="387" t="s">
        <v>1058</v>
      </c>
      <c r="E133" s="387" t="s">
        <v>1059</v>
      </c>
      <c r="F133" s="386"/>
      <c r="G133" s="387" t="s">
        <v>1098</v>
      </c>
      <c r="H133" s="387" t="s">
        <v>1099</v>
      </c>
      <c r="I133" s="387" t="s">
        <v>1100</v>
      </c>
      <c r="J133" s="406" t="s">
        <v>301</v>
      </c>
      <c r="K133" s="402"/>
      <c r="L133" s="460" t="s">
        <v>1430</v>
      </c>
      <c r="M133" s="460" t="s">
        <v>1430</v>
      </c>
      <c r="N133" s="387" t="s">
        <v>1533</v>
      </c>
      <c r="O133" s="373" t="s">
        <v>301</v>
      </c>
      <c r="P133" s="373" t="s">
        <v>301</v>
      </c>
      <c r="Q133" s="373" t="s">
        <v>301</v>
      </c>
      <c r="R133" s="373" t="s">
        <v>301</v>
      </c>
      <c r="S133" s="387" t="s">
        <v>1121</v>
      </c>
      <c r="T133" s="490" t="s">
        <v>301</v>
      </c>
      <c r="U133" s="490" t="s">
        <v>301</v>
      </c>
      <c r="V133" s="490" t="s">
        <v>301</v>
      </c>
      <c r="W133" s="490" t="s">
        <v>301</v>
      </c>
      <c r="X133" s="387" t="s">
        <v>1121</v>
      </c>
    </row>
    <row r="134">
      <c r="A134" s="400">
        <v>10.0</v>
      </c>
      <c r="B134" s="378" t="s">
        <v>323</v>
      </c>
      <c r="C134" s="378"/>
      <c r="D134" s="380" t="s">
        <v>1058</v>
      </c>
      <c r="E134" s="380" t="s">
        <v>1059</v>
      </c>
      <c r="F134" s="378"/>
      <c r="G134" s="380" t="s">
        <v>1098</v>
      </c>
      <c r="H134" s="380" t="s">
        <v>1099</v>
      </c>
      <c r="I134" s="380" t="s">
        <v>1100</v>
      </c>
      <c r="J134" s="400" t="s">
        <v>301</v>
      </c>
      <c r="K134" s="396"/>
      <c r="L134" s="463" t="s">
        <v>1410</v>
      </c>
      <c r="M134" s="463" t="s">
        <v>1410</v>
      </c>
      <c r="N134" s="380" t="s">
        <v>1171</v>
      </c>
      <c r="O134" s="381" t="s">
        <v>301</v>
      </c>
      <c r="P134" s="381" t="s">
        <v>301</v>
      </c>
      <c r="Q134" s="381" t="s">
        <v>301</v>
      </c>
      <c r="R134" s="381" t="s">
        <v>301</v>
      </c>
      <c r="S134" s="380" t="s">
        <v>1121</v>
      </c>
      <c r="T134" s="490" t="s">
        <v>301</v>
      </c>
      <c r="U134" s="490" t="s">
        <v>301</v>
      </c>
      <c r="V134" s="490" t="s">
        <v>301</v>
      </c>
      <c r="W134" s="490" t="s">
        <v>301</v>
      </c>
      <c r="X134" s="380" t="s">
        <v>1121</v>
      </c>
    </row>
    <row r="135">
      <c r="A135" s="406">
        <v>11.0</v>
      </c>
      <c r="B135" s="386" t="s">
        <v>323</v>
      </c>
      <c r="C135" s="386"/>
      <c r="D135" s="387" t="s">
        <v>1058</v>
      </c>
      <c r="E135" s="387" t="s">
        <v>1059</v>
      </c>
      <c r="F135" s="386"/>
      <c r="G135" s="387" t="s">
        <v>1098</v>
      </c>
      <c r="H135" s="387" t="s">
        <v>1099</v>
      </c>
      <c r="I135" s="387" t="s">
        <v>1100</v>
      </c>
      <c r="J135" s="406" t="s">
        <v>301</v>
      </c>
      <c r="K135" s="402"/>
      <c r="L135" s="460" t="s">
        <v>1431</v>
      </c>
      <c r="M135" s="460" t="s">
        <v>1431</v>
      </c>
      <c r="N135" s="387" t="s">
        <v>1180</v>
      </c>
      <c r="O135" s="381" t="s">
        <v>301</v>
      </c>
      <c r="P135" s="381" t="s">
        <v>301</v>
      </c>
      <c r="Q135" s="381" t="s">
        <v>301</v>
      </c>
      <c r="R135" s="381" t="s">
        <v>301</v>
      </c>
      <c r="S135" s="387" t="s">
        <v>1121</v>
      </c>
      <c r="T135" s="490" t="s">
        <v>301</v>
      </c>
      <c r="U135" s="490" t="s">
        <v>301</v>
      </c>
      <c r="V135" s="490" t="s">
        <v>301</v>
      </c>
      <c r="W135" s="490" t="s">
        <v>301</v>
      </c>
      <c r="X135" s="387" t="s">
        <v>1121</v>
      </c>
    </row>
    <row r="136">
      <c r="A136" s="400">
        <v>12.0</v>
      </c>
      <c r="B136" s="378" t="s">
        <v>323</v>
      </c>
      <c r="C136" s="378"/>
      <c r="D136" s="380" t="s">
        <v>1058</v>
      </c>
      <c r="E136" s="380" t="s">
        <v>1059</v>
      </c>
      <c r="F136" s="378"/>
      <c r="G136" s="380" t="s">
        <v>1098</v>
      </c>
      <c r="H136" s="380" t="s">
        <v>1099</v>
      </c>
      <c r="I136" s="380" t="s">
        <v>1100</v>
      </c>
      <c r="J136" s="406" t="s">
        <v>301</v>
      </c>
      <c r="K136" s="396"/>
      <c r="L136" s="463" t="s">
        <v>1411</v>
      </c>
      <c r="M136" s="463" t="s">
        <v>1411</v>
      </c>
      <c r="N136" s="380" t="s">
        <v>1171</v>
      </c>
      <c r="O136" s="373" t="s">
        <v>301</v>
      </c>
      <c r="P136" s="373" t="s">
        <v>301</v>
      </c>
      <c r="Q136" s="373" t="s">
        <v>301</v>
      </c>
      <c r="R136" s="373" t="s">
        <v>301</v>
      </c>
      <c r="S136" s="380" t="s">
        <v>1121</v>
      </c>
      <c r="T136" s="490" t="s">
        <v>301</v>
      </c>
      <c r="U136" s="490" t="s">
        <v>301</v>
      </c>
      <c r="V136" s="490" t="s">
        <v>301</v>
      </c>
      <c r="W136" s="490" t="s">
        <v>301</v>
      </c>
      <c r="X136" s="380" t="s">
        <v>1121</v>
      </c>
    </row>
    <row r="137">
      <c r="A137" s="406">
        <v>13.0</v>
      </c>
      <c r="B137" s="386" t="s">
        <v>323</v>
      </c>
      <c r="C137" s="386"/>
      <c r="D137" s="387" t="s">
        <v>1058</v>
      </c>
      <c r="E137" s="387" t="s">
        <v>1059</v>
      </c>
      <c r="F137" s="386"/>
      <c r="G137" s="387" t="s">
        <v>1098</v>
      </c>
      <c r="H137" s="387" t="s">
        <v>1099</v>
      </c>
      <c r="I137" s="387" t="s">
        <v>1100</v>
      </c>
      <c r="J137" s="400" t="s">
        <v>301</v>
      </c>
      <c r="K137" s="402"/>
      <c r="L137" s="460" t="s">
        <v>1412</v>
      </c>
      <c r="M137" s="460" t="s">
        <v>1412</v>
      </c>
      <c r="N137" s="387" t="s">
        <v>1534</v>
      </c>
      <c r="O137" s="381" t="s">
        <v>301</v>
      </c>
      <c r="P137" s="381" t="s">
        <v>301</v>
      </c>
      <c r="Q137" s="381" t="s">
        <v>301</v>
      </c>
      <c r="R137" s="381" t="s">
        <v>301</v>
      </c>
      <c r="S137" s="387" t="s">
        <v>1121</v>
      </c>
      <c r="T137" s="490" t="s">
        <v>301</v>
      </c>
      <c r="U137" s="490" t="s">
        <v>301</v>
      </c>
      <c r="V137" s="490" t="s">
        <v>301</v>
      </c>
      <c r="W137" s="490" t="s">
        <v>301</v>
      </c>
      <c r="X137" s="387" t="s">
        <v>1121</v>
      </c>
    </row>
    <row r="138">
      <c r="A138" s="400">
        <v>14.0</v>
      </c>
      <c r="B138" s="378" t="s">
        <v>323</v>
      </c>
      <c r="C138" s="378"/>
      <c r="D138" s="380" t="s">
        <v>1058</v>
      </c>
      <c r="E138" s="380" t="s">
        <v>1059</v>
      </c>
      <c r="F138" s="378"/>
      <c r="G138" s="380" t="s">
        <v>1098</v>
      </c>
      <c r="H138" s="380" t="s">
        <v>1099</v>
      </c>
      <c r="I138" s="380" t="s">
        <v>1100</v>
      </c>
      <c r="J138" s="406" t="s">
        <v>301</v>
      </c>
      <c r="K138" s="396"/>
      <c r="L138" s="463" t="s">
        <v>1414</v>
      </c>
      <c r="M138" s="463" t="s">
        <v>1414</v>
      </c>
      <c r="N138" s="380" t="s">
        <v>1535</v>
      </c>
      <c r="O138" s="373" t="s">
        <v>301</v>
      </c>
      <c r="P138" s="373" t="s">
        <v>301</v>
      </c>
      <c r="Q138" s="373" t="s">
        <v>301</v>
      </c>
      <c r="R138" s="373" t="s">
        <v>301</v>
      </c>
      <c r="S138" s="380" t="s">
        <v>1121</v>
      </c>
      <c r="T138" s="490" t="s">
        <v>301</v>
      </c>
      <c r="U138" s="490" t="s">
        <v>301</v>
      </c>
      <c r="V138" s="490" t="s">
        <v>301</v>
      </c>
      <c r="W138" s="490" t="s">
        <v>301</v>
      </c>
      <c r="X138" s="380" t="s">
        <v>1121</v>
      </c>
    </row>
    <row r="139">
      <c r="A139" s="406">
        <v>15.0</v>
      </c>
      <c r="B139" s="386" t="s">
        <v>323</v>
      </c>
      <c r="C139" s="386"/>
      <c r="D139" s="387" t="s">
        <v>1058</v>
      </c>
      <c r="E139" s="387" t="s">
        <v>1059</v>
      </c>
      <c r="F139" s="386"/>
      <c r="G139" s="387" t="s">
        <v>1098</v>
      </c>
      <c r="H139" s="387" t="s">
        <v>1099</v>
      </c>
      <c r="I139" s="387" t="s">
        <v>1100</v>
      </c>
      <c r="J139" s="400" t="s">
        <v>301</v>
      </c>
      <c r="K139" s="402"/>
      <c r="L139" s="460" t="s">
        <v>1415</v>
      </c>
      <c r="M139" s="460" t="s">
        <v>1415</v>
      </c>
      <c r="N139" s="387" t="s">
        <v>1407</v>
      </c>
      <c r="O139" s="381" t="s">
        <v>301</v>
      </c>
      <c r="P139" s="381" t="s">
        <v>301</v>
      </c>
      <c r="Q139" s="381" t="s">
        <v>301</v>
      </c>
      <c r="R139" s="381" t="s">
        <v>301</v>
      </c>
      <c r="S139" s="387" t="s">
        <v>1121</v>
      </c>
      <c r="T139" s="490" t="s">
        <v>301</v>
      </c>
      <c r="U139" s="490" t="s">
        <v>301</v>
      </c>
      <c r="V139" s="490" t="s">
        <v>301</v>
      </c>
      <c r="W139" s="490" t="s">
        <v>301</v>
      </c>
      <c r="X139" s="387" t="s">
        <v>1121</v>
      </c>
    </row>
    <row r="140">
      <c r="A140" s="400">
        <v>16.0</v>
      </c>
      <c r="B140" s="378" t="s">
        <v>323</v>
      </c>
      <c r="C140" s="378"/>
      <c r="D140" s="380" t="s">
        <v>1058</v>
      </c>
      <c r="E140" s="380" t="s">
        <v>1059</v>
      </c>
      <c r="F140" s="378"/>
      <c r="G140" s="380" t="s">
        <v>1098</v>
      </c>
      <c r="H140" s="380" t="s">
        <v>1099</v>
      </c>
      <c r="I140" s="380" t="s">
        <v>1100</v>
      </c>
      <c r="J140" s="406" t="s">
        <v>301</v>
      </c>
      <c r="K140" s="396"/>
      <c r="L140" s="463" t="s">
        <v>1417</v>
      </c>
      <c r="M140" s="463" t="s">
        <v>1417</v>
      </c>
      <c r="N140" s="380" t="s">
        <v>1407</v>
      </c>
      <c r="O140" s="381" t="s">
        <v>301</v>
      </c>
      <c r="P140" s="381" t="s">
        <v>301</v>
      </c>
      <c r="Q140" s="381" t="s">
        <v>301</v>
      </c>
      <c r="R140" s="381" t="s">
        <v>301</v>
      </c>
      <c r="S140" s="380" t="s">
        <v>1121</v>
      </c>
      <c r="T140" s="490" t="s">
        <v>301</v>
      </c>
      <c r="U140" s="490" t="s">
        <v>301</v>
      </c>
      <c r="V140" s="490" t="s">
        <v>301</v>
      </c>
      <c r="W140" s="490" t="s">
        <v>301</v>
      </c>
      <c r="X140" s="380" t="s">
        <v>1121</v>
      </c>
    </row>
    <row r="141">
      <c r="A141" s="406">
        <v>17.0</v>
      </c>
      <c r="B141" s="386" t="s">
        <v>323</v>
      </c>
      <c r="C141" s="386"/>
      <c r="D141" s="387" t="s">
        <v>1058</v>
      </c>
      <c r="E141" s="387" t="s">
        <v>1059</v>
      </c>
      <c r="F141" s="386"/>
      <c r="G141" s="387" t="s">
        <v>1098</v>
      </c>
      <c r="H141" s="387" t="s">
        <v>1099</v>
      </c>
      <c r="I141" s="387" t="s">
        <v>1100</v>
      </c>
      <c r="J141" s="400" t="s">
        <v>301</v>
      </c>
      <c r="K141" s="402"/>
      <c r="L141" s="460" t="s">
        <v>1406</v>
      </c>
      <c r="M141" s="460" t="s">
        <v>1406</v>
      </c>
      <c r="N141" s="387" t="s">
        <v>1535</v>
      </c>
      <c r="O141" s="373" t="s">
        <v>301</v>
      </c>
      <c r="P141" s="373" t="s">
        <v>301</v>
      </c>
      <c r="Q141" s="373" t="s">
        <v>301</v>
      </c>
      <c r="R141" s="373" t="s">
        <v>301</v>
      </c>
      <c r="S141" s="387" t="s">
        <v>1121</v>
      </c>
      <c r="T141" s="490" t="s">
        <v>301</v>
      </c>
      <c r="U141" s="490" t="s">
        <v>301</v>
      </c>
      <c r="V141" s="490" t="s">
        <v>301</v>
      </c>
      <c r="W141" s="490" t="s">
        <v>301</v>
      </c>
      <c r="X141" s="387" t="s">
        <v>1121</v>
      </c>
    </row>
    <row r="142">
      <c r="A142" s="400">
        <v>18.0</v>
      </c>
      <c r="B142" s="378" t="s">
        <v>323</v>
      </c>
      <c r="C142" s="378"/>
      <c r="D142" s="380" t="s">
        <v>1058</v>
      </c>
      <c r="E142" s="380" t="s">
        <v>1059</v>
      </c>
      <c r="F142" s="378"/>
      <c r="G142" s="380" t="s">
        <v>1098</v>
      </c>
      <c r="H142" s="380" t="s">
        <v>1099</v>
      </c>
      <c r="I142" s="380" t="s">
        <v>1100</v>
      </c>
      <c r="J142" s="406" t="s">
        <v>301</v>
      </c>
      <c r="K142" s="396"/>
      <c r="L142" s="463" t="s">
        <v>1536</v>
      </c>
      <c r="M142" s="463" t="s">
        <v>1536</v>
      </c>
      <c r="N142" s="380" t="s">
        <v>1171</v>
      </c>
      <c r="O142" s="381" t="s">
        <v>301</v>
      </c>
      <c r="P142" s="381" t="s">
        <v>301</v>
      </c>
      <c r="Q142" s="381" t="s">
        <v>301</v>
      </c>
      <c r="R142" s="381" t="s">
        <v>301</v>
      </c>
      <c r="S142" s="380" t="s">
        <v>1121</v>
      </c>
      <c r="T142" s="490" t="s">
        <v>301</v>
      </c>
      <c r="U142" s="490" t="s">
        <v>301</v>
      </c>
      <c r="V142" s="490" t="s">
        <v>301</v>
      </c>
      <c r="W142" s="490" t="s">
        <v>301</v>
      </c>
      <c r="X142" s="380" t="s">
        <v>1121</v>
      </c>
    </row>
    <row r="143">
      <c r="A143" s="406">
        <v>19.0</v>
      </c>
      <c r="B143" s="386" t="s">
        <v>298</v>
      </c>
      <c r="C143" s="386"/>
      <c r="D143" s="387" t="s">
        <v>1084</v>
      </c>
      <c r="E143" s="387" t="s">
        <v>1122</v>
      </c>
      <c r="F143" s="386"/>
      <c r="G143" s="387" t="s">
        <v>1123</v>
      </c>
      <c r="H143" s="387" t="s">
        <v>1124</v>
      </c>
      <c r="I143" s="387" t="s">
        <v>1125</v>
      </c>
      <c r="J143" s="400" t="s">
        <v>301</v>
      </c>
      <c r="K143" s="488"/>
      <c r="L143" s="460" t="s">
        <v>1537</v>
      </c>
      <c r="M143" s="460" t="s">
        <v>1537</v>
      </c>
      <c r="N143" s="387" t="s">
        <v>1538</v>
      </c>
      <c r="O143" s="373" t="s">
        <v>301</v>
      </c>
      <c r="P143" s="373" t="s">
        <v>301</v>
      </c>
      <c r="Q143" s="373" t="s">
        <v>301</v>
      </c>
      <c r="R143" s="373" t="s">
        <v>301</v>
      </c>
      <c r="S143" s="387" t="s">
        <v>1091</v>
      </c>
      <c r="T143" s="490" t="s">
        <v>301</v>
      </c>
      <c r="U143" s="490" t="s">
        <v>301</v>
      </c>
      <c r="V143" s="490" t="s">
        <v>301</v>
      </c>
      <c r="W143" s="490" t="s">
        <v>301</v>
      </c>
      <c r="X143" s="387" t="s">
        <v>1091</v>
      </c>
    </row>
    <row r="144">
      <c r="A144" s="400">
        <v>20.0</v>
      </c>
      <c r="B144" s="378" t="s">
        <v>298</v>
      </c>
      <c r="C144" s="378"/>
      <c r="D144" s="380" t="s">
        <v>1084</v>
      </c>
      <c r="E144" s="380" t="s">
        <v>1122</v>
      </c>
      <c r="F144" s="378"/>
      <c r="G144" s="380" t="s">
        <v>1123</v>
      </c>
      <c r="H144" s="380" t="s">
        <v>1124</v>
      </c>
      <c r="I144" s="380" t="s">
        <v>1125</v>
      </c>
      <c r="J144" s="406" t="s">
        <v>301</v>
      </c>
      <c r="K144" s="492"/>
      <c r="L144" s="463" t="s">
        <v>1539</v>
      </c>
      <c r="M144" s="463" t="s">
        <v>1539</v>
      </c>
      <c r="N144" s="380" t="s">
        <v>1127</v>
      </c>
      <c r="O144" s="381" t="s">
        <v>301</v>
      </c>
      <c r="P144" s="381" t="s">
        <v>301</v>
      </c>
      <c r="Q144" s="381" t="s">
        <v>301</v>
      </c>
      <c r="R144" s="381" t="s">
        <v>301</v>
      </c>
      <c r="S144" s="380" t="s">
        <v>1091</v>
      </c>
      <c r="T144" s="490" t="s">
        <v>301</v>
      </c>
      <c r="U144" s="490" t="s">
        <v>301</v>
      </c>
      <c r="V144" s="490" t="s">
        <v>301</v>
      </c>
      <c r="W144" s="490" t="s">
        <v>301</v>
      </c>
      <c r="X144" s="380" t="s">
        <v>1091</v>
      </c>
    </row>
    <row r="145">
      <c r="A145" s="406">
        <v>21.0</v>
      </c>
      <c r="B145" s="386" t="s">
        <v>298</v>
      </c>
      <c r="C145" s="386"/>
      <c r="D145" s="387" t="s">
        <v>1084</v>
      </c>
      <c r="E145" s="387" t="s">
        <v>1122</v>
      </c>
      <c r="F145" s="386"/>
      <c r="G145" s="387" t="s">
        <v>1123</v>
      </c>
      <c r="H145" s="387" t="s">
        <v>1124</v>
      </c>
      <c r="I145" s="387" t="s">
        <v>1125</v>
      </c>
      <c r="J145" s="400" t="s">
        <v>301</v>
      </c>
      <c r="K145" s="488"/>
      <c r="L145" s="460" t="s">
        <v>1540</v>
      </c>
      <c r="M145" s="460" t="s">
        <v>1540</v>
      </c>
      <c r="N145" s="387" t="s">
        <v>1541</v>
      </c>
      <c r="O145" s="381" t="s">
        <v>301</v>
      </c>
      <c r="P145" s="381" t="s">
        <v>301</v>
      </c>
      <c r="Q145" s="381" t="s">
        <v>301</v>
      </c>
      <c r="R145" s="381" t="s">
        <v>301</v>
      </c>
      <c r="S145" s="387" t="s">
        <v>1091</v>
      </c>
      <c r="T145" s="490" t="s">
        <v>301</v>
      </c>
      <c r="U145" s="490" t="s">
        <v>301</v>
      </c>
      <c r="V145" s="490" t="s">
        <v>301</v>
      </c>
      <c r="W145" s="490" t="s">
        <v>301</v>
      </c>
      <c r="X145" s="387" t="s">
        <v>1091</v>
      </c>
    </row>
    <row r="146">
      <c r="A146" s="400">
        <v>22.0</v>
      </c>
      <c r="B146" s="378" t="s">
        <v>298</v>
      </c>
      <c r="C146" s="378"/>
      <c r="D146" s="380" t="s">
        <v>1084</v>
      </c>
      <c r="E146" s="380" t="s">
        <v>1122</v>
      </c>
      <c r="F146" s="378"/>
      <c r="G146" s="380" t="s">
        <v>1123</v>
      </c>
      <c r="H146" s="380" t="s">
        <v>1124</v>
      </c>
      <c r="I146" s="380" t="s">
        <v>1125</v>
      </c>
      <c r="J146" s="406" t="s">
        <v>301</v>
      </c>
      <c r="K146" s="492"/>
      <c r="L146" s="463" t="s">
        <v>1542</v>
      </c>
      <c r="M146" s="463" t="s">
        <v>1542</v>
      </c>
      <c r="N146" s="380" t="s">
        <v>1127</v>
      </c>
      <c r="O146" s="373" t="s">
        <v>301</v>
      </c>
      <c r="P146" s="373" t="s">
        <v>301</v>
      </c>
      <c r="Q146" s="373" t="s">
        <v>301</v>
      </c>
      <c r="R146" s="373" t="s">
        <v>301</v>
      </c>
      <c r="S146" s="380" t="s">
        <v>1091</v>
      </c>
      <c r="T146" s="490" t="s">
        <v>301</v>
      </c>
      <c r="U146" s="490" t="s">
        <v>301</v>
      </c>
      <c r="V146" s="490" t="s">
        <v>301</v>
      </c>
      <c r="W146" s="490" t="s">
        <v>301</v>
      </c>
      <c r="X146" s="380" t="s">
        <v>1091</v>
      </c>
    </row>
    <row r="147">
      <c r="A147" s="406">
        <v>23.0</v>
      </c>
      <c r="B147" s="386" t="s">
        <v>298</v>
      </c>
      <c r="C147" s="386"/>
      <c r="D147" s="387" t="s">
        <v>1084</v>
      </c>
      <c r="E147" s="387" t="s">
        <v>1122</v>
      </c>
      <c r="F147" s="386"/>
      <c r="G147" s="387" t="s">
        <v>1123</v>
      </c>
      <c r="H147" s="387" t="s">
        <v>1124</v>
      </c>
      <c r="I147" s="387" t="s">
        <v>1125</v>
      </c>
      <c r="J147" s="406" t="s">
        <v>301</v>
      </c>
      <c r="K147" s="488"/>
      <c r="L147" s="460" t="s">
        <v>1543</v>
      </c>
      <c r="M147" s="460" t="s">
        <v>1543</v>
      </c>
      <c r="N147" s="387" t="s">
        <v>1544</v>
      </c>
      <c r="O147" s="381" t="s">
        <v>301</v>
      </c>
      <c r="P147" s="381" t="s">
        <v>301</v>
      </c>
      <c r="Q147" s="381" t="s">
        <v>301</v>
      </c>
      <c r="R147" s="381" t="s">
        <v>301</v>
      </c>
      <c r="S147" s="387" t="s">
        <v>1091</v>
      </c>
      <c r="T147" s="490" t="s">
        <v>301</v>
      </c>
      <c r="U147" s="490" t="s">
        <v>301</v>
      </c>
      <c r="V147" s="490" t="s">
        <v>301</v>
      </c>
      <c r="W147" s="490" t="s">
        <v>301</v>
      </c>
      <c r="X147" s="387" t="s">
        <v>1091</v>
      </c>
    </row>
    <row r="148">
      <c r="A148" s="400">
        <v>24.0</v>
      </c>
      <c r="B148" s="378" t="s">
        <v>298</v>
      </c>
      <c r="C148" s="378"/>
      <c r="D148" s="380" t="s">
        <v>1084</v>
      </c>
      <c r="E148" s="380" t="s">
        <v>1122</v>
      </c>
      <c r="F148" s="378"/>
      <c r="G148" s="380" t="s">
        <v>1123</v>
      </c>
      <c r="H148" s="380" t="s">
        <v>1124</v>
      </c>
      <c r="I148" s="380" t="s">
        <v>1125</v>
      </c>
      <c r="J148" s="400" t="s">
        <v>301</v>
      </c>
      <c r="K148" s="491"/>
      <c r="L148" s="463" t="s">
        <v>1545</v>
      </c>
      <c r="M148" s="463" t="s">
        <v>1545</v>
      </c>
      <c r="N148" s="380" t="s">
        <v>1136</v>
      </c>
      <c r="O148" s="373" t="s">
        <v>301</v>
      </c>
      <c r="P148" s="373" t="s">
        <v>301</v>
      </c>
      <c r="Q148" s="373" t="s">
        <v>301</v>
      </c>
      <c r="R148" s="373" t="s">
        <v>301</v>
      </c>
      <c r="S148" s="380" t="s">
        <v>1091</v>
      </c>
      <c r="T148" s="490" t="s">
        <v>301</v>
      </c>
      <c r="U148" s="490" t="s">
        <v>301</v>
      </c>
      <c r="V148" s="490" t="s">
        <v>301</v>
      </c>
      <c r="W148" s="490" t="s">
        <v>301</v>
      </c>
      <c r="X148" s="380" t="s">
        <v>1091</v>
      </c>
    </row>
    <row r="149">
      <c r="A149" s="406">
        <v>25.0</v>
      </c>
      <c r="B149" s="386" t="s">
        <v>298</v>
      </c>
      <c r="C149" s="386"/>
      <c r="D149" s="387" t="s">
        <v>1084</v>
      </c>
      <c r="E149" s="387" t="s">
        <v>1137</v>
      </c>
      <c r="F149" s="386"/>
      <c r="G149" s="387" t="s">
        <v>1123</v>
      </c>
      <c r="H149" s="387" t="s">
        <v>1124</v>
      </c>
      <c r="I149" s="387" t="s">
        <v>1138</v>
      </c>
      <c r="J149" s="406" t="s">
        <v>301</v>
      </c>
      <c r="K149" s="402"/>
      <c r="L149" s="460" t="s">
        <v>1546</v>
      </c>
      <c r="M149" s="460" t="s">
        <v>1546</v>
      </c>
      <c r="N149" s="387" t="s">
        <v>1547</v>
      </c>
      <c r="O149" s="381" t="s">
        <v>301</v>
      </c>
      <c r="P149" s="381" t="s">
        <v>301</v>
      </c>
      <c r="Q149" s="381" t="s">
        <v>301</v>
      </c>
      <c r="R149" s="381" t="s">
        <v>301</v>
      </c>
      <c r="S149" s="387" t="s">
        <v>1091</v>
      </c>
      <c r="T149" s="490" t="s">
        <v>301</v>
      </c>
      <c r="U149" s="490" t="s">
        <v>301</v>
      </c>
      <c r="V149" s="490" t="s">
        <v>301</v>
      </c>
      <c r="W149" s="490" t="s">
        <v>301</v>
      </c>
      <c r="X149" s="387" t="s">
        <v>1091</v>
      </c>
    </row>
    <row r="150">
      <c r="A150" s="400">
        <v>26.0</v>
      </c>
      <c r="B150" s="378" t="s">
        <v>303</v>
      </c>
      <c r="C150" s="378"/>
      <c r="D150" s="380" t="s">
        <v>1084</v>
      </c>
      <c r="E150" s="380" t="s">
        <v>1141</v>
      </c>
      <c r="F150" s="378"/>
      <c r="G150" s="380" t="s">
        <v>1123</v>
      </c>
      <c r="H150" s="380" t="s">
        <v>1124</v>
      </c>
      <c r="I150" s="380" t="s">
        <v>1142</v>
      </c>
      <c r="J150" s="400" t="s">
        <v>301</v>
      </c>
      <c r="K150" s="491"/>
      <c r="L150" s="463" t="s">
        <v>1548</v>
      </c>
      <c r="M150" s="463" t="s">
        <v>1548</v>
      </c>
      <c r="N150" s="380" t="s">
        <v>1144</v>
      </c>
      <c r="O150" s="381" t="s">
        <v>301</v>
      </c>
      <c r="P150" s="381" t="s">
        <v>301</v>
      </c>
      <c r="Q150" s="381" t="s">
        <v>301</v>
      </c>
      <c r="R150" s="381" t="s">
        <v>301</v>
      </c>
      <c r="S150" s="380" t="s">
        <v>1091</v>
      </c>
      <c r="T150" s="490" t="s">
        <v>301</v>
      </c>
      <c r="U150" s="490" t="s">
        <v>301</v>
      </c>
      <c r="V150" s="490" t="s">
        <v>301</v>
      </c>
      <c r="W150" s="490" t="s">
        <v>301</v>
      </c>
      <c r="X150" s="380" t="s">
        <v>1091</v>
      </c>
    </row>
    <row r="151">
      <c r="A151" s="406">
        <v>27.0</v>
      </c>
      <c r="B151" s="386" t="s">
        <v>303</v>
      </c>
      <c r="C151" s="386"/>
      <c r="D151" s="387" t="s">
        <v>1084</v>
      </c>
      <c r="E151" s="387" t="s">
        <v>1141</v>
      </c>
      <c r="F151" s="386"/>
      <c r="G151" s="387" t="s">
        <v>1123</v>
      </c>
      <c r="H151" s="387" t="s">
        <v>1124</v>
      </c>
      <c r="I151" s="387" t="s">
        <v>1142</v>
      </c>
      <c r="J151" s="406" t="s">
        <v>301</v>
      </c>
      <c r="K151" s="488"/>
      <c r="L151" s="460" t="s">
        <v>1549</v>
      </c>
      <c r="M151" s="460" t="s">
        <v>1549</v>
      </c>
      <c r="N151" s="387" t="s">
        <v>1550</v>
      </c>
      <c r="O151" s="373" t="s">
        <v>301</v>
      </c>
      <c r="P151" s="373" t="s">
        <v>301</v>
      </c>
      <c r="Q151" s="373" t="s">
        <v>301</v>
      </c>
      <c r="R151" s="373" t="s">
        <v>301</v>
      </c>
      <c r="S151" s="387" t="s">
        <v>1091</v>
      </c>
      <c r="T151" s="490" t="s">
        <v>301</v>
      </c>
      <c r="U151" s="490" t="s">
        <v>301</v>
      </c>
      <c r="V151" s="490" t="s">
        <v>301</v>
      </c>
      <c r="W151" s="490" t="s">
        <v>301</v>
      </c>
      <c r="X151" s="387" t="s">
        <v>1091</v>
      </c>
    </row>
    <row r="152">
      <c r="A152" s="400">
        <v>28.0</v>
      </c>
      <c r="B152" s="378" t="s">
        <v>303</v>
      </c>
      <c r="C152" s="378"/>
      <c r="D152" s="380" t="s">
        <v>1084</v>
      </c>
      <c r="E152" s="380" t="s">
        <v>1141</v>
      </c>
      <c r="F152" s="378"/>
      <c r="G152" s="380" t="s">
        <v>1123</v>
      </c>
      <c r="H152" s="380" t="s">
        <v>1124</v>
      </c>
      <c r="I152" s="380" t="s">
        <v>1142</v>
      </c>
      <c r="J152" s="400" t="s">
        <v>301</v>
      </c>
      <c r="K152" s="492"/>
      <c r="L152" s="463" t="s">
        <v>1551</v>
      </c>
      <c r="M152" s="463" t="s">
        <v>1551</v>
      </c>
      <c r="N152" s="380" t="s">
        <v>1146</v>
      </c>
      <c r="O152" s="381" t="s">
        <v>301</v>
      </c>
      <c r="P152" s="381" t="s">
        <v>301</v>
      </c>
      <c r="Q152" s="381" t="s">
        <v>301</v>
      </c>
      <c r="R152" s="381" t="s">
        <v>301</v>
      </c>
      <c r="S152" s="380" t="s">
        <v>1091</v>
      </c>
      <c r="T152" s="490" t="s">
        <v>301</v>
      </c>
      <c r="U152" s="490" t="s">
        <v>301</v>
      </c>
      <c r="V152" s="490" t="s">
        <v>301</v>
      </c>
      <c r="W152" s="490" t="s">
        <v>301</v>
      </c>
      <c r="X152" s="380" t="s">
        <v>1091</v>
      </c>
    </row>
    <row r="153">
      <c r="A153" s="406">
        <v>29.0</v>
      </c>
      <c r="B153" s="386" t="s">
        <v>303</v>
      </c>
      <c r="C153" s="386"/>
      <c r="D153" s="387" t="s">
        <v>1084</v>
      </c>
      <c r="E153" s="387" t="s">
        <v>1141</v>
      </c>
      <c r="F153" s="386"/>
      <c r="G153" s="387" t="s">
        <v>1123</v>
      </c>
      <c r="H153" s="387" t="s">
        <v>1124</v>
      </c>
      <c r="I153" s="387" t="s">
        <v>1142</v>
      </c>
      <c r="J153" s="406" t="s">
        <v>301</v>
      </c>
      <c r="K153" s="493"/>
      <c r="L153" s="460" t="s">
        <v>1552</v>
      </c>
      <c r="M153" s="460" t="s">
        <v>1552</v>
      </c>
      <c r="N153" s="387" t="s">
        <v>1127</v>
      </c>
      <c r="O153" s="373" t="s">
        <v>301</v>
      </c>
      <c r="P153" s="373" t="s">
        <v>301</v>
      </c>
      <c r="Q153" s="373" t="s">
        <v>301</v>
      </c>
      <c r="R153" s="373" t="s">
        <v>301</v>
      </c>
      <c r="S153" s="387" t="s">
        <v>1091</v>
      </c>
      <c r="T153" s="490" t="s">
        <v>301</v>
      </c>
      <c r="U153" s="490" t="s">
        <v>301</v>
      </c>
      <c r="V153" s="490" t="s">
        <v>301</v>
      </c>
      <c r="W153" s="490" t="s">
        <v>301</v>
      </c>
      <c r="X153" s="387" t="s">
        <v>1091</v>
      </c>
    </row>
    <row r="154">
      <c r="A154" s="400">
        <v>30.0</v>
      </c>
      <c r="B154" s="378" t="s">
        <v>298</v>
      </c>
      <c r="C154" s="378"/>
      <c r="D154" s="380" t="s">
        <v>1084</v>
      </c>
      <c r="E154" s="380" t="s">
        <v>1122</v>
      </c>
      <c r="F154" s="378"/>
      <c r="G154" s="380" t="s">
        <v>1148</v>
      </c>
      <c r="H154" s="380" t="s">
        <v>1149</v>
      </c>
      <c r="I154" s="380" t="s">
        <v>1150</v>
      </c>
      <c r="J154" s="400" t="s">
        <v>301</v>
      </c>
      <c r="K154" s="492"/>
      <c r="L154" s="463" t="s">
        <v>1553</v>
      </c>
      <c r="M154" s="463" t="s">
        <v>1553</v>
      </c>
      <c r="N154" s="380" t="s">
        <v>1554</v>
      </c>
      <c r="O154" s="381" t="s">
        <v>301</v>
      </c>
      <c r="P154" s="381" t="s">
        <v>301</v>
      </c>
      <c r="Q154" s="381" t="s">
        <v>301</v>
      </c>
      <c r="R154" s="381" t="s">
        <v>301</v>
      </c>
      <c r="S154" s="380" t="s">
        <v>1091</v>
      </c>
      <c r="T154" s="490" t="s">
        <v>301</v>
      </c>
      <c r="U154" s="490" t="s">
        <v>301</v>
      </c>
      <c r="V154" s="490" t="s">
        <v>301</v>
      </c>
      <c r="W154" s="490" t="s">
        <v>301</v>
      </c>
      <c r="X154" s="380" t="s">
        <v>1091</v>
      </c>
    </row>
    <row r="155">
      <c r="A155" s="406">
        <v>31.0</v>
      </c>
      <c r="B155" s="386" t="s">
        <v>303</v>
      </c>
      <c r="C155" s="386"/>
      <c r="D155" s="387" t="s">
        <v>1084</v>
      </c>
      <c r="E155" s="387" t="s">
        <v>1154</v>
      </c>
      <c r="F155" s="386"/>
      <c r="G155" s="387" t="s">
        <v>1148</v>
      </c>
      <c r="H155" s="387" t="s">
        <v>1149</v>
      </c>
      <c r="I155" s="387" t="s">
        <v>1155</v>
      </c>
      <c r="J155" s="406" t="s">
        <v>301</v>
      </c>
      <c r="K155" s="488"/>
      <c r="L155" s="460" t="s">
        <v>1555</v>
      </c>
      <c r="M155" s="460" t="s">
        <v>1555</v>
      </c>
      <c r="N155" s="387" t="s">
        <v>1556</v>
      </c>
      <c r="O155" s="381" t="s">
        <v>301</v>
      </c>
      <c r="P155" s="381" t="s">
        <v>301</v>
      </c>
      <c r="Q155" s="381" t="s">
        <v>301</v>
      </c>
      <c r="R155" s="381" t="s">
        <v>301</v>
      </c>
      <c r="S155" s="387" t="s">
        <v>1091</v>
      </c>
      <c r="T155" s="490" t="s">
        <v>301</v>
      </c>
      <c r="U155" s="490" t="s">
        <v>301</v>
      </c>
      <c r="V155" s="490" t="s">
        <v>301</v>
      </c>
      <c r="W155" s="490" t="s">
        <v>301</v>
      </c>
      <c r="X155" s="387" t="s">
        <v>1091</v>
      </c>
    </row>
    <row r="156">
      <c r="A156" s="400">
        <v>32.0</v>
      </c>
      <c r="B156" s="378" t="s">
        <v>303</v>
      </c>
      <c r="C156" s="378"/>
      <c r="D156" s="380" t="s">
        <v>1084</v>
      </c>
      <c r="E156" s="380" t="s">
        <v>1154</v>
      </c>
      <c r="F156" s="378"/>
      <c r="G156" s="380" t="s">
        <v>1148</v>
      </c>
      <c r="H156" s="380" t="s">
        <v>1149</v>
      </c>
      <c r="I156" s="380" t="s">
        <v>1155</v>
      </c>
      <c r="J156" s="400" t="s">
        <v>301</v>
      </c>
      <c r="K156" s="491"/>
      <c r="L156" s="463" t="s">
        <v>1557</v>
      </c>
      <c r="M156" s="463" t="s">
        <v>1557</v>
      </c>
      <c r="N156" s="380" t="s">
        <v>1558</v>
      </c>
      <c r="O156" s="373" t="s">
        <v>301</v>
      </c>
      <c r="P156" s="373" t="s">
        <v>301</v>
      </c>
      <c r="Q156" s="373" t="s">
        <v>301</v>
      </c>
      <c r="R156" s="373" t="s">
        <v>301</v>
      </c>
      <c r="S156" s="380" t="s">
        <v>1559</v>
      </c>
      <c r="T156" s="490" t="s">
        <v>301</v>
      </c>
      <c r="U156" s="490" t="s">
        <v>301</v>
      </c>
      <c r="V156" s="490" t="s">
        <v>301</v>
      </c>
      <c r="W156" s="490" t="s">
        <v>301</v>
      </c>
      <c r="X156" s="380" t="s">
        <v>1559</v>
      </c>
    </row>
    <row r="157">
      <c r="A157" s="406">
        <v>33.0</v>
      </c>
      <c r="B157" s="386" t="s">
        <v>303</v>
      </c>
      <c r="C157" s="386"/>
      <c r="D157" s="387" t="s">
        <v>1084</v>
      </c>
      <c r="E157" s="387" t="s">
        <v>1154</v>
      </c>
      <c r="F157" s="386"/>
      <c r="G157" s="387" t="s">
        <v>1148</v>
      </c>
      <c r="H157" s="387" t="s">
        <v>1149</v>
      </c>
      <c r="I157" s="387" t="s">
        <v>1155</v>
      </c>
      <c r="J157" s="406" t="s">
        <v>301</v>
      </c>
      <c r="K157" s="493"/>
      <c r="L157" s="460" t="s">
        <v>1560</v>
      </c>
      <c r="M157" s="460" t="s">
        <v>1560</v>
      </c>
      <c r="N157" s="387" t="s">
        <v>1160</v>
      </c>
      <c r="O157" s="381" t="s">
        <v>301</v>
      </c>
      <c r="P157" s="381" t="s">
        <v>301</v>
      </c>
      <c r="Q157" s="381" t="s">
        <v>301</v>
      </c>
      <c r="R157" s="381" t="s">
        <v>301</v>
      </c>
      <c r="S157" s="387" t="s">
        <v>1091</v>
      </c>
      <c r="T157" s="490" t="s">
        <v>301</v>
      </c>
      <c r="U157" s="490" t="s">
        <v>301</v>
      </c>
      <c r="V157" s="490" t="s">
        <v>301</v>
      </c>
      <c r="W157" s="490" t="s">
        <v>301</v>
      </c>
      <c r="X157" s="387" t="s">
        <v>1091</v>
      </c>
    </row>
    <row r="158">
      <c r="A158" s="400">
        <v>34.0</v>
      </c>
      <c r="B158" s="378" t="s">
        <v>303</v>
      </c>
      <c r="C158" s="378"/>
      <c r="D158" s="380" t="s">
        <v>1084</v>
      </c>
      <c r="E158" s="380" t="s">
        <v>1154</v>
      </c>
      <c r="F158" s="378"/>
      <c r="G158" s="380" t="s">
        <v>1148</v>
      </c>
      <c r="H158" s="380" t="s">
        <v>1149</v>
      </c>
      <c r="I158" s="380" t="s">
        <v>1155</v>
      </c>
      <c r="J158" s="406" t="s">
        <v>301</v>
      </c>
      <c r="K158" s="492"/>
      <c r="L158" s="463" t="s">
        <v>1561</v>
      </c>
      <c r="M158" s="463" t="s">
        <v>1561</v>
      </c>
      <c r="N158" s="380" t="s">
        <v>1562</v>
      </c>
      <c r="O158" s="373" t="s">
        <v>301</v>
      </c>
      <c r="P158" s="373" t="s">
        <v>301</v>
      </c>
      <c r="Q158" s="373" t="s">
        <v>301</v>
      </c>
      <c r="R158" s="373" t="s">
        <v>301</v>
      </c>
      <c r="S158" s="380" t="s">
        <v>1563</v>
      </c>
      <c r="T158" s="490" t="s">
        <v>301</v>
      </c>
      <c r="U158" s="490" t="s">
        <v>301</v>
      </c>
      <c r="V158" s="490" t="s">
        <v>301</v>
      </c>
      <c r="W158" s="490" t="s">
        <v>301</v>
      </c>
      <c r="X158" s="380" t="s">
        <v>1563</v>
      </c>
    </row>
    <row r="159">
      <c r="A159" s="406">
        <v>35.0</v>
      </c>
      <c r="B159" s="386" t="s">
        <v>303</v>
      </c>
      <c r="C159" s="386"/>
      <c r="D159" s="387" t="s">
        <v>1084</v>
      </c>
      <c r="E159" s="387" t="s">
        <v>1141</v>
      </c>
      <c r="F159" s="386"/>
      <c r="G159" s="387" t="s">
        <v>1148</v>
      </c>
      <c r="H159" s="387" t="s">
        <v>1149</v>
      </c>
      <c r="I159" s="387" t="s">
        <v>1173</v>
      </c>
      <c r="J159" s="400" t="s">
        <v>301</v>
      </c>
      <c r="K159" s="493"/>
      <c r="L159" s="460" t="s">
        <v>1564</v>
      </c>
      <c r="M159" s="460" t="s">
        <v>1564</v>
      </c>
      <c r="N159" s="387" t="s">
        <v>1175</v>
      </c>
      <c r="O159" s="381" t="s">
        <v>301</v>
      </c>
      <c r="P159" s="381" t="s">
        <v>301</v>
      </c>
      <c r="Q159" s="381" t="s">
        <v>301</v>
      </c>
      <c r="R159" s="381" t="s">
        <v>301</v>
      </c>
      <c r="S159" s="387" t="s">
        <v>1091</v>
      </c>
      <c r="T159" s="490" t="s">
        <v>301</v>
      </c>
      <c r="U159" s="490" t="s">
        <v>301</v>
      </c>
      <c r="V159" s="490" t="s">
        <v>301</v>
      </c>
      <c r="W159" s="490" t="s">
        <v>301</v>
      </c>
      <c r="X159" s="387" t="s">
        <v>1091</v>
      </c>
    </row>
    <row r="160">
      <c r="A160" s="400">
        <v>36.0</v>
      </c>
      <c r="B160" s="378" t="s">
        <v>303</v>
      </c>
      <c r="C160" s="378"/>
      <c r="D160" s="380" t="s">
        <v>1084</v>
      </c>
      <c r="E160" s="380" t="s">
        <v>1141</v>
      </c>
      <c r="F160" s="378"/>
      <c r="G160" s="380" t="s">
        <v>1148</v>
      </c>
      <c r="H160" s="380" t="s">
        <v>1149</v>
      </c>
      <c r="I160" s="380" t="s">
        <v>1173</v>
      </c>
      <c r="J160" s="406" t="s">
        <v>301</v>
      </c>
      <c r="K160" s="492"/>
      <c r="L160" s="463" t="s">
        <v>1565</v>
      </c>
      <c r="M160" s="463" t="s">
        <v>1565</v>
      </c>
      <c r="N160" s="380" t="s">
        <v>1160</v>
      </c>
      <c r="O160" s="381" t="s">
        <v>301</v>
      </c>
      <c r="P160" s="381" t="s">
        <v>301</v>
      </c>
      <c r="Q160" s="381" t="s">
        <v>301</v>
      </c>
      <c r="R160" s="381" t="s">
        <v>301</v>
      </c>
      <c r="S160" s="380" t="s">
        <v>1091</v>
      </c>
      <c r="T160" s="490" t="s">
        <v>301</v>
      </c>
      <c r="U160" s="490" t="s">
        <v>301</v>
      </c>
      <c r="V160" s="490" t="s">
        <v>301</v>
      </c>
      <c r="W160" s="490" t="s">
        <v>301</v>
      </c>
      <c r="X160" s="380" t="s">
        <v>1091</v>
      </c>
    </row>
    <row r="161">
      <c r="A161" s="406">
        <v>37.0</v>
      </c>
      <c r="B161" s="386" t="s">
        <v>298</v>
      </c>
      <c r="C161" s="386"/>
      <c r="D161" s="387" t="s">
        <v>1084</v>
      </c>
      <c r="E161" s="387" t="s">
        <v>494</v>
      </c>
      <c r="F161" s="386"/>
      <c r="G161" s="387" t="s">
        <v>1182</v>
      </c>
      <c r="H161" s="387" t="s">
        <v>1183</v>
      </c>
      <c r="I161" s="387" t="s">
        <v>1184</v>
      </c>
      <c r="J161" s="400" t="s">
        <v>301</v>
      </c>
      <c r="K161" s="493"/>
      <c r="L161" s="460" t="s">
        <v>1566</v>
      </c>
      <c r="M161" s="460" t="s">
        <v>1566</v>
      </c>
      <c r="N161" s="387" t="s">
        <v>1127</v>
      </c>
      <c r="O161" s="373" t="s">
        <v>301</v>
      </c>
      <c r="P161" s="373" t="s">
        <v>301</v>
      </c>
      <c r="Q161" s="373" t="s">
        <v>301</v>
      </c>
      <c r="R161" s="373" t="s">
        <v>301</v>
      </c>
      <c r="S161" s="387" t="s">
        <v>1091</v>
      </c>
      <c r="T161" s="490" t="s">
        <v>301</v>
      </c>
      <c r="U161" s="490" t="s">
        <v>301</v>
      </c>
      <c r="V161" s="490" t="s">
        <v>301</v>
      </c>
      <c r="W161" s="490" t="s">
        <v>301</v>
      </c>
      <c r="X161" s="387" t="s">
        <v>1091</v>
      </c>
    </row>
    <row r="162">
      <c r="A162" s="400">
        <v>38.0</v>
      </c>
      <c r="B162" s="378" t="s">
        <v>298</v>
      </c>
      <c r="C162" s="378"/>
      <c r="D162" s="380" t="s">
        <v>1084</v>
      </c>
      <c r="E162" s="380" t="s">
        <v>494</v>
      </c>
      <c r="F162" s="378"/>
      <c r="G162" s="380" t="s">
        <v>1182</v>
      </c>
      <c r="H162" s="380" t="s">
        <v>1183</v>
      </c>
      <c r="I162" s="380" t="s">
        <v>1184</v>
      </c>
      <c r="J162" s="406" t="s">
        <v>301</v>
      </c>
      <c r="K162" s="492"/>
      <c r="L162" s="463" t="s">
        <v>1567</v>
      </c>
      <c r="M162" s="463" t="s">
        <v>1567</v>
      </c>
      <c r="N162" s="380" t="s">
        <v>1127</v>
      </c>
      <c r="O162" s="381" t="s">
        <v>301</v>
      </c>
      <c r="P162" s="381" t="s">
        <v>301</v>
      </c>
      <c r="Q162" s="381" t="s">
        <v>301</v>
      </c>
      <c r="R162" s="381" t="s">
        <v>301</v>
      </c>
      <c r="S162" s="380" t="s">
        <v>1091</v>
      </c>
      <c r="T162" s="490" t="s">
        <v>301</v>
      </c>
      <c r="U162" s="490" t="s">
        <v>301</v>
      </c>
      <c r="V162" s="490" t="s">
        <v>301</v>
      </c>
      <c r="W162" s="490" t="s">
        <v>301</v>
      </c>
      <c r="X162" s="380" t="s">
        <v>1091</v>
      </c>
    </row>
    <row r="163">
      <c r="A163" s="406">
        <v>39.0</v>
      </c>
      <c r="B163" s="386" t="s">
        <v>298</v>
      </c>
      <c r="C163" s="386"/>
      <c r="D163" s="387" t="s">
        <v>1084</v>
      </c>
      <c r="E163" s="387" t="s">
        <v>494</v>
      </c>
      <c r="F163" s="386"/>
      <c r="G163" s="387" t="s">
        <v>1182</v>
      </c>
      <c r="H163" s="387" t="s">
        <v>1183</v>
      </c>
      <c r="I163" s="387" t="s">
        <v>1184</v>
      </c>
      <c r="J163" s="400" t="s">
        <v>301</v>
      </c>
      <c r="K163" s="493"/>
      <c r="L163" s="460" t="s">
        <v>1568</v>
      </c>
      <c r="M163" s="460" t="s">
        <v>1568</v>
      </c>
      <c r="N163" s="387" t="s">
        <v>1127</v>
      </c>
      <c r="O163" s="373" t="s">
        <v>301</v>
      </c>
      <c r="P163" s="373" t="s">
        <v>301</v>
      </c>
      <c r="Q163" s="373" t="s">
        <v>301</v>
      </c>
      <c r="R163" s="373" t="s">
        <v>301</v>
      </c>
      <c r="S163" s="387" t="s">
        <v>1091</v>
      </c>
      <c r="T163" s="490" t="s">
        <v>301</v>
      </c>
      <c r="U163" s="490" t="s">
        <v>301</v>
      </c>
      <c r="V163" s="490" t="s">
        <v>301</v>
      </c>
      <c r="W163" s="490" t="s">
        <v>301</v>
      </c>
      <c r="X163" s="387" t="s">
        <v>1091</v>
      </c>
    </row>
    <row r="164">
      <c r="A164" s="400">
        <v>40.0</v>
      </c>
      <c r="B164" s="378" t="s">
        <v>298</v>
      </c>
      <c r="C164" s="378"/>
      <c r="D164" s="380" t="s">
        <v>1084</v>
      </c>
      <c r="E164" s="380" t="s">
        <v>494</v>
      </c>
      <c r="F164" s="378"/>
      <c r="G164" s="380" t="s">
        <v>1182</v>
      </c>
      <c r="H164" s="380" t="s">
        <v>1183</v>
      </c>
      <c r="I164" s="380" t="s">
        <v>1184</v>
      </c>
      <c r="J164" s="406" t="s">
        <v>301</v>
      </c>
      <c r="K164" s="492"/>
      <c r="L164" s="463" t="s">
        <v>1569</v>
      </c>
      <c r="M164" s="463" t="s">
        <v>1569</v>
      </c>
      <c r="N164" s="380" t="s">
        <v>1127</v>
      </c>
      <c r="O164" s="381" t="s">
        <v>301</v>
      </c>
      <c r="P164" s="381" t="s">
        <v>301</v>
      </c>
      <c r="Q164" s="381" t="s">
        <v>301</v>
      </c>
      <c r="R164" s="381" t="s">
        <v>301</v>
      </c>
      <c r="S164" s="380" t="s">
        <v>1091</v>
      </c>
      <c r="T164" s="490" t="s">
        <v>301</v>
      </c>
      <c r="U164" s="490" t="s">
        <v>301</v>
      </c>
      <c r="V164" s="490" t="s">
        <v>301</v>
      </c>
      <c r="W164" s="490" t="s">
        <v>301</v>
      </c>
      <c r="X164" s="380" t="s">
        <v>1091</v>
      </c>
    </row>
    <row r="165">
      <c r="A165" s="406">
        <v>41.0</v>
      </c>
      <c r="B165" s="386" t="s">
        <v>298</v>
      </c>
      <c r="C165" s="386"/>
      <c r="D165" s="387" t="s">
        <v>1084</v>
      </c>
      <c r="E165" s="387" t="s">
        <v>494</v>
      </c>
      <c r="F165" s="386"/>
      <c r="G165" s="387" t="s">
        <v>1182</v>
      </c>
      <c r="H165" s="387" t="s">
        <v>1183</v>
      </c>
      <c r="I165" s="387" t="s">
        <v>1184</v>
      </c>
      <c r="J165" s="400" t="s">
        <v>301</v>
      </c>
      <c r="K165" s="493"/>
      <c r="L165" s="460" t="s">
        <v>1570</v>
      </c>
      <c r="M165" s="460" t="s">
        <v>1570</v>
      </c>
      <c r="N165" s="387" t="s">
        <v>1127</v>
      </c>
      <c r="O165" s="381" t="s">
        <v>301</v>
      </c>
      <c r="P165" s="381" t="s">
        <v>301</v>
      </c>
      <c r="Q165" s="381" t="s">
        <v>301</v>
      </c>
      <c r="R165" s="381" t="s">
        <v>301</v>
      </c>
      <c r="S165" s="387" t="s">
        <v>1091</v>
      </c>
      <c r="T165" s="490" t="s">
        <v>301</v>
      </c>
      <c r="U165" s="490" t="s">
        <v>301</v>
      </c>
      <c r="V165" s="490" t="s">
        <v>301</v>
      </c>
      <c r="W165" s="490" t="s">
        <v>301</v>
      </c>
      <c r="X165" s="387" t="s">
        <v>1091</v>
      </c>
    </row>
    <row r="166">
      <c r="A166" s="400">
        <v>42.0</v>
      </c>
      <c r="B166" s="378" t="s">
        <v>298</v>
      </c>
      <c r="C166" s="378"/>
      <c r="D166" s="380" t="s">
        <v>1084</v>
      </c>
      <c r="E166" s="380" t="s">
        <v>494</v>
      </c>
      <c r="F166" s="378"/>
      <c r="G166" s="380" t="s">
        <v>1182</v>
      </c>
      <c r="H166" s="380" t="s">
        <v>1183</v>
      </c>
      <c r="I166" s="380" t="s">
        <v>1184</v>
      </c>
      <c r="J166" s="406" t="s">
        <v>301</v>
      </c>
      <c r="K166" s="492"/>
      <c r="L166" s="463" t="s">
        <v>1571</v>
      </c>
      <c r="M166" s="463" t="s">
        <v>1571</v>
      </c>
      <c r="N166" s="380" t="s">
        <v>1127</v>
      </c>
      <c r="O166" s="373" t="s">
        <v>301</v>
      </c>
      <c r="P166" s="373" t="s">
        <v>301</v>
      </c>
      <c r="Q166" s="373" t="s">
        <v>301</v>
      </c>
      <c r="R166" s="373" t="s">
        <v>301</v>
      </c>
      <c r="S166" s="380" t="s">
        <v>1091</v>
      </c>
      <c r="T166" s="490" t="s">
        <v>301</v>
      </c>
      <c r="U166" s="490" t="s">
        <v>301</v>
      </c>
      <c r="V166" s="490" t="s">
        <v>301</v>
      </c>
      <c r="W166" s="490" t="s">
        <v>301</v>
      </c>
      <c r="X166" s="380" t="s">
        <v>1091</v>
      </c>
    </row>
    <row r="167">
      <c r="A167" s="406">
        <v>43.0</v>
      </c>
      <c r="B167" s="386" t="s">
        <v>298</v>
      </c>
      <c r="C167" s="386"/>
      <c r="D167" s="387" t="s">
        <v>1084</v>
      </c>
      <c r="E167" s="387" t="s">
        <v>494</v>
      </c>
      <c r="F167" s="386"/>
      <c r="G167" s="387" t="s">
        <v>1182</v>
      </c>
      <c r="H167" s="387" t="s">
        <v>1183</v>
      </c>
      <c r="I167" s="387" t="s">
        <v>1184</v>
      </c>
      <c r="J167" s="400" t="s">
        <v>301</v>
      </c>
      <c r="K167" s="493"/>
      <c r="L167" s="460" t="s">
        <v>1572</v>
      </c>
      <c r="M167" s="460" t="s">
        <v>1572</v>
      </c>
      <c r="N167" s="387" t="s">
        <v>1127</v>
      </c>
      <c r="O167" s="381" t="s">
        <v>301</v>
      </c>
      <c r="P167" s="381" t="s">
        <v>301</v>
      </c>
      <c r="Q167" s="381" t="s">
        <v>301</v>
      </c>
      <c r="R167" s="381" t="s">
        <v>301</v>
      </c>
      <c r="S167" s="387" t="s">
        <v>1091</v>
      </c>
      <c r="T167" s="490" t="s">
        <v>301</v>
      </c>
      <c r="U167" s="490" t="s">
        <v>301</v>
      </c>
      <c r="V167" s="490" t="s">
        <v>301</v>
      </c>
      <c r="W167" s="490" t="s">
        <v>301</v>
      </c>
      <c r="X167" s="387" t="s">
        <v>1091</v>
      </c>
    </row>
    <row r="168">
      <c r="A168" s="400">
        <v>44.0</v>
      </c>
      <c r="B168" s="378" t="s">
        <v>298</v>
      </c>
      <c r="C168" s="378"/>
      <c r="D168" s="380" t="s">
        <v>1084</v>
      </c>
      <c r="E168" s="380" t="s">
        <v>494</v>
      </c>
      <c r="F168" s="378"/>
      <c r="G168" s="380" t="s">
        <v>1182</v>
      </c>
      <c r="H168" s="380" t="s">
        <v>1183</v>
      </c>
      <c r="I168" s="380" t="s">
        <v>1188</v>
      </c>
      <c r="J168" s="406" t="s">
        <v>301</v>
      </c>
      <c r="K168" s="492"/>
      <c r="L168" s="463" t="s">
        <v>1573</v>
      </c>
      <c r="M168" s="463" t="s">
        <v>1573</v>
      </c>
      <c r="N168" s="380" t="s">
        <v>1127</v>
      </c>
      <c r="O168" s="373" t="s">
        <v>301</v>
      </c>
      <c r="P168" s="373" t="s">
        <v>301</v>
      </c>
      <c r="Q168" s="373" t="s">
        <v>301</v>
      </c>
      <c r="R168" s="373" t="s">
        <v>301</v>
      </c>
      <c r="S168" s="380" t="s">
        <v>1574</v>
      </c>
      <c r="T168" s="490" t="s">
        <v>301</v>
      </c>
      <c r="U168" s="490" t="s">
        <v>301</v>
      </c>
      <c r="V168" s="490" t="s">
        <v>301</v>
      </c>
      <c r="W168" s="490" t="s">
        <v>301</v>
      </c>
      <c r="X168" s="380" t="s">
        <v>1574</v>
      </c>
    </row>
    <row r="169">
      <c r="A169" s="406">
        <v>45.0</v>
      </c>
      <c r="B169" s="386" t="s">
        <v>323</v>
      </c>
      <c r="C169" s="386"/>
      <c r="D169" s="387" t="s">
        <v>1084</v>
      </c>
      <c r="E169" s="387" t="s">
        <v>1085</v>
      </c>
      <c r="F169" s="386"/>
      <c r="G169" s="387" t="s">
        <v>1192</v>
      </c>
      <c r="H169" s="387" t="s">
        <v>1087</v>
      </c>
      <c r="I169" s="387" t="s">
        <v>1193</v>
      </c>
      <c r="J169" s="406" t="s">
        <v>301</v>
      </c>
      <c r="K169" s="488"/>
      <c r="L169" s="460" t="s">
        <v>1575</v>
      </c>
      <c r="M169" s="460" t="s">
        <v>1575</v>
      </c>
      <c r="N169" s="387" t="s">
        <v>1576</v>
      </c>
      <c r="O169" s="381" t="s">
        <v>301</v>
      </c>
      <c r="P169" s="381" t="s">
        <v>301</v>
      </c>
      <c r="Q169" s="381" t="s">
        <v>301</v>
      </c>
      <c r="R169" s="381" t="s">
        <v>301</v>
      </c>
      <c r="S169" s="387" t="s">
        <v>1121</v>
      </c>
      <c r="T169" s="490" t="s">
        <v>301</v>
      </c>
      <c r="U169" s="490" t="s">
        <v>301</v>
      </c>
      <c r="V169" s="490" t="s">
        <v>301</v>
      </c>
      <c r="W169" s="490" t="s">
        <v>301</v>
      </c>
      <c r="X169" s="387" t="s">
        <v>1121</v>
      </c>
    </row>
    <row r="170">
      <c r="A170" s="400">
        <v>46.0</v>
      </c>
      <c r="B170" s="378" t="s">
        <v>323</v>
      </c>
      <c r="C170" s="378"/>
      <c r="D170" s="380" t="s">
        <v>1084</v>
      </c>
      <c r="E170" s="380" t="s">
        <v>1085</v>
      </c>
      <c r="F170" s="378"/>
      <c r="G170" s="380" t="s">
        <v>1192</v>
      </c>
      <c r="H170" s="380" t="s">
        <v>1087</v>
      </c>
      <c r="I170" s="380" t="s">
        <v>1193</v>
      </c>
      <c r="J170" s="400" t="s">
        <v>301</v>
      </c>
      <c r="K170" s="491"/>
      <c r="L170" s="463" t="s">
        <v>1577</v>
      </c>
      <c r="M170" s="463" t="s">
        <v>1577</v>
      </c>
      <c r="N170" s="380" t="s">
        <v>1180</v>
      </c>
      <c r="O170" s="381" t="s">
        <v>301</v>
      </c>
      <c r="P170" s="381" t="s">
        <v>301</v>
      </c>
      <c r="Q170" s="381" t="s">
        <v>301</v>
      </c>
      <c r="R170" s="381" t="s">
        <v>301</v>
      </c>
      <c r="S170" s="380" t="s">
        <v>1121</v>
      </c>
      <c r="T170" s="490" t="s">
        <v>301</v>
      </c>
      <c r="U170" s="490" t="s">
        <v>301</v>
      </c>
      <c r="V170" s="490" t="s">
        <v>301</v>
      </c>
      <c r="W170" s="490" t="s">
        <v>301</v>
      </c>
      <c r="X170" s="380" t="s">
        <v>1121</v>
      </c>
    </row>
    <row r="171">
      <c r="A171" s="406">
        <v>47.0</v>
      </c>
      <c r="B171" s="386" t="s">
        <v>323</v>
      </c>
      <c r="C171" s="386"/>
      <c r="D171" s="387" t="s">
        <v>1084</v>
      </c>
      <c r="E171" s="387" t="s">
        <v>1085</v>
      </c>
      <c r="F171" s="386"/>
      <c r="G171" s="387" t="s">
        <v>1192</v>
      </c>
      <c r="H171" s="387" t="s">
        <v>1087</v>
      </c>
      <c r="I171" s="387" t="s">
        <v>1193</v>
      </c>
      <c r="J171" s="406" t="s">
        <v>301</v>
      </c>
      <c r="K171" s="488"/>
      <c r="L171" s="460" t="s">
        <v>1578</v>
      </c>
      <c r="M171" s="460" t="s">
        <v>1578</v>
      </c>
      <c r="N171" s="387" t="s">
        <v>1180</v>
      </c>
      <c r="O171" s="373" t="s">
        <v>301</v>
      </c>
      <c r="P171" s="373" t="s">
        <v>301</v>
      </c>
      <c r="Q171" s="373" t="s">
        <v>301</v>
      </c>
      <c r="R171" s="373" t="s">
        <v>301</v>
      </c>
      <c r="S171" s="387" t="s">
        <v>1121</v>
      </c>
      <c r="T171" s="490" t="s">
        <v>301</v>
      </c>
      <c r="U171" s="490" t="s">
        <v>301</v>
      </c>
      <c r="V171" s="490" t="s">
        <v>301</v>
      </c>
      <c r="W171" s="490" t="s">
        <v>301</v>
      </c>
      <c r="X171" s="387" t="s">
        <v>1121</v>
      </c>
    </row>
    <row r="172">
      <c r="A172" s="400">
        <v>48.0</v>
      </c>
      <c r="B172" s="378" t="s">
        <v>323</v>
      </c>
      <c r="C172" s="378"/>
      <c r="D172" s="380" t="s">
        <v>1084</v>
      </c>
      <c r="E172" s="380" t="s">
        <v>1085</v>
      </c>
      <c r="F172" s="378"/>
      <c r="G172" s="380" t="s">
        <v>1192</v>
      </c>
      <c r="H172" s="380" t="s">
        <v>1087</v>
      </c>
      <c r="I172" s="380" t="s">
        <v>1193</v>
      </c>
      <c r="J172" s="400" t="s">
        <v>301</v>
      </c>
      <c r="K172" s="491"/>
      <c r="L172" s="463" t="s">
        <v>1579</v>
      </c>
      <c r="M172" s="463" t="s">
        <v>1579</v>
      </c>
      <c r="N172" s="380" t="s">
        <v>1580</v>
      </c>
      <c r="O172" s="381" t="s">
        <v>301</v>
      </c>
      <c r="P172" s="381" t="s">
        <v>301</v>
      </c>
      <c r="Q172" s="381" t="s">
        <v>301</v>
      </c>
      <c r="R172" s="381" t="s">
        <v>301</v>
      </c>
      <c r="S172" s="380" t="s">
        <v>1581</v>
      </c>
      <c r="T172" s="490" t="s">
        <v>301</v>
      </c>
      <c r="U172" s="490" t="s">
        <v>301</v>
      </c>
      <c r="V172" s="490" t="s">
        <v>301</v>
      </c>
      <c r="W172" s="490" t="s">
        <v>301</v>
      </c>
      <c r="X172" s="380" t="s">
        <v>1581</v>
      </c>
    </row>
    <row r="173">
      <c r="A173" s="406">
        <v>49.0</v>
      </c>
      <c r="B173" s="386" t="s">
        <v>323</v>
      </c>
      <c r="C173" s="386"/>
      <c r="D173" s="387" t="s">
        <v>1084</v>
      </c>
      <c r="E173" s="387" t="s">
        <v>1085</v>
      </c>
      <c r="F173" s="386"/>
      <c r="G173" s="387" t="s">
        <v>1192</v>
      </c>
      <c r="H173" s="387" t="s">
        <v>1087</v>
      </c>
      <c r="I173" s="387" t="s">
        <v>1193</v>
      </c>
      <c r="J173" s="406" t="s">
        <v>301</v>
      </c>
      <c r="K173" s="488"/>
      <c r="L173" s="460" t="s">
        <v>1582</v>
      </c>
      <c r="M173" s="460" t="s">
        <v>1582</v>
      </c>
      <c r="N173" s="387" t="s">
        <v>1583</v>
      </c>
      <c r="O173" s="373" t="s">
        <v>301</v>
      </c>
      <c r="P173" s="373" t="s">
        <v>301</v>
      </c>
      <c r="Q173" s="373" t="s">
        <v>301</v>
      </c>
      <c r="R173" s="373" t="s">
        <v>301</v>
      </c>
      <c r="S173" s="387" t="s">
        <v>1121</v>
      </c>
      <c r="T173" s="490" t="s">
        <v>301</v>
      </c>
      <c r="U173" s="490" t="s">
        <v>301</v>
      </c>
      <c r="V173" s="490" t="s">
        <v>301</v>
      </c>
      <c r="W173" s="490" t="s">
        <v>301</v>
      </c>
      <c r="X173" s="387" t="s">
        <v>1121</v>
      </c>
    </row>
    <row r="174">
      <c r="A174" s="400">
        <v>50.0</v>
      </c>
      <c r="B174" s="378" t="s">
        <v>323</v>
      </c>
      <c r="C174" s="378"/>
      <c r="D174" s="380" t="s">
        <v>1084</v>
      </c>
      <c r="E174" s="380" t="s">
        <v>1085</v>
      </c>
      <c r="F174" s="378"/>
      <c r="G174" s="380" t="s">
        <v>1192</v>
      </c>
      <c r="H174" s="380" t="s">
        <v>1087</v>
      </c>
      <c r="I174" s="380" t="s">
        <v>1193</v>
      </c>
      <c r="J174" s="400" t="s">
        <v>301</v>
      </c>
      <c r="K174" s="491"/>
      <c r="L174" s="463" t="s">
        <v>1584</v>
      </c>
      <c r="M174" s="463" t="s">
        <v>1584</v>
      </c>
      <c r="N174" s="380" t="s">
        <v>1585</v>
      </c>
      <c r="O174" s="381" t="s">
        <v>301</v>
      </c>
      <c r="P174" s="381" t="s">
        <v>301</v>
      </c>
      <c r="Q174" s="381" t="s">
        <v>301</v>
      </c>
      <c r="R174" s="381" t="s">
        <v>301</v>
      </c>
      <c r="S174" s="380" t="s">
        <v>1121</v>
      </c>
      <c r="T174" s="490" t="s">
        <v>301</v>
      </c>
      <c r="U174" s="490" t="s">
        <v>301</v>
      </c>
      <c r="V174" s="490" t="s">
        <v>301</v>
      </c>
      <c r="W174" s="490" t="s">
        <v>301</v>
      </c>
      <c r="X174" s="380" t="s">
        <v>1121</v>
      </c>
    </row>
    <row r="175">
      <c r="A175" s="406">
        <v>51.0</v>
      </c>
      <c r="B175" s="386" t="s">
        <v>323</v>
      </c>
      <c r="C175" s="386"/>
      <c r="D175" s="387" t="s">
        <v>1084</v>
      </c>
      <c r="E175" s="387" t="s">
        <v>1085</v>
      </c>
      <c r="F175" s="386"/>
      <c r="G175" s="387" t="s">
        <v>1192</v>
      </c>
      <c r="H175" s="387" t="s">
        <v>1087</v>
      </c>
      <c r="I175" s="387" t="s">
        <v>1193</v>
      </c>
      <c r="J175" s="406" t="s">
        <v>301</v>
      </c>
      <c r="K175" s="488"/>
      <c r="L175" s="460" t="s">
        <v>1586</v>
      </c>
      <c r="M175" s="460" t="s">
        <v>1586</v>
      </c>
      <c r="N175" s="387" t="s">
        <v>1550</v>
      </c>
      <c r="O175" s="381" t="s">
        <v>301</v>
      </c>
      <c r="P175" s="381" t="s">
        <v>301</v>
      </c>
      <c r="Q175" s="381" t="s">
        <v>301</v>
      </c>
      <c r="R175" s="381" t="s">
        <v>301</v>
      </c>
      <c r="S175" s="387" t="s">
        <v>1587</v>
      </c>
      <c r="T175" s="490" t="s">
        <v>301</v>
      </c>
      <c r="U175" s="490" t="s">
        <v>301</v>
      </c>
      <c r="V175" s="490" t="s">
        <v>301</v>
      </c>
      <c r="W175" s="490" t="s">
        <v>301</v>
      </c>
      <c r="X175" s="387" t="s">
        <v>1587</v>
      </c>
    </row>
    <row r="176">
      <c r="A176" s="400">
        <v>52.0</v>
      </c>
      <c r="B176" s="378" t="s">
        <v>323</v>
      </c>
      <c r="C176" s="378"/>
      <c r="D176" s="380" t="s">
        <v>1084</v>
      </c>
      <c r="E176" s="380" t="s">
        <v>1085</v>
      </c>
      <c r="F176" s="378"/>
      <c r="G176" s="380" t="s">
        <v>1192</v>
      </c>
      <c r="H176" s="380" t="s">
        <v>1087</v>
      </c>
      <c r="I176" s="380" t="s">
        <v>1193</v>
      </c>
      <c r="J176" s="400" t="s">
        <v>301</v>
      </c>
      <c r="K176" s="491"/>
      <c r="L176" s="463" t="s">
        <v>1588</v>
      </c>
      <c r="M176" s="463" t="s">
        <v>1588</v>
      </c>
      <c r="N176" s="380" t="s">
        <v>1491</v>
      </c>
      <c r="O176" s="373" t="s">
        <v>301</v>
      </c>
      <c r="P176" s="373" t="s">
        <v>301</v>
      </c>
      <c r="Q176" s="373" t="s">
        <v>301</v>
      </c>
      <c r="R176" s="373" t="s">
        <v>301</v>
      </c>
      <c r="S176" s="380" t="s">
        <v>1589</v>
      </c>
      <c r="T176" s="490" t="s">
        <v>301</v>
      </c>
      <c r="U176" s="490" t="s">
        <v>301</v>
      </c>
      <c r="V176" s="490" t="s">
        <v>301</v>
      </c>
      <c r="W176" s="490" t="s">
        <v>301</v>
      </c>
      <c r="X176" s="380" t="s">
        <v>1589</v>
      </c>
    </row>
    <row r="177">
      <c r="A177" s="406">
        <v>53.0</v>
      </c>
      <c r="B177" s="386" t="s">
        <v>298</v>
      </c>
      <c r="C177" s="386"/>
      <c r="D177" s="387" t="s">
        <v>1084</v>
      </c>
      <c r="E177" s="387" t="s">
        <v>406</v>
      </c>
      <c r="F177" s="386"/>
      <c r="G177" s="387" t="s">
        <v>1204</v>
      </c>
      <c r="H177" s="387" t="s">
        <v>1205</v>
      </c>
      <c r="I177" s="387" t="s">
        <v>1206</v>
      </c>
      <c r="J177" s="406" t="s">
        <v>301</v>
      </c>
      <c r="K177" s="402"/>
      <c r="L177" s="460" t="s">
        <v>1590</v>
      </c>
      <c r="M177" s="460" t="s">
        <v>1590</v>
      </c>
      <c r="N177" s="387" t="s">
        <v>1591</v>
      </c>
      <c r="O177" s="381" t="s">
        <v>301</v>
      </c>
      <c r="P177" s="381" t="s">
        <v>301</v>
      </c>
      <c r="Q177" s="381" t="s">
        <v>301</v>
      </c>
      <c r="R177" s="381" t="s">
        <v>301</v>
      </c>
      <c r="S177" s="387" t="s">
        <v>1121</v>
      </c>
      <c r="T177" s="490" t="s">
        <v>301</v>
      </c>
      <c r="U177" s="490" t="s">
        <v>301</v>
      </c>
      <c r="V177" s="490" t="s">
        <v>301</v>
      </c>
      <c r="W177" s="490" t="s">
        <v>301</v>
      </c>
      <c r="X177" s="387" t="s">
        <v>1121</v>
      </c>
    </row>
    <row r="178">
      <c r="A178" s="400">
        <v>54.0</v>
      </c>
      <c r="B178" s="378" t="s">
        <v>298</v>
      </c>
      <c r="C178" s="378"/>
      <c r="D178" s="380" t="s">
        <v>1084</v>
      </c>
      <c r="E178" s="380" t="s">
        <v>406</v>
      </c>
      <c r="F178" s="378"/>
      <c r="G178" s="380" t="s">
        <v>1204</v>
      </c>
      <c r="H178" s="380" t="s">
        <v>1205</v>
      </c>
      <c r="I178" s="380" t="s">
        <v>1206</v>
      </c>
      <c r="J178" s="400" t="s">
        <v>301</v>
      </c>
      <c r="K178" s="492"/>
      <c r="L178" s="463" t="s">
        <v>1592</v>
      </c>
      <c r="M178" s="463" t="s">
        <v>1592</v>
      </c>
      <c r="N178" s="380" t="s">
        <v>1127</v>
      </c>
      <c r="O178" s="373" t="s">
        <v>301</v>
      </c>
      <c r="P178" s="373" t="s">
        <v>301</v>
      </c>
      <c r="Q178" s="373" t="s">
        <v>301</v>
      </c>
      <c r="R178" s="373" t="s">
        <v>301</v>
      </c>
      <c r="S178" s="380" t="s">
        <v>1121</v>
      </c>
      <c r="T178" s="490" t="s">
        <v>301</v>
      </c>
      <c r="U178" s="490" t="s">
        <v>301</v>
      </c>
      <c r="V178" s="490" t="s">
        <v>301</v>
      </c>
      <c r="W178" s="490" t="s">
        <v>301</v>
      </c>
      <c r="X178" s="380" t="s">
        <v>1121</v>
      </c>
    </row>
    <row r="179">
      <c r="A179" s="406">
        <v>55.0</v>
      </c>
      <c r="B179" s="386" t="s">
        <v>298</v>
      </c>
      <c r="C179" s="386"/>
      <c r="D179" s="387" t="s">
        <v>1084</v>
      </c>
      <c r="E179" s="387" t="s">
        <v>406</v>
      </c>
      <c r="F179" s="386"/>
      <c r="G179" s="387" t="s">
        <v>1204</v>
      </c>
      <c r="H179" s="387" t="s">
        <v>1205</v>
      </c>
      <c r="I179" s="387" t="s">
        <v>1206</v>
      </c>
      <c r="J179" s="406" t="s">
        <v>301</v>
      </c>
      <c r="K179" s="488"/>
      <c r="L179" s="460" t="s">
        <v>1593</v>
      </c>
      <c r="M179" s="460" t="s">
        <v>1593</v>
      </c>
      <c r="N179" s="387" t="s">
        <v>1507</v>
      </c>
      <c r="O179" s="381" t="s">
        <v>301</v>
      </c>
      <c r="P179" s="381" t="s">
        <v>301</v>
      </c>
      <c r="Q179" s="381" t="s">
        <v>301</v>
      </c>
      <c r="R179" s="381" t="s">
        <v>301</v>
      </c>
      <c r="S179" s="387" t="s">
        <v>1121</v>
      </c>
      <c r="T179" s="490" t="s">
        <v>301</v>
      </c>
      <c r="U179" s="490" t="s">
        <v>301</v>
      </c>
      <c r="V179" s="490" t="s">
        <v>301</v>
      </c>
      <c r="W179" s="490" t="s">
        <v>301</v>
      </c>
      <c r="X179" s="387" t="s">
        <v>1121</v>
      </c>
    </row>
    <row r="180">
      <c r="A180" s="400">
        <v>56.0</v>
      </c>
      <c r="B180" s="378" t="s">
        <v>298</v>
      </c>
      <c r="C180" s="378"/>
      <c r="D180" s="380" t="s">
        <v>1084</v>
      </c>
      <c r="E180" s="380" t="s">
        <v>406</v>
      </c>
      <c r="F180" s="378"/>
      <c r="G180" s="380" t="s">
        <v>1204</v>
      </c>
      <c r="H180" s="380" t="s">
        <v>1205</v>
      </c>
      <c r="I180" s="380" t="s">
        <v>1206</v>
      </c>
      <c r="J180" s="406" t="s">
        <v>301</v>
      </c>
      <c r="K180" s="491"/>
      <c r="L180" s="463" t="s">
        <v>1594</v>
      </c>
      <c r="M180" s="463" t="s">
        <v>1594</v>
      </c>
      <c r="N180" s="380" t="s">
        <v>1507</v>
      </c>
      <c r="O180" s="381" t="s">
        <v>301</v>
      </c>
      <c r="P180" s="381" t="s">
        <v>301</v>
      </c>
      <c r="Q180" s="381" t="s">
        <v>301</v>
      </c>
      <c r="R180" s="381" t="s">
        <v>301</v>
      </c>
      <c r="S180" s="380" t="s">
        <v>1121</v>
      </c>
      <c r="T180" s="490" t="s">
        <v>301</v>
      </c>
      <c r="U180" s="490" t="s">
        <v>301</v>
      </c>
      <c r="V180" s="490" t="s">
        <v>301</v>
      </c>
      <c r="W180" s="490" t="s">
        <v>301</v>
      </c>
      <c r="X180" s="380" t="s">
        <v>1121</v>
      </c>
    </row>
    <row r="181">
      <c r="A181" s="406">
        <v>57.0</v>
      </c>
      <c r="B181" s="386" t="s">
        <v>298</v>
      </c>
      <c r="C181" s="386"/>
      <c r="D181" s="387" t="s">
        <v>1084</v>
      </c>
      <c r="E181" s="387" t="s">
        <v>406</v>
      </c>
      <c r="F181" s="386"/>
      <c r="G181" s="387" t="s">
        <v>1204</v>
      </c>
      <c r="H181" s="387" t="s">
        <v>1205</v>
      </c>
      <c r="I181" s="387" t="s">
        <v>1206</v>
      </c>
      <c r="J181" s="400" t="s">
        <v>301</v>
      </c>
      <c r="K181" s="488"/>
      <c r="L181" s="460" t="s">
        <v>1595</v>
      </c>
      <c r="M181" s="460" t="s">
        <v>1595</v>
      </c>
      <c r="N181" s="387" t="s">
        <v>1507</v>
      </c>
      <c r="O181" s="373" t="s">
        <v>301</v>
      </c>
      <c r="P181" s="373" t="s">
        <v>301</v>
      </c>
      <c r="Q181" s="373" t="s">
        <v>301</v>
      </c>
      <c r="R181" s="373" t="s">
        <v>301</v>
      </c>
      <c r="S181" s="387" t="s">
        <v>1121</v>
      </c>
      <c r="T181" s="490" t="s">
        <v>301</v>
      </c>
      <c r="U181" s="490" t="s">
        <v>301</v>
      </c>
      <c r="V181" s="490" t="s">
        <v>301</v>
      </c>
      <c r="W181" s="490" t="s">
        <v>301</v>
      </c>
      <c r="X181" s="387" t="s">
        <v>1121</v>
      </c>
    </row>
    <row r="182">
      <c r="A182" s="400">
        <v>58.0</v>
      </c>
      <c r="B182" s="378" t="s">
        <v>298</v>
      </c>
      <c r="C182" s="378"/>
      <c r="D182" s="380" t="s">
        <v>1084</v>
      </c>
      <c r="E182" s="380" t="s">
        <v>406</v>
      </c>
      <c r="F182" s="378"/>
      <c r="G182" s="380" t="s">
        <v>1204</v>
      </c>
      <c r="H182" s="380" t="s">
        <v>1205</v>
      </c>
      <c r="I182" s="380" t="s">
        <v>1206</v>
      </c>
      <c r="J182" s="406" t="s">
        <v>301</v>
      </c>
      <c r="K182" s="491"/>
      <c r="L182" s="463" t="s">
        <v>1596</v>
      </c>
      <c r="M182" s="463" t="s">
        <v>1596</v>
      </c>
      <c r="N182" s="380" t="s">
        <v>1597</v>
      </c>
      <c r="O182" s="381" t="s">
        <v>301</v>
      </c>
      <c r="P182" s="381" t="s">
        <v>301</v>
      </c>
      <c r="Q182" s="381" t="s">
        <v>301</v>
      </c>
      <c r="R182" s="381" t="s">
        <v>301</v>
      </c>
      <c r="S182" s="380" t="s">
        <v>1121</v>
      </c>
      <c r="T182" s="490" t="s">
        <v>301</v>
      </c>
      <c r="U182" s="490" t="s">
        <v>301</v>
      </c>
      <c r="V182" s="490" t="s">
        <v>301</v>
      </c>
      <c r="W182" s="490" t="s">
        <v>301</v>
      </c>
      <c r="X182" s="380" t="s">
        <v>1121</v>
      </c>
    </row>
    <row r="183">
      <c r="A183" s="406">
        <v>59.0</v>
      </c>
      <c r="B183" s="386" t="s">
        <v>298</v>
      </c>
      <c r="C183" s="386"/>
      <c r="D183" s="387" t="s">
        <v>1084</v>
      </c>
      <c r="E183" s="387" t="s">
        <v>406</v>
      </c>
      <c r="F183" s="386"/>
      <c r="G183" s="387" t="s">
        <v>1204</v>
      </c>
      <c r="H183" s="387" t="s">
        <v>1205</v>
      </c>
      <c r="I183" s="387" t="s">
        <v>1206</v>
      </c>
      <c r="J183" s="400" t="s">
        <v>301</v>
      </c>
      <c r="K183" s="488"/>
      <c r="L183" s="460" t="s">
        <v>1598</v>
      </c>
      <c r="M183" s="460" t="s">
        <v>1598</v>
      </c>
      <c r="N183" s="387" t="s">
        <v>1491</v>
      </c>
      <c r="O183" s="373" t="s">
        <v>301</v>
      </c>
      <c r="P183" s="373" t="s">
        <v>301</v>
      </c>
      <c r="Q183" s="373" t="s">
        <v>301</v>
      </c>
      <c r="R183" s="373" t="s">
        <v>301</v>
      </c>
      <c r="S183" s="387" t="s">
        <v>1121</v>
      </c>
      <c r="T183" s="490" t="s">
        <v>301</v>
      </c>
      <c r="U183" s="490" t="s">
        <v>301</v>
      </c>
      <c r="V183" s="490" t="s">
        <v>301</v>
      </c>
      <c r="W183" s="490" t="s">
        <v>301</v>
      </c>
      <c r="X183" s="387" t="s">
        <v>1121</v>
      </c>
    </row>
    <row r="184">
      <c r="A184" s="400">
        <v>60.0</v>
      </c>
      <c r="B184" s="378" t="s">
        <v>298</v>
      </c>
      <c r="C184" s="378"/>
      <c r="D184" s="380" t="s">
        <v>1084</v>
      </c>
      <c r="E184" s="380" t="s">
        <v>406</v>
      </c>
      <c r="F184" s="378"/>
      <c r="G184" s="380" t="s">
        <v>1204</v>
      </c>
      <c r="H184" s="380" t="s">
        <v>1205</v>
      </c>
      <c r="I184" s="380" t="s">
        <v>1206</v>
      </c>
      <c r="J184" s="406" t="s">
        <v>301</v>
      </c>
      <c r="K184" s="491"/>
      <c r="L184" s="463" t="s">
        <v>1599</v>
      </c>
      <c r="M184" s="463" t="s">
        <v>1599</v>
      </c>
      <c r="N184" s="380" t="s">
        <v>1600</v>
      </c>
      <c r="O184" s="381" t="s">
        <v>301</v>
      </c>
      <c r="P184" s="381" t="s">
        <v>301</v>
      </c>
      <c r="Q184" s="381" t="s">
        <v>301</v>
      </c>
      <c r="R184" s="381" t="s">
        <v>301</v>
      </c>
      <c r="S184" s="380" t="s">
        <v>1121</v>
      </c>
      <c r="T184" s="490" t="s">
        <v>301</v>
      </c>
      <c r="U184" s="490" t="s">
        <v>301</v>
      </c>
      <c r="V184" s="490" t="s">
        <v>301</v>
      </c>
      <c r="W184" s="490" t="s">
        <v>301</v>
      </c>
      <c r="X184" s="380" t="s">
        <v>1121</v>
      </c>
    </row>
    <row r="185">
      <c r="A185" s="343" t="s">
        <v>1306</v>
      </c>
      <c r="B185" s="344"/>
      <c r="C185" s="344"/>
      <c r="D185" s="344"/>
      <c r="E185" s="344"/>
      <c r="F185" s="344"/>
      <c r="G185" s="344"/>
      <c r="H185" s="344"/>
      <c r="I185" s="344"/>
      <c r="J185" s="344"/>
      <c r="K185" s="344"/>
      <c r="L185" s="344"/>
      <c r="M185" s="344"/>
      <c r="N185" s="344"/>
      <c r="O185" s="344"/>
      <c r="P185" s="344"/>
      <c r="Q185" s="344"/>
      <c r="R185" s="344"/>
      <c r="S185" s="344"/>
      <c r="T185" s="344"/>
      <c r="U185" s="344"/>
      <c r="V185" s="345"/>
      <c r="W185" s="395"/>
    </row>
    <row r="186">
      <c r="A186" s="400">
        <v>1.0</v>
      </c>
      <c r="B186" s="387" t="s">
        <v>298</v>
      </c>
      <c r="C186" s="378"/>
      <c r="D186" s="387" t="s">
        <v>1058</v>
      </c>
      <c r="E186" s="387" t="s">
        <v>1059</v>
      </c>
      <c r="F186" s="378"/>
      <c r="G186" s="387" t="s">
        <v>1307</v>
      </c>
      <c r="H186" s="387" t="s">
        <v>1308</v>
      </c>
      <c r="I186" s="387" t="s">
        <v>1309</v>
      </c>
      <c r="J186" s="406" t="s">
        <v>301</v>
      </c>
      <c r="K186" s="491"/>
      <c r="L186" s="472" t="s">
        <v>1601</v>
      </c>
      <c r="M186" s="472" t="s">
        <v>1601</v>
      </c>
      <c r="N186" s="406" t="s">
        <v>1180</v>
      </c>
      <c r="O186" s="381" t="s">
        <v>301</v>
      </c>
      <c r="P186" s="381" t="s">
        <v>301</v>
      </c>
      <c r="Q186" s="381" t="s">
        <v>301</v>
      </c>
      <c r="R186" s="381" t="s">
        <v>301</v>
      </c>
      <c r="S186" s="407" t="s">
        <v>1602</v>
      </c>
      <c r="T186" s="379" t="s">
        <v>301</v>
      </c>
      <c r="U186" s="379" t="s">
        <v>301</v>
      </c>
      <c r="V186" s="379" t="s">
        <v>301</v>
      </c>
      <c r="W186" s="379" t="s">
        <v>301</v>
      </c>
      <c r="X186" s="380"/>
    </row>
    <row r="187">
      <c r="A187" s="400">
        <v>2.0</v>
      </c>
      <c r="B187" s="380" t="s">
        <v>298</v>
      </c>
      <c r="C187" s="378"/>
      <c r="D187" s="380" t="s">
        <v>1058</v>
      </c>
      <c r="E187" s="380" t="s">
        <v>1059</v>
      </c>
      <c r="F187" s="378"/>
      <c r="G187" s="380" t="s">
        <v>1307</v>
      </c>
      <c r="H187" s="380" t="s">
        <v>1308</v>
      </c>
      <c r="I187" s="380" t="s">
        <v>1309</v>
      </c>
      <c r="J187" s="400" t="s">
        <v>301</v>
      </c>
      <c r="K187" s="491"/>
      <c r="L187" s="474" t="s">
        <v>1601</v>
      </c>
      <c r="M187" s="474" t="s">
        <v>1601</v>
      </c>
      <c r="N187" s="400" t="s">
        <v>1180</v>
      </c>
      <c r="O187" s="381" t="s">
        <v>301</v>
      </c>
      <c r="P187" s="381" t="s">
        <v>301</v>
      </c>
      <c r="Q187" s="381" t="s">
        <v>301</v>
      </c>
      <c r="R187" s="381" t="s">
        <v>301</v>
      </c>
      <c r="S187" s="401" t="s">
        <v>1602</v>
      </c>
      <c r="T187" s="379" t="s">
        <v>301</v>
      </c>
      <c r="U187" s="379" t="s">
        <v>301</v>
      </c>
      <c r="V187" s="379" t="s">
        <v>301</v>
      </c>
      <c r="W187" s="379" t="s">
        <v>301</v>
      </c>
      <c r="X187" s="380"/>
    </row>
    <row r="188">
      <c r="A188" s="400">
        <v>3.0</v>
      </c>
      <c r="B188" s="387" t="s">
        <v>298</v>
      </c>
      <c r="C188" s="378"/>
      <c r="D188" s="387" t="s">
        <v>1058</v>
      </c>
      <c r="E188" s="387" t="s">
        <v>1059</v>
      </c>
      <c r="F188" s="378"/>
      <c r="G188" s="387" t="s">
        <v>1307</v>
      </c>
      <c r="H188" s="387" t="s">
        <v>1308</v>
      </c>
      <c r="I188" s="387" t="s">
        <v>1309</v>
      </c>
      <c r="J188" s="406" t="s">
        <v>301</v>
      </c>
      <c r="K188" s="491"/>
      <c r="L188" s="472" t="s">
        <v>1601</v>
      </c>
      <c r="M188" s="472" t="s">
        <v>1601</v>
      </c>
      <c r="N188" s="406" t="s">
        <v>1180</v>
      </c>
      <c r="O188" s="373" t="s">
        <v>301</v>
      </c>
      <c r="P188" s="373" t="s">
        <v>301</v>
      </c>
      <c r="Q188" s="373" t="s">
        <v>301</v>
      </c>
      <c r="R188" s="373" t="s">
        <v>301</v>
      </c>
      <c r="S188" s="407" t="s">
        <v>1602</v>
      </c>
      <c r="T188" s="379" t="s">
        <v>301</v>
      </c>
      <c r="U188" s="379" t="s">
        <v>301</v>
      </c>
      <c r="V188" s="379" t="s">
        <v>301</v>
      </c>
      <c r="W188" s="379" t="s">
        <v>301</v>
      </c>
      <c r="X188" s="380"/>
    </row>
    <row r="189">
      <c r="A189" s="400">
        <v>4.0</v>
      </c>
      <c r="B189" s="380" t="s">
        <v>298</v>
      </c>
      <c r="C189" s="378"/>
      <c r="D189" s="380" t="s">
        <v>1058</v>
      </c>
      <c r="E189" s="380" t="s">
        <v>1059</v>
      </c>
      <c r="F189" s="378"/>
      <c r="G189" s="380" t="s">
        <v>1307</v>
      </c>
      <c r="H189" s="380" t="s">
        <v>1308</v>
      </c>
      <c r="I189" s="380" t="s">
        <v>1309</v>
      </c>
      <c r="J189" s="400" t="s">
        <v>301</v>
      </c>
      <c r="K189" s="491"/>
      <c r="L189" s="474" t="s">
        <v>1601</v>
      </c>
      <c r="M189" s="474" t="s">
        <v>1601</v>
      </c>
      <c r="N189" s="400" t="s">
        <v>1180</v>
      </c>
      <c r="O189" s="381" t="s">
        <v>301</v>
      </c>
      <c r="P189" s="381" t="s">
        <v>301</v>
      </c>
      <c r="Q189" s="381" t="s">
        <v>301</v>
      </c>
      <c r="R189" s="381" t="s">
        <v>301</v>
      </c>
      <c r="S189" s="401" t="s">
        <v>1602</v>
      </c>
      <c r="T189" s="379" t="s">
        <v>301</v>
      </c>
      <c r="U189" s="379" t="s">
        <v>301</v>
      </c>
      <c r="V189" s="379" t="s">
        <v>301</v>
      </c>
      <c r="W189" s="379" t="s">
        <v>301</v>
      </c>
      <c r="X189" s="380"/>
    </row>
    <row r="190">
      <c r="A190" s="400">
        <v>5.0</v>
      </c>
      <c r="B190" s="387" t="s">
        <v>298</v>
      </c>
      <c r="C190" s="378"/>
      <c r="D190" s="387" t="s">
        <v>1058</v>
      </c>
      <c r="E190" s="387" t="s">
        <v>1059</v>
      </c>
      <c r="F190" s="378"/>
      <c r="G190" s="387" t="s">
        <v>1313</v>
      </c>
      <c r="H190" s="387" t="s">
        <v>1308</v>
      </c>
      <c r="I190" s="387" t="s">
        <v>1309</v>
      </c>
      <c r="J190" s="406" t="s">
        <v>301</v>
      </c>
      <c r="K190" s="491"/>
      <c r="L190" s="472" t="s">
        <v>1414</v>
      </c>
      <c r="M190" s="472" t="s">
        <v>1414</v>
      </c>
      <c r="N190" s="406" t="s">
        <v>1180</v>
      </c>
      <c r="O190" s="373" t="s">
        <v>301</v>
      </c>
      <c r="P190" s="373" t="s">
        <v>301</v>
      </c>
      <c r="Q190" s="373" t="s">
        <v>301</v>
      </c>
      <c r="R190" s="373" t="s">
        <v>301</v>
      </c>
      <c r="S190" s="407" t="s">
        <v>1602</v>
      </c>
      <c r="T190" s="379" t="s">
        <v>301</v>
      </c>
      <c r="U190" s="379" t="s">
        <v>301</v>
      </c>
      <c r="V190" s="379" t="s">
        <v>301</v>
      </c>
      <c r="W190" s="379" t="s">
        <v>301</v>
      </c>
      <c r="X190" s="380"/>
    </row>
    <row r="191">
      <c r="A191" s="400">
        <v>6.0</v>
      </c>
      <c r="B191" s="380" t="s">
        <v>298</v>
      </c>
      <c r="C191" s="378"/>
      <c r="D191" s="380" t="s">
        <v>1058</v>
      </c>
      <c r="E191" s="380" t="s">
        <v>1059</v>
      </c>
      <c r="F191" s="378"/>
      <c r="G191" s="380" t="s">
        <v>1313</v>
      </c>
      <c r="H191" s="380" t="s">
        <v>1308</v>
      </c>
      <c r="I191" s="380" t="s">
        <v>1309</v>
      </c>
      <c r="J191" s="400" t="s">
        <v>301</v>
      </c>
      <c r="K191" s="491"/>
      <c r="L191" s="474" t="s">
        <v>1415</v>
      </c>
      <c r="M191" s="474" t="s">
        <v>1415</v>
      </c>
      <c r="N191" s="400" t="s">
        <v>1180</v>
      </c>
      <c r="O191" s="381" t="s">
        <v>301</v>
      </c>
      <c r="P191" s="381" t="s">
        <v>301</v>
      </c>
      <c r="Q191" s="381" t="s">
        <v>301</v>
      </c>
      <c r="R191" s="381" t="s">
        <v>301</v>
      </c>
      <c r="S191" s="401" t="s">
        <v>1602</v>
      </c>
      <c r="T191" s="379" t="s">
        <v>301</v>
      </c>
      <c r="U191" s="379" t="s">
        <v>301</v>
      </c>
      <c r="V191" s="379" t="s">
        <v>301</v>
      </c>
      <c r="W191" s="379" t="s">
        <v>301</v>
      </c>
      <c r="X191" s="380"/>
    </row>
    <row r="192">
      <c r="A192" s="400">
        <v>7.0</v>
      </c>
      <c r="B192" s="387" t="s">
        <v>298</v>
      </c>
      <c r="C192" s="378"/>
      <c r="D192" s="387" t="s">
        <v>1058</v>
      </c>
      <c r="E192" s="387" t="s">
        <v>1059</v>
      </c>
      <c r="F192" s="378"/>
      <c r="G192" s="387" t="s">
        <v>1313</v>
      </c>
      <c r="H192" s="387" t="s">
        <v>1308</v>
      </c>
      <c r="I192" s="387" t="s">
        <v>1309</v>
      </c>
      <c r="J192" s="406" t="s">
        <v>301</v>
      </c>
      <c r="K192" s="491"/>
      <c r="L192" s="472" t="s">
        <v>1603</v>
      </c>
      <c r="M192" s="472" t="s">
        <v>1603</v>
      </c>
      <c r="N192" s="406" t="s">
        <v>1604</v>
      </c>
      <c r="O192" s="381" t="s">
        <v>301</v>
      </c>
      <c r="P192" s="381" t="s">
        <v>301</v>
      </c>
      <c r="Q192" s="381" t="s">
        <v>301</v>
      </c>
      <c r="R192" s="381" t="s">
        <v>301</v>
      </c>
      <c r="S192" s="407" t="s">
        <v>1602</v>
      </c>
      <c r="T192" s="379" t="s">
        <v>301</v>
      </c>
      <c r="U192" s="379" t="s">
        <v>301</v>
      </c>
      <c r="V192" s="379" t="s">
        <v>301</v>
      </c>
      <c r="W192" s="379" t="s">
        <v>301</v>
      </c>
      <c r="X192" s="380"/>
    </row>
    <row r="193">
      <c r="A193" s="400">
        <v>8.0</v>
      </c>
      <c r="B193" s="380" t="s">
        <v>298</v>
      </c>
      <c r="C193" s="378"/>
      <c r="D193" s="380" t="s">
        <v>1058</v>
      </c>
      <c r="E193" s="380" t="s">
        <v>1059</v>
      </c>
      <c r="F193" s="378"/>
      <c r="G193" s="380" t="s">
        <v>1313</v>
      </c>
      <c r="H193" s="380" t="s">
        <v>1308</v>
      </c>
      <c r="I193" s="380" t="s">
        <v>1309</v>
      </c>
      <c r="J193" s="400" t="s">
        <v>301</v>
      </c>
      <c r="K193" s="491"/>
      <c r="L193" s="474" t="s">
        <v>1408</v>
      </c>
      <c r="M193" s="474" t="s">
        <v>1408</v>
      </c>
      <c r="N193" s="400" t="s">
        <v>1180</v>
      </c>
      <c r="O193" s="381" t="s">
        <v>301</v>
      </c>
      <c r="P193" s="381" t="s">
        <v>301</v>
      </c>
      <c r="Q193" s="381" t="s">
        <v>301</v>
      </c>
      <c r="R193" s="381" t="s">
        <v>301</v>
      </c>
      <c r="S193" s="401" t="s">
        <v>1602</v>
      </c>
      <c r="T193" s="379" t="s">
        <v>301</v>
      </c>
      <c r="U193" s="379" t="s">
        <v>301</v>
      </c>
      <c r="V193" s="379" t="s">
        <v>301</v>
      </c>
      <c r="W193" s="379" t="s">
        <v>301</v>
      </c>
      <c r="X193" s="380"/>
    </row>
    <row r="194">
      <c r="A194" s="400">
        <v>9.0</v>
      </c>
      <c r="B194" s="387" t="s">
        <v>298</v>
      </c>
      <c r="C194" s="378"/>
      <c r="D194" s="387" t="s">
        <v>1058</v>
      </c>
      <c r="E194" s="387" t="s">
        <v>1059</v>
      </c>
      <c r="F194" s="378"/>
      <c r="G194" s="387" t="s">
        <v>1313</v>
      </c>
      <c r="H194" s="387" t="s">
        <v>1308</v>
      </c>
      <c r="I194" s="387" t="s">
        <v>1309</v>
      </c>
      <c r="J194" s="406" t="s">
        <v>301</v>
      </c>
      <c r="K194" s="491"/>
      <c r="L194" s="472" t="s">
        <v>1409</v>
      </c>
      <c r="M194" s="472" t="s">
        <v>1409</v>
      </c>
      <c r="N194" s="406" t="s">
        <v>1180</v>
      </c>
      <c r="O194" s="373" t="s">
        <v>301</v>
      </c>
      <c r="P194" s="373" t="s">
        <v>301</v>
      </c>
      <c r="Q194" s="373" t="s">
        <v>301</v>
      </c>
      <c r="R194" s="373" t="s">
        <v>301</v>
      </c>
      <c r="S194" s="407" t="s">
        <v>1602</v>
      </c>
      <c r="T194" s="379" t="s">
        <v>301</v>
      </c>
      <c r="U194" s="379" t="s">
        <v>301</v>
      </c>
      <c r="V194" s="379" t="s">
        <v>301</v>
      </c>
      <c r="W194" s="379" t="s">
        <v>301</v>
      </c>
      <c r="X194" s="380"/>
    </row>
    <row r="195">
      <c r="A195" s="400">
        <v>10.0</v>
      </c>
      <c r="B195" s="380" t="s">
        <v>298</v>
      </c>
      <c r="C195" s="378"/>
      <c r="D195" s="380" t="s">
        <v>1058</v>
      </c>
      <c r="E195" s="380" t="s">
        <v>1059</v>
      </c>
      <c r="F195" s="378"/>
      <c r="G195" s="380" t="s">
        <v>1313</v>
      </c>
      <c r="H195" s="380" t="s">
        <v>1308</v>
      </c>
      <c r="I195" s="380" t="s">
        <v>1309</v>
      </c>
      <c r="J195" s="400" t="s">
        <v>301</v>
      </c>
      <c r="K195" s="491"/>
      <c r="L195" s="474" t="s">
        <v>1532</v>
      </c>
      <c r="M195" s="474" t="s">
        <v>1532</v>
      </c>
      <c r="N195" s="400" t="s">
        <v>1180</v>
      </c>
      <c r="O195" s="381" t="s">
        <v>301</v>
      </c>
      <c r="P195" s="381" t="s">
        <v>301</v>
      </c>
      <c r="Q195" s="381" t="s">
        <v>301</v>
      </c>
      <c r="R195" s="381" t="s">
        <v>301</v>
      </c>
      <c r="S195" s="401" t="s">
        <v>1602</v>
      </c>
      <c r="T195" s="379" t="s">
        <v>301</v>
      </c>
      <c r="U195" s="379" t="s">
        <v>301</v>
      </c>
      <c r="V195" s="379" t="s">
        <v>301</v>
      </c>
      <c r="W195" s="379" t="s">
        <v>301</v>
      </c>
      <c r="X195" s="380"/>
    </row>
    <row r="196">
      <c r="A196" s="400">
        <v>11.0</v>
      </c>
      <c r="B196" s="387" t="s">
        <v>298</v>
      </c>
      <c r="C196" s="378"/>
      <c r="D196" s="387" t="s">
        <v>1058</v>
      </c>
      <c r="E196" s="387" t="s">
        <v>1059</v>
      </c>
      <c r="F196" s="378"/>
      <c r="G196" s="387" t="s">
        <v>1313</v>
      </c>
      <c r="H196" s="387" t="s">
        <v>1308</v>
      </c>
      <c r="I196" s="387" t="s">
        <v>1309</v>
      </c>
      <c r="J196" s="406" t="s">
        <v>301</v>
      </c>
      <c r="K196" s="491"/>
      <c r="L196" s="472" t="s">
        <v>1410</v>
      </c>
      <c r="M196" s="472" t="s">
        <v>1410</v>
      </c>
      <c r="N196" s="406" t="s">
        <v>1180</v>
      </c>
      <c r="O196" s="373" t="s">
        <v>301</v>
      </c>
      <c r="P196" s="373" t="s">
        <v>301</v>
      </c>
      <c r="Q196" s="373" t="s">
        <v>301</v>
      </c>
      <c r="R196" s="373" t="s">
        <v>301</v>
      </c>
      <c r="S196" s="407" t="s">
        <v>1602</v>
      </c>
      <c r="T196" s="379" t="s">
        <v>301</v>
      </c>
      <c r="U196" s="379" t="s">
        <v>301</v>
      </c>
      <c r="V196" s="379" t="s">
        <v>301</v>
      </c>
      <c r="W196" s="379" t="s">
        <v>301</v>
      </c>
      <c r="X196" s="380"/>
    </row>
    <row r="197">
      <c r="A197" s="400">
        <v>12.0</v>
      </c>
      <c r="B197" s="380" t="s">
        <v>298</v>
      </c>
      <c r="C197" s="378"/>
      <c r="D197" s="380" t="s">
        <v>1058</v>
      </c>
      <c r="E197" s="380" t="s">
        <v>1059</v>
      </c>
      <c r="F197" s="378"/>
      <c r="G197" s="380" t="s">
        <v>1313</v>
      </c>
      <c r="H197" s="380" t="s">
        <v>1308</v>
      </c>
      <c r="I197" s="380" t="s">
        <v>1309</v>
      </c>
      <c r="J197" s="400" t="s">
        <v>301</v>
      </c>
      <c r="K197" s="491"/>
      <c r="L197" s="474" t="s">
        <v>1411</v>
      </c>
      <c r="M197" s="474" t="s">
        <v>1411</v>
      </c>
      <c r="N197" s="400" t="s">
        <v>1180</v>
      </c>
      <c r="O197" s="381" t="s">
        <v>301</v>
      </c>
      <c r="P197" s="381" t="s">
        <v>301</v>
      </c>
      <c r="Q197" s="381" t="s">
        <v>301</v>
      </c>
      <c r="R197" s="381" t="s">
        <v>301</v>
      </c>
      <c r="S197" s="401" t="s">
        <v>1602</v>
      </c>
      <c r="T197" s="379" t="s">
        <v>301</v>
      </c>
      <c r="U197" s="379" t="s">
        <v>301</v>
      </c>
      <c r="V197" s="379" t="s">
        <v>301</v>
      </c>
      <c r="W197" s="379" t="s">
        <v>301</v>
      </c>
      <c r="X197" s="380"/>
    </row>
    <row r="198">
      <c r="A198" s="400">
        <v>13.0</v>
      </c>
      <c r="B198" s="387" t="s">
        <v>298</v>
      </c>
      <c r="C198" s="378"/>
      <c r="D198" s="387" t="s">
        <v>1058</v>
      </c>
      <c r="E198" s="387" t="s">
        <v>1059</v>
      </c>
      <c r="F198" s="378"/>
      <c r="G198" s="387" t="s">
        <v>1313</v>
      </c>
      <c r="H198" s="387" t="s">
        <v>1308</v>
      </c>
      <c r="I198" s="387" t="s">
        <v>1309</v>
      </c>
      <c r="J198" s="406" t="s">
        <v>301</v>
      </c>
      <c r="K198" s="491"/>
      <c r="L198" s="472" t="s">
        <v>1417</v>
      </c>
      <c r="M198" s="472" t="s">
        <v>1417</v>
      </c>
      <c r="N198" s="406" t="s">
        <v>1180</v>
      </c>
      <c r="O198" s="381" t="s">
        <v>301</v>
      </c>
      <c r="P198" s="381" t="s">
        <v>301</v>
      </c>
      <c r="Q198" s="381" t="s">
        <v>301</v>
      </c>
      <c r="R198" s="381" t="s">
        <v>301</v>
      </c>
      <c r="S198" s="407" t="s">
        <v>1602</v>
      </c>
      <c r="T198" s="379" t="s">
        <v>301</v>
      </c>
      <c r="U198" s="379" t="s">
        <v>301</v>
      </c>
      <c r="V198" s="379" t="s">
        <v>301</v>
      </c>
      <c r="W198" s="379" t="s">
        <v>301</v>
      </c>
      <c r="X198" s="380"/>
    </row>
    <row r="199">
      <c r="A199" s="400">
        <v>14.0</v>
      </c>
      <c r="B199" s="380" t="s">
        <v>298</v>
      </c>
      <c r="C199" s="378"/>
      <c r="D199" s="380" t="s">
        <v>1058</v>
      </c>
      <c r="E199" s="380" t="s">
        <v>1059</v>
      </c>
      <c r="F199" s="378"/>
      <c r="G199" s="380" t="s">
        <v>1316</v>
      </c>
      <c r="H199" s="380" t="s">
        <v>1308</v>
      </c>
      <c r="I199" s="380" t="s">
        <v>1309</v>
      </c>
      <c r="J199" s="400" t="s">
        <v>301</v>
      </c>
      <c r="K199" s="491"/>
      <c r="L199" s="474" t="s">
        <v>1406</v>
      </c>
      <c r="M199" s="474" t="s">
        <v>1406</v>
      </c>
      <c r="N199" s="400" t="s">
        <v>1180</v>
      </c>
      <c r="O199" s="381" t="s">
        <v>301</v>
      </c>
      <c r="P199" s="381" t="s">
        <v>301</v>
      </c>
      <c r="Q199" s="381" t="s">
        <v>301</v>
      </c>
      <c r="R199" s="381" t="s">
        <v>301</v>
      </c>
      <c r="S199" s="401" t="s">
        <v>1602</v>
      </c>
      <c r="T199" s="379" t="s">
        <v>301</v>
      </c>
      <c r="U199" s="379" t="s">
        <v>301</v>
      </c>
      <c r="V199" s="379" t="s">
        <v>301</v>
      </c>
      <c r="W199" s="379" t="s">
        <v>301</v>
      </c>
      <c r="X199" s="380"/>
    </row>
    <row r="200">
      <c r="A200" s="400">
        <v>15.0</v>
      </c>
      <c r="B200" s="387" t="s">
        <v>298</v>
      </c>
      <c r="C200" s="378"/>
      <c r="D200" s="387" t="s">
        <v>1084</v>
      </c>
      <c r="E200" s="387" t="s">
        <v>1317</v>
      </c>
      <c r="F200" s="378"/>
      <c r="G200" s="387" t="s">
        <v>1318</v>
      </c>
      <c r="H200" s="387" t="s">
        <v>1319</v>
      </c>
      <c r="I200" s="387" t="s">
        <v>1320</v>
      </c>
      <c r="J200" s="406" t="s">
        <v>301</v>
      </c>
      <c r="K200" s="491"/>
      <c r="L200" s="472" t="s">
        <v>1605</v>
      </c>
      <c r="M200" s="472" t="s">
        <v>1605</v>
      </c>
      <c r="N200" s="406" t="s">
        <v>1606</v>
      </c>
      <c r="O200" s="373" t="s">
        <v>301</v>
      </c>
      <c r="P200" s="373" t="s">
        <v>301</v>
      </c>
      <c r="Q200" s="373" t="s">
        <v>301</v>
      </c>
      <c r="R200" s="373" t="s">
        <v>301</v>
      </c>
      <c r="S200" s="407" t="s">
        <v>1607</v>
      </c>
      <c r="T200" s="379" t="s">
        <v>301</v>
      </c>
      <c r="U200" s="379" t="s">
        <v>301</v>
      </c>
      <c r="V200" s="379" t="s">
        <v>301</v>
      </c>
      <c r="W200" s="379" t="s">
        <v>301</v>
      </c>
      <c r="X200" s="380"/>
    </row>
    <row r="201">
      <c r="A201" s="400">
        <v>16.0</v>
      </c>
      <c r="B201" s="380" t="s">
        <v>298</v>
      </c>
      <c r="C201" s="378"/>
      <c r="D201" s="380" t="s">
        <v>1084</v>
      </c>
      <c r="E201" s="380" t="s">
        <v>1317</v>
      </c>
      <c r="F201" s="378"/>
      <c r="G201" s="380" t="s">
        <v>1318</v>
      </c>
      <c r="H201" s="380" t="s">
        <v>1319</v>
      </c>
      <c r="I201" s="380" t="s">
        <v>1320</v>
      </c>
      <c r="J201" s="400" t="s">
        <v>301</v>
      </c>
      <c r="K201" s="491"/>
      <c r="L201" s="474" t="s">
        <v>1608</v>
      </c>
      <c r="M201" s="474" t="s">
        <v>1608</v>
      </c>
      <c r="N201" s="400" t="s">
        <v>1609</v>
      </c>
      <c r="O201" s="381" t="s">
        <v>301</v>
      </c>
      <c r="P201" s="381" t="s">
        <v>301</v>
      </c>
      <c r="Q201" s="381" t="s">
        <v>301</v>
      </c>
      <c r="R201" s="381" t="s">
        <v>301</v>
      </c>
      <c r="S201" s="401" t="s">
        <v>1610</v>
      </c>
      <c r="T201" s="373" t="s">
        <v>271</v>
      </c>
      <c r="U201" s="373" t="s">
        <v>271</v>
      </c>
      <c r="V201" s="379" t="s">
        <v>301</v>
      </c>
      <c r="W201" s="379" t="s">
        <v>301</v>
      </c>
      <c r="X201" s="380"/>
    </row>
    <row r="202">
      <c r="A202" s="400">
        <v>17.0</v>
      </c>
      <c r="B202" s="387" t="s">
        <v>298</v>
      </c>
      <c r="C202" s="378"/>
      <c r="D202" s="387" t="s">
        <v>1084</v>
      </c>
      <c r="E202" s="387" t="s">
        <v>1317</v>
      </c>
      <c r="F202" s="378"/>
      <c r="G202" s="387" t="s">
        <v>1318</v>
      </c>
      <c r="H202" s="387" t="s">
        <v>1319</v>
      </c>
      <c r="I202" s="387" t="s">
        <v>1320</v>
      </c>
      <c r="J202" s="406" t="s">
        <v>301</v>
      </c>
      <c r="K202" s="491"/>
      <c r="L202" s="472" t="s">
        <v>1611</v>
      </c>
      <c r="M202" s="472" t="s">
        <v>1611</v>
      </c>
      <c r="N202" s="406" t="s">
        <v>1612</v>
      </c>
      <c r="O202" s="373" t="s">
        <v>301</v>
      </c>
      <c r="P202" s="373" t="s">
        <v>301</v>
      </c>
      <c r="Q202" s="373" t="s">
        <v>301</v>
      </c>
      <c r="R202" s="373" t="s">
        <v>301</v>
      </c>
      <c r="S202" s="407" t="s">
        <v>1610</v>
      </c>
      <c r="T202" s="373" t="s">
        <v>271</v>
      </c>
      <c r="U202" s="373" t="s">
        <v>271</v>
      </c>
      <c r="V202" s="379" t="s">
        <v>301</v>
      </c>
      <c r="W202" s="379" t="s">
        <v>301</v>
      </c>
      <c r="X202" s="380"/>
    </row>
    <row r="203">
      <c r="A203" s="400">
        <v>18.0</v>
      </c>
      <c r="B203" s="380" t="s">
        <v>298</v>
      </c>
      <c r="C203" s="378"/>
      <c r="D203" s="380" t="s">
        <v>1084</v>
      </c>
      <c r="E203" s="380" t="s">
        <v>1317</v>
      </c>
      <c r="F203" s="378"/>
      <c r="G203" s="380" t="s">
        <v>1318</v>
      </c>
      <c r="H203" s="380" t="s">
        <v>1319</v>
      </c>
      <c r="I203" s="380" t="s">
        <v>1320</v>
      </c>
      <c r="J203" s="400" t="s">
        <v>301</v>
      </c>
      <c r="K203" s="491"/>
      <c r="L203" s="474" t="s">
        <v>1613</v>
      </c>
      <c r="M203" s="474" t="s">
        <v>1613</v>
      </c>
      <c r="N203" s="400" t="s">
        <v>1614</v>
      </c>
      <c r="O203" s="381" t="s">
        <v>301</v>
      </c>
      <c r="P203" s="381" t="s">
        <v>301</v>
      </c>
      <c r="Q203" s="381" t="s">
        <v>301</v>
      </c>
      <c r="R203" s="381" t="s">
        <v>301</v>
      </c>
      <c r="S203" s="401" t="s">
        <v>1607</v>
      </c>
      <c r="T203" s="373" t="s">
        <v>271</v>
      </c>
      <c r="U203" s="373" t="s">
        <v>271</v>
      </c>
      <c r="V203" s="379" t="s">
        <v>301</v>
      </c>
      <c r="W203" s="379" t="s">
        <v>301</v>
      </c>
      <c r="X203" s="380"/>
    </row>
    <row r="204">
      <c r="A204" s="400">
        <v>19.0</v>
      </c>
      <c r="B204" s="387" t="s">
        <v>298</v>
      </c>
      <c r="C204" s="378"/>
      <c r="D204" s="387" t="s">
        <v>1084</v>
      </c>
      <c r="E204" s="387" t="s">
        <v>1317</v>
      </c>
      <c r="F204" s="378"/>
      <c r="G204" s="387" t="s">
        <v>1318</v>
      </c>
      <c r="H204" s="387" t="s">
        <v>1319</v>
      </c>
      <c r="I204" s="387" t="s">
        <v>1320</v>
      </c>
      <c r="J204" s="406" t="s">
        <v>301</v>
      </c>
      <c r="K204" s="491"/>
      <c r="L204" s="472" t="s">
        <v>1615</v>
      </c>
      <c r="M204" s="472" t="s">
        <v>1615</v>
      </c>
      <c r="N204" s="406" t="s">
        <v>1616</v>
      </c>
      <c r="O204" s="373" t="s">
        <v>301</v>
      </c>
      <c r="P204" s="373" t="s">
        <v>301</v>
      </c>
      <c r="Q204" s="373" t="s">
        <v>301</v>
      </c>
      <c r="R204" s="373" t="s">
        <v>301</v>
      </c>
      <c r="S204" s="407" t="s">
        <v>1610</v>
      </c>
      <c r="T204" s="373" t="s">
        <v>271</v>
      </c>
      <c r="U204" s="373" t="s">
        <v>271</v>
      </c>
      <c r="V204" s="379" t="s">
        <v>301</v>
      </c>
      <c r="W204" s="379" t="s">
        <v>301</v>
      </c>
      <c r="X204" s="380"/>
    </row>
    <row r="205">
      <c r="A205" s="400">
        <v>20.0</v>
      </c>
      <c r="B205" s="380" t="s">
        <v>298</v>
      </c>
      <c r="C205" s="378"/>
      <c r="D205" s="380" t="s">
        <v>1084</v>
      </c>
      <c r="E205" s="380" t="s">
        <v>1317</v>
      </c>
      <c r="F205" s="378"/>
      <c r="G205" s="380" t="s">
        <v>1318</v>
      </c>
      <c r="H205" s="380" t="s">
        <v>1319</v>
      </c>
      <c r="I205" s="380" t="s">
        <v>1320</v>
      </c>
      <c r="J205" s="400" t="s">
        <v>301</v>
      </c>
      <c r="K205" s="491"/>
      <c r="L205" s="474" t="s">
        <v>1617</v>
      </c>
      <c r="M205" s="474" t="s">
        <v>1617</v>
      </c>
      <c r="N205" s="400" t="s">
        <v>1618</v>
      </c>
      <c r="O205" s="381" t="s">
        <v>301</v>
      </c>
      <c r="P205" s="381" t="s">
        <v>301</v>
      </c>
      <c r="Q205" s="381" t="s">
        <v>301</v>
      </c>
      <c r="R205" s="381" t="s">
        <v>301</v>
      </c>
      <c r="S205" s="401" t="s">
        <v>1610</v>
      </c>
      <c r="T205" s="373" t="s">
        <v>271</v>
      </c>
      <c r="U205" s="373" t="s">
        <v>271</v>
      </c>
      <c r="V205" s="379" t="s">
        <v>301</v>
      </c>
      <c r="W205" s="379" t="s">
        <v>301</v>
      </c>
      <c r="X205" s="380"/>
    </row>
    <row r="206">
      <c r="A206" s="400">
        <v>21.0</v>
      </c>
      <c r="B206" s="387" t="s">
        <v>298</v>
      </c>
      <c r="C206" s="378"/>
      <c r="D206" s="387" t="s">
        <v>1084</v>
      </c>
      <c r="E206" s="387" t="s">
        <v>1317</v>
      </c>
      <c r="F206" s="378"/>
      <c r="G206" s="387" t="s">
        <v>1328</v>
      </c>
      <c r="H206" s="387" t="s">
        <v>1329</v>
      </c>
      <c r="I206" s="387" t="s">
        <v>1330</v>
      </c>
      <c r="J206" s="406" t="s">
        <v>301</v>
      </c>
      <c r="K206" s="491"/>
      <c r="L206" s="472" t="s">
        <v>1619</v>
      </c>
      <c r="M206" s="472" t="s">
        <v>1619</v>
      </c>
      <c r="N206" s="406" t="s">
        <v>1332</v>
      </c>
      <c r="O206" s="373" t="s">
        <v>301</v>
      </c>
      <c r="P206" s="373" t="s">
        <v>301</v>
      </c>
      <c r="Q206" s="373" t="s">
        <v>301</v>
      </c>
      <c r="R206" s="373" t="s">
        <v>301</v>
      </c>
      <c r="S206" s="407" t="s">
        <v>1620</v>
      </c>
      <c r="T206" s="373" t="s">
        <v>271</v>
      </c>
      <c r="U206" s="373" t="s">
        <v>271</v>
      </c>
      <c r="V206" s="379" t="s">
        <v>301</v>
      </c>
      <c r="W206" s="379" t="s">
        <v>301</v>
      </c>
      <c r="X206" s="380"/>
    </row>
    <row r="207">
      <c r="A207" s="400">
        <v>22.0</v>
      </c>
      <c r="B207" s="380" t="s">
        <v>298</v>
      </c>
      <c r="C207" s="378"/>
      <c r="D207" s="380" t="s">
        <v>1084</v>
      </c>
      <c r="E207" s="380" t="s">
        <v>1317</v>
      </c>
      <c r="F207" s="378"/>
      <c r="G207" s="380" t="s">
        <v>1333</v>
      </c>
      <c r="H207" s="380" t="s">
        <v>1334</v>
      </c>
      <c r="I207" s="380" t="s">
        <v>1335</v>
      </c>
      <c r="J207" s="400" t="s">
        <v>301</v>
      </c>
      <c r="K207" s="491"/>
      <c r="L207" s="474" t="s">
        <v>1621</v>
      </c>
      <c r="M207" s="474" t="s">
        <v>1621</v>
      </c>
      <c r="N207" s="474" t="s">
        <v>1622</v>
      </c>
      <c r="O207" s="381" t="s">
        <v>301</v>
      </c>
      <c r="P207" s="381" t="s">
        <v>301</v>
      </c>
      <c r="Q207" s="381" t="s">
        <v>301</v>
      </c>
      <c r="R207" s="381" t="s">
        <v>301</v>
      </c>
      <c r="S207" s="401" t="s">
        <v>1607</v>
      </c>
      <c r="T207" s="373" t="s">
        <v>271</v>
      </c>
      <c r="U207" s="373" t="s">
        <v>271</v>
      </c>
      <c r="V207" s="379" t="s">
        <v>301</v>
      </c>
      <c r="W207" s="379" t="s">
        <v>301</v>
      </c>
      <c r="X207" s="380"/>
    </row>
    <row r="208">
      <c r="A208" s="494"/>
      <c r="B208" s="495"/>
      <c r="C208" s="494"/>
      <c r="D208" s="495"/>
      <c r="E208" s="495"/>
      <c r="F208" s="494"/>
      <c r="G208" s="496"/>
      <c r="H208" s="495"/>
      <c r="I208" s="495"/>
      <c r="J208" s="497"/>
      <c r="K208" s="494"/>
      <c r="L208" s="498"/>
      <c r="M208" s="498"/>
      <c r="N208" s="380"/>
      <c r="O208" s="396">
        <f t="shared" ref="O208:R208" si="3">COUNTIF(O8:O207,"y")</f>
        <v>197</v>
      </c>
      <c r="P208" s="396">
        <f t="shared" si="3"/>
        <v>197</v>
      </c>
      <c r="Q208" s="396">
        <f t="shared" si="3"/>
        <v>197</v>
      </c>
      <c r="R208" s="396">
        <f t="shared" si="3"/>
        <v>197</v>
      </c>
      <c r="S208" s="487"/>
      <c r="T208" s="396">
        <f t="shared" ref="T208:W208" si="4">COUNTIF(T8:T207,"y")</f>
        <v>190</v>
      </c>
      <c r="U208" s="396">
        <f t="shared" si="4"/>
        <v>190</v>
      </c>
      <c r="V208" s="396">
        <f t="shared" si="4"/>
        <v>197</v>
      </c>
      <c r="W208" s="396">
        <f t="shared" si="4"/>
        <v>197</v>
      </c>
      <c r="X208" s="487"/>
    </row>
    <row r="209">
      <c r="A209" s="499"/>
      <c r="B209" s="461"/>
      <c r="C209" s="499"/>
      <c r="D209" s="461"/>
      <c r="E209" s="461"/>
      <c r="F209" s="499"/>
      <c r="G209" s="50"/>
      <c r="H209" s="461"/>
      <c r="I209" s="461"/>
      <c r="J209" s="500"/>
      <c r="K209" s="499"/>
      <c r="L209" s="88"/>
      <c r="M209" s="88"/>
      <c r="N209" s="387"/>
      <c r="O209" s="402">
        <f t="shared" ref="O209:R209" si="5">COUNTA(O8:O207)</f>
        <v>197</v>
      </c>
      <c r="P209" s="402">
        <f t="shared" si="5"/>
        <v>197</v>
      </c>
      <c r="Q209" s="402">
        <f t="shared" si="5"/>
        <v>197</v>
      </c>
      <c r="R209" s="402">
        <f t="shared" si="5"/>
        <v>197</v>
      </c>
      <c r="S209" s="487"/>
      <c r="T209" s="318">
        <f t="shared" ref="T209:W209" si="6">COUNTA(T8:T184)</f>
        <v>175</v>
      </c>
      <c r="U209" s="318">
        <f t="shared" si="6"/>
        <v>175</v>
      </c>
      <c r="V209" s="318">
        <f t="shared" si="6"/>
        <v>175</v>
      </c>
      <c r="W209" s="318">
        <f t="shared" si="6"/>
        <v>175</v>
      </c>
      <c r="X209" s="487"/>
    </row>
    <row r="210">
      <c r="A210" s="494"/>
      <c r="B210" s="495"/>
      <c r="C210" s="494"/>
      <c r="D210" s="495"/>
      <c r="E210" s="495"/>
      <c r="F210" s="494"/>
      <c r="G210" s="496"/>
      <c r="H210" s="495"/>
      <c r="I210" s="495"/>
      <c r="J210" s="497"/>
      <c r="K210" s="494"/>
      <c r="L210" s="501"/>
      <c r="M210" s="501"/>
      <c r="N210" s="502"/>
      <c r="O210" s="503">
        <f t="shared" ref="O210:R210" si="7">O208/O209</f>
        <v>1</v>
      </c>
      <c r="P210" s="504">
        <f t="shared" si="7"/>
        <v>1</v>
      </c>
      <c r="Q210" s="323">
        <f t="shared" si="7"/>
        <v>1</v>
      </c>
      <c r="R210" s="323">
        <f t="shared" si="7"/>
        <v>1</v>
      </c>
      <c r="S210" s="487"/>
      <c r="T210" s="323">
        <f t="shared" ref="T210:W210" si="8">T208/T209</f>
        <v>1.085714286</v>
      </c>
      <c r="U210" s="323">
        <f t="shared" si="8"/>
        <v>1.085714286</v>
      </c>
      <c r="V210" s="323">
        <f t="shared" si="8"/>
        <v>1.125714286</v>
      </c>
      <c r="W210" s="323">
        <f t="shared" si="8"/>
        <v>1.125714286</v>
      </c>
      <c r="X210" s="487"/>
    </row>
    <row r="211">
      <c r="B211" s="293"/>
      <c r="D211" s="293"/>
      <c r="E211" s="293"/>
      <c r="G211" s="505"/>
      <c r="H211" s="293"/>
      <c r="I211" s="293"/>
      <c r="J211" s="417"/>
      <c r="L211" s="506"/>
      <c r="M211" s="506"/>
      <c r="N211" s="505"/>
      <c r="P211" s="293"/>
      <c r="S211" s="293"/>
      <c r="X211" s="293"/>
    </row>
    <row r="212">
      <c r="B212" s="293"/>
      <c r="D212" s="293"/>
      <c r="E212" s="293"/>
      <c r="G212" s="505"/>
      <c r="H212" s="293"/>
      <c r="I212" s="293"/>
      <c r="J212" s="417"/>
      <c r="L212" s="506"/>
      <c r="M212" s="506"/>
      <c r="N212" s="505"/>
      <c r="P212" s="293"/>
      <c r="S212" s="293"/>
      <c r="X212" s="293"/>
    </row>
    <row r="213">
      <c r="B213" s="293"/>
      <c r="D213" s="293"/>
      <c r="E213" s="293"/>
      <c r="G213" s="505"/>
      <c r="H213" s="293"/>
      <c r="I213" s="293"/>
      <c r="J213" s="417"/>
      <c r="L213" s="506"/>
      <c r="M213" s="506"/>
      <c r="N213" s="505"/>
      <c r="P213" s="293"/>
      <c r="S213" s="293"/>
      <c r="X213" s="293"/>
    </row>
    <row r="214">
      <c r="B214" s="293"/>
      <c r="D214" s="293"/>
      <c r="E214" s="293"/>
      <c r="G214" s="505"/>
      <c r="H214" s="293"/>
      <c r="I214" s="293"/>
      <c r="J214" s="417"/>
      <c r="L214" s="506"/>
      <c r="M214" s="506"/>
      <c r="N214" s="505"/>
      <c r="P214" s="293"/>
      <c r="S214" s="293"/>
      <c r="X214" s="293"/>
    </row>
    <row r="215">
      <c r="B215" s="293"/>
      <c r="D215" s="293"/>
      <c r="E215" s="293"/>
      <c r="G215" s="505"/>
      <c r="H215" s="293"/>
      <c r="I215" s="293"/>
      <c r="J215" s="417"/>
      <c r="L215" s="506"/>
      <c r="M215" s="506"/>
      <c r="N215" s="505"/>
      <c r="P215" s="293"/>
      <c r="S215" s="293"/>
      <c r="X215" s="293"/>
    </row>
    <row r="216">
      <c r="B216" s="293"/>
      <c r="D216" s="293"/>
      <c r="E216" s="293"/>
      <c r="G216" s="505"/>
      <c r="H216" s="293"/>
      <c r="I216" s="293"/>
      <c r="J216" s="417"/>
      <c r="L216" s="506"/>
      <c r="M216" s="506"/>
      <c r="N216" s="505"/>
      <c r="P216" s="293"/>
      <c r="S216" s="293"/>
      <c r="X216" s="293"/>
    </row>
    <row r="217">
      <c r="B217" s="293"/>
      <c r="D217" s="293"/>
      <c r="E217" s="293"/>
      <c r="G217" s="505"/>
      <c r="H217" s="293"/>
      <c r="I217" s="293"/>
      <c r="J217" s="417"/>
      <c r="L217" s="506"/>
      <c r="M217" s="506"/>
      <c r="N217" s="505"/>
      <c r="P217" s="293"/>
      <c r="S217" s="293"/>
      <c r="X217" s="293"/>
    </row>
    <row r="218">
      <c r="B218" s="293"/>
      <c r="D218" s="293"/>
      <c r="E218" s="293"/>
      <c r="G218" s="505"/>
      <c r="H218" s="293"/>
      <c r="I218" s="293"/>
      <c r="J218" s="417"/>
      <c r="L218" s="506"/>
      <c r="M218" s="506"/>
      <c r="N218" s="505"/>
      <c r="P218" s="293"/>
      <c r="S218" s="293"/>
      <c r="X218" s="293"/>
    </row>
    <row r="219">
      <c r="B219" s="293"/>
      <c r="D219" s="293"/>
      <c r="E219" s="293"/>
      <c r="G219" s="505"/>
      <c r="H219" s="293"/>
      <c r="I219" s="293"/>
      <c r="J219" s="417"/>
      <c r="L219" s="506"/>
      <c r="M219" s="506"/>
      <c r="N219" s="505"/>
      <c r="P219" s="293"/>
      <c r="S219" s="293"/>
      <c r="X219" s="293"/>
    </row>
    <row r="220">
      <c r="B220" s="293"/>
      <c r="D220" s="293"/>
      <c r="E220" s="293"/>
      <c r="G220" s="505"/>
      <c r="H220" s="293"/>
      <c r="I220" s="293"/>
      <c r="J220" s="417"/>
      <c r="L220" s="506"/>
      <c r="M220" s="506"/>
      <c r="N220" s="505"/>
      <c r="P220" s="293"/>
      <c r="S220" s="293"/>
      <c r="X220" s="293"/>
    </row>
    <row r="221">
      <c r="B221" s="293"/>
      <c r="D221" s="293"/>
      <c r="E221" s="293"/>
      <c r="G221" s="505"/>
      <c r="H221" s="293"/>
      <c r="I221" s="293"/>
      <c r="J221" s="417"/>
      <c r="L221" s="506"/>
      <c r="M221" s="506"/>
      <c r="N221" s="505"/>
      <c r="P221" s="293"/>
      <c r="S221" s="293"/>
      <c r="X221" s="293"/>
    </row>
    <row r="222">
      <c r="B222" s="293"/>
      <c r="D222" s="293"/>
      <c r="E222" s="293"/>
      <c r="G222" s="505"/>
      <c r="H222" s="293"/>
      <c r="I222" s="293"/>
      <c r="J222" s="417"/>
      <c r="L222" s="506"/>
      <c r="M222" s="506"/>
      <c r="N222" s="505"/>
      <c r="P222" s="293"/>
      <c r="S222" s="293"/>
      <c r="X222" s="293"/>
    </row>
    <row r="223">
      <c r="B223" s="293"/>
      <c r="D223" s="293"/>
      <c r="E223" s="293"/>
      <c r="G223" s="505"/>
      <c r="H223" s="293"/>
      <c r="I223" s="293"/>
      <c r="J223" s="417"/>
      <c r="L223" s="506"/>
      <c r="M223" s="506"/>
      <c r="N223" s="505"/>
      <c r="P223" s="293"/>
      <c r="S223" s="293"/>
      <c r="X223" s="293"/>
    </row>
    <row r="224">
      <c r="B224" s="293"/>
      <c r="D224" s="293"/>
      <c r="E224" s="293"/>
      <c r="G224" s="505"/>
      <c r="H224" s="293"/>
      <c r="I224" s="293"/>
      <c r="J224" s="417"/>
      <c r="L224" s="506"/>
      <c r="M224" s="506"/>
      <c r="N224" s="505"/>
      <c r="P224" s="293"/>
      <c r="S224" s="293"/>
      <c r="X224" s="293"/>
    </row>
    <row r="225">
      <c r="B225" s="293"/>
      <c r="D225" s="293"/>
      <c r="E225" s="293"/>
      <c r="G225" s="505"/>
      <c r="H225" s="293"/>
      <c r="I225" s="293"/>
      <c r="J225" s="417"/>
      <c r="L225" s="506"/>
      <c r="M225" s="506"/>
      <c r="N225" s="505"/>
      <c r="P225" s="293"/>
      <c r="S225" s="293"/>
      <c r="X225" s="293"/>
    </row>
    <row r="226">
      <c r="B226" s="293"/>
      <c r="D226" s="293"/>
      <c r="E226" s="293"/>
      <c r="G226" s="505"/>
      <c r="H226" s="293"/>
      <c r="I226" s="293"/>
      <c r="J226" s="417"/>
      <c r="L226" s="506"/>
      <c r="M226" s="506"/>
      <c r="N226" s="505"/>
      <c r="P226" s="293"/>
      <c r="S226" s="293"/>
      <c r="X226" s="293"/>
    </row>
    <row r="227">
      <c r="B227" s="293"/>
      <c r="D227" s="293"/>
      <c r="E227" s="293"/>
      <c r="G227" s="505"/>
      <c r="H227" s="293"/>
      <c r="I227" s="293"/>
      <c r="J227" s="417"/>
      <c r="L227" s="506"/>
      <c r="M227" s="506"/>
      <c r="N227" s="505"/>
      <c r="P227" s="293"/>
      <c r="S227" s="293"/>
      <c r="X227" s="293"/>
    </row>
    <row r="228">
      <c r="B228" s="293"/>
      <c r="D228" s="293"/>
      <c r="E228" s="293"/>
      <c r="G228" s="505"/>
      <c r="H228" s="293"/>
      <c r="I228" s="293"/>
      <c r="J228" s="417"/>
      <c r="L228" s="506"/>
      <c r="M228" s="506"/>
      <c r="N228" s="505"/>
      <c r="P228" s="293"/>
      <c r="S228" s="293"/>
      <c r="X228" s="293"/>
    </row>
    <row r="229">
      <c r="B229" s="293"/>
      <c r="D229" s="293"/>
      <c r="E229" s="293"/>
      <c r="G229" s="505"/>
      <c r="H229" s="293"/>
      <c r="I229" s="293"/>
      <c r="J229" s="417"/>
      <c r="L229" s="506"/>
      <c r="M229" s="506"/>
      <c r="N229" s="505"/>
      <c r="P229" s="293"/>
      <c r="S229" s="293"/>
      <c r="X229" s="293"/>
    </row>
    <row r="230">
      <c r="B230" s="293"/>
      <c r="D230" s="293"/>
      <c r="E230" s="293"/>
      <c r="G230" s="505"/>
      <c r="H230" s="293"/>
      <c r="I230" s="293"/>
      <c r="J230" s="417"/>
      <c r="L230" s="506"/>
      <c r="M230" s="506"/>
      <c r="N230" s="505"/>
      <c r="P230" s="293"/>
      <c r="S230" s="293"/>
      <c r="X230" s="293"/>
    </row>
    <row r="231">
      <c r="B231" s="293"/>
      <c r="D231" s="293"/>
      <c r="E231" s="293"/>
      <c r="G231" s="505"/>
      <c r="H231" s="293"/>
      <c r="I231" s="293"/>
      <c r="J231" s="417"/>
      <c r="L231" s="506"/>
      <c r="M231" s="506"/>
      <c r="N231" s="505"/>
      <c r="P231" s="293"/>
      <c r="S231" s="293"/>
      <c r="X231" s="293"/>
    </row>
    <row r="232">
      <c r="B232" s="293"/>
      <c r="D232" s="293"/>
      <c r="E232" s="293"/>
      <c r="G232" s="505"/>
      <c r="H232" s="293"/>
      <c r="I232" s="293"/>
      <c r="J232" s="417"/>
      <c r="L232" s="506"/>
      <c r="M232" s="506"/>
      <c r="N232" s="505"/>
      <c r="P232" s="293"/>
      <c r="S232" s="293"/>
      <c r="X232" s="293"/>
    </row>
    <row r="233">
      <c r="B233" s="293"/>
      <c r="D233" s="293"/>
      <c r="E233" s="293"/>
      <c r="G233" s="505"/>
      <c r="H233" s="293"/>
      <c r="I233" s="293"/>
      <c r="J233" s="417"/>
      <c r="L233" s="506"/>
      <c r="M233" s="506"/>
      <c r="N233" s="505"/>
      <c r="P233" s="293"/>
      <c r="S233" s="293"/>
      <c r="X233" s="293"/>
    </row>
    <row r="234">
      <c r="B234" s="293"/>
      <c r="D234" s="293"/>
      <c r="E234" s="293"/>
      <c r="G234" s="505"/>
      <c r="H234" s="293"/>
      <c r="I234" s="293"/>
      <c r="J234" s="417"/>
      <c r="L234" s="506"/>
      <c r="M234" s="506"/>
      <c r="N234" s="505"/>
      <c r="P234" s="293"/>
      <c r="S234" s="293"/>
      <c r="X234" s="293"/>
    </row>
    <row r="235">
      <c r="B235" s="293"/>
      <c r="D235" s="293"/>
      <c r="E235" s="293"/>
      <c r="G235" s="505"/>
      <c r="H235" s="293"/>
      <c r="I235" s="293"/>
      <c r="J235" s="417"/>
      <c r="L235" s="506"/>
      <c r="M235" s="506"/>
      <c r="N235" s="505"/>
      <c r="P235" s="293"/>
      <c r="S235" s="293"/>
      <c r="X235" s="293"/>
    </row>
    <row r="236">
      <c r="B236" s="293"/>
      <c r="D236" s="293"/>
      <c r="E236" s="293"/>
      <c r="G236" s="505"/>
      <c r="H236" s="293"/>
      <c r="I236" s="293"/>
      <c r="J236" s="417"/>
      <c r="L236" s="506"/>
      <c r="M236" s="506"/>
      <c r="N236" s="505"/>
      <c r="P236" s="293"/>
      <c r="S236" s="293"/>
      <c r="X236" s="293"/>
    </row>
    <row r="237">
      <c r="B237" s="293"/>
      <c r="D237" s="293"/>
      <c r="E237" s="293"/>
      <c r="G237" s="505"/>
      <c r="H237" s="293"/>
      <c r="I237" s="293"/>
      <c r="J237" s="417"/>
      <c r="L237" s="506"/>
      <c r="M237" s="506"/>
      <c r="N237" s="505"/>
      <c r="P237" s="293"/>
      <c r="S237" s="293"/>
      <c r="X237" s="293"/>
    </row>
    <row r="238">
      <c r="B238" s="293"/>
      <c r="D238" s="293"/>
      <c r="E238" s="293"/>
      <c r="G238" s="505"/>
      <c r="H238" s="293"/>
      <c r="I238" s="293"/>
      <c r="J238" s="417"/>
      <c r="L238" s="506"/>
      <c r="M238" s="506"/>
      <c r="N238" s="505"/>
      <c r="P238" s="293"/>
      <c r="S238" s="293"/>
      <c r="X238" s="293"/>
    </row>
    <row r="239">
      <c r="B239" s="293"/>
      <c r="D239" s="293"/>
      <c r="E239" s="293"/>
      <c r="G239" s="505"/>
      <c r="H239" s="293"/>
      <c r="I239" s="293"/>
      <c r="J239" s="417"/>
      <c r="L239" s="506"/>
      <c r="M239" s="506"/>
      <c r="N239" s="505"/>
      <c r="P239" s="293"/>
      <c r="S239" s="293"/>
      <c r="X239" s="293"/>
    </row>
    <row r="240">
      <c r="B240" s="293"/>
      <c r="D240" s="293"/>
      <c r="E240" s="293"/>
      <c r="G240" s="505"/>
      <c r="H240" s="293"/>
      <c r="I240" s="293"/>
      <c r="J240" s="417"/>
      <c r="L240" s="506"/>
      <c r="M240" s="506"/>
      <c r="N240" s="505"/>
      <c r="P240" s="293"/>
      <c r="S240" s="293"/>
      <c r="X240" s="293"/>
    </row>
    <row r="241">
      <c r="B241" s="293"/>
      <c r="D241" s="293"/>
      <c r="E241" s="293"/>
      <c r="G241" s="505"/>
      <c r="H241" s="293"/>
      <c r="I241" s="293"/>
      <c r="J241" s="417"/>
      <c r="L241" s="506"/>
      <c r="M241" s="506"/>
      <c r="N241" s="505"/>
      <c r="P241" s="293"/>
      <c r="S241" s="293"/>
      <c r="X241" s="293"/>
    </row>
    <row r="242">
      <c r="B242" s="293"/>
      <c r="D242" s="293"/>
      <c r="E242" s="293"/>
      <c r="G242" s="505"/>
      <c r="H242" s="293"/>
      <c r="I242" s="293"/>
      <c r="J242" s="417"/>
      <c r="L242" s="506"/>
      <c r="M242" s="506"/>
      <c r="N242" s="505"/>
      <c r="P242" s="293"/>
      <c r="S242" s="293"/>
      <c r="X242" s="293"/>
    </row>
    <row r="243">
      <c r="B243" s="293"/>
      <c r="D243" s="293"/>
      <c r="E243" s="293"/>
      <c r="G243" s="505"/>
      <c r="H243" s="293"/>
      <c r="I243" s="293"/>
      <c r="J243" s="417"/>
      <c r="L243" s="506"/>
      <c r="M243" s="506"/>
      <c r="N243" s="505"/>
      <c r="P243" s="293"/>
      <c r="S243" s="293"/>
      <c r="X243" s="293"/>
    </row>
    <row r="244">
      <c r="B244" s="293"/>
      <c r="D244" s="293"/>
      <c r="E244" s="293"/>
      <c r="G244" s="505"/>
      <c r="H244" s="293"/>
      <c r="I244" s="293"/>
      <c r="J244" s="417"/>
      <c r="L244" s="506"/>
      <c r="M244" s="506"/>
      <c r="N244" s="505"/>
      <c r="P244" s="293"/>
      <c r="S244" s="293"/>
      <c r="X244" s="293"/>
    </row>
    <row r="245">
      <c r="B245" s="293"/>
      <c r="D245" s="293"/>
      <c r="E245" s="293"/>
      <c r="G245" s="505"/>
      <c r="H245" s="293"/>
      <c r="I245" s="293"/>
      <c r="J245" s="417"/>
      <c r="L245" s="506"/>
      <c r="M245" s="506"/>
      <c r="N245" s="505"/>
      <c r="P245" s="293"/>
      <c r="S245" s="293"/>
      <c r="X245" s="293"/>
    </row>
    <row r="246">
      <c r="B246" s="293"/>
      <c r="D246" s="293"/>
      <c r="E246" s="293"/>
      <c r="G246" s="505"/>
      <c r="H246" s="293"/>
      <c r="I246" s="293"/>
      <c r="J246" s="417"/>
      <c r="L246" s="506"/>
      <c r="M246" s="506"/>
      <c r="N246" s="505"/>
      <c r="P246" s="293"/>
      <c r="S246" s="293"/>
      <c r="X246" s="293"/>
    </row>
    <row r="247">
      <c r="B247" s="293"/>
      <c r="D247" s="293"/>
      <c r="E247" s="293"/>
      <c r="G247" s="505"/>
      <c r="H247" s="293"/>
      <c r="I247" s="293"/>
      <c r="J247" s="417"/>
      <c r="L247" s="506"/>
      <c r="M247" s="506"/>
      <c r="N247" s="505"/>
      <c r="P247" s="293"/>
      <c r="S247" s="293"/>
      <c r="X247" s="293"/>
    </row>
    <row r="248">
      <c r="B248" s="293"/>
      <c r="D248" s="293"/>
      <c r="E248" s="293"/>
      <c r="G248" s="505"/>
      <c r="H248" s="293"/>
      <c r="I248" s="293"/>
      <c r="J248" s="417"/>
      <c r="L248" s="506"/>
      <c r="M248" s="506"/>
      <c r="N248" s="505"/>
      <c r="P248" s="293"/>
      <c r="S248" s="293"/>
      <c r="X248" s="293"/>
    </row>
    <row r="249">
      <c r="B249" s="293"/>
      <c r="D249" s="293"/>
      <c r="E249" s="293"/>
      <c r="G249" s="505"/>
      <c r="H249" s="293"/>
      <c r="I249" s="293"/>
      <c r="J249" s="417"/>
      <c r="L249" s="506"/>
      <c r="M249" s="506"/>
      <c r="N249" s="505"/>
      <c r="P249" s="293"/>
      <c r="S249" s="293"/>
      <c r="X249" s="293"/>
    </row>
    <row r="250">
      <c r="B250" s="293"/>
      <c r="D250" s="293"/>
      <c r="E250" s="293"/>
      <c r="G250" s="505"/>
      <c r="H250" s="293"/>
      <c r="I250" s="293"/>
      <c r="J250" s="417"/>
      <c r="L250" s="506"/>
      <c r="M250" s="506"/>
      <c r="N250" s="505"/>
      <c r="P250" s="293"/>
      <c r="S250" s="293"/>
      <c r="X250" s="293"/>
    </row>
    <row r="251">
      <c r="B251" s="293"/>
      <c r="D251" s="293"/>
      <c r="E251" s="293"/>
      <c r="G251" s="505"/>
      <c r="H251" s="293"/>
      <c r="I251" s="293"/>
      <c r="J251" s="417"/>
      <c r="L251" s="506"/>
      <c r="M251" s="506"/>
      <c r="N251" s="505"/>
      <c r="P251" s="293"/>
      <c r="S251" s="293"/>
      <c r="X251" s="293"/>
    </row>
    <row r="252">
      <c r="B252" s="293"/>
      <c r="D252" s="293"/>
      <c r="E252" s="293"/>
      <c r="G252" s="505"/>
      <c r="H252" s="293"/>
      <c r="I252" s="293"/>
      <c r="J252" s="417"/>
      <c r="L252" s="506"/>
      <c r="M252" s="506"/>
      <c r="N252" s="505"/>
      <c r="P252" s="293"/>
      <c r="S252" s="293"/>
      <c r="X252" s="293"/>
    </row>
    <row r="253">
      <c r="B253" s="293"/>
      <c r="D253" s="293"/>
      <c r="E253" s="293"/>
      <c r="G253" s="505"/>
      <c r="H253" s="293"/>
      <c r="I253" s="293"/>
      <c r="J253" s="417"/>
      <c r="L253" s="506"/>
      <c r="M253" s="506"/>
      <c r="N253" s="505"/>
      <c r="P253" s="293"/>
      <c r="S253" s="293"/>
      <c r="X253" s="293"/>
    </row>
    <row r="254">
      <c r="B254" s="293"/>
      <c r="D254" s="293"/>
      <c r="E254" s="293"/>
      <c r="G254" s="505"/>
      <c r="H254" s="293"/>
      <c r="I254" s="293"/>
      <c r="J254" s="417"/>
      <c r="L254" s="506"/>
      <c r="M254" s="506"/>
      <c r="N254" s="505"/>
      <c r="P254" s="293"/>
      <c r="S254" s="293"/>
      <c r="X254" s="293"/>
    </row>
    <row r="255">
      <c r="B255" s="293"/>
      <c r="D255" s="293"/>
      <c r="E255" s="293"/>
      <c r="G255" s="505"/>
      <c r="H255" s="293"/>
      <c r="I255" s="293"/>
      <c r="J255" s="417"/>
      <c r="L255" s="506"/>
      <c r="M255" s="506"/>
      <c r="N255" s="505"/>
      <c r="P255" s="293"/>
      <c r="S255" s="293"/>
      <c r="X255" s="293"/>
    </row>
    <row r="256">
      <c r="B256" s="293"/>
      <c r="D256" s="293"/>
      <c r="E256" s="293"/>
      <c r="G256" s="505"/>
      <c r="H256" s="293"/>
      <c r="I256" s="293"/>
      <c r="J256" s="417"/>
      <c r="L256" s="506"/>
      <c r="M256" s="506"/>
      <c r="N256" s="505"/>
      <c r="P256" s="293"/>
      <c r="S256" s="293"/>
      <c r="X256" s="293"/>
    </row>
    <row r="257">
      <c r="B257" s="293"/>
      <c r="D257" s="293"/>
      <c r="E257" s="293"/>
      <c r="G257" s="505"/>
      <c r="H257" s="293"/>
      <c r="I257" s="293"/>
      <c r="J257" s="417"/>
      <c r="L257" s="506"/>
      <c r="M257" s="506"/>
      <c r="N257" s="505"/>
      <c r="P257" s="293"/>
      <c r="S257" s="293"/>
      <c r="X257" s="293"/>
    </row>
    <row r="258">
      <c r="B258" s="293"/>
      <c r="D258" s="293"/>
      <c r="E258" s="293"/>
      <c r="G258" s="505"/>
      <c r="H258" s="293"/>
      <c r="I258" s="293"/>
      <c r="J258" s="417"/>
      <c r="L258" s="506"/>
      <c r="M258" s="506"/>
      <c r="N258" s="505"/>
      <c r="P258" s="293"/>
      <c r="S258" s="293"/>
      <c r="X258" s="293"/>
    </row>
    <row r="259">
      <c r="B259" s="293"/>
      <c r="D259" s="293"/>
      <c r="E259" s="293"/>
      <c r="G259" s="505"/>
      <c r="H259" s="293"/>
      <c r="I259" s="293"/>
      <c r="J259" s="417"/>
      <c r="L259" s="506"/>
      <c r="M259" s="506"/>
      <c r="N259" s="505"/>
      <c r="P259" s="293"/>
      <c r="S259" s="293"/>
      <c r="X259" s="293"/>
    </row>
    <row r="260">
      <c r="B260" s="293"/>
      <c r="D260" s="293"/>
      <c r="E260" s="293"/>
      <c r="G260" s="505"/>
      <c r="H260" s="293"/>
      <c r="I260" s="293"/>
      <c r="J260" s="417"/>
      <c r="L260" s="506"/>
      <c r="M260" s="506"/>
      <c r="N260" s="505"/>
      <c r="P260" s="293"/>
      <c r="S260" s="293"/>
      <c r="X260" s="293"/>
    </row>
    <row r="261">
      <c r="B261" s="293"/>
      <c r="D261" s="293"/>
      <c r="E261" s="293"/>
      <c r="G261" s="505"/>
      <c r="H261" s="293"/>
      <c r="I261" s="293"/>
      <c r="J261" s="417"/>
      <c r="L261" s="506"/>
      <c r="M261" s="506"/>
      <c r="N261" s="505"/>
      <c r="P261" s="293"/>
      <c r="S261" s="293"/>
      <c r="X261" s="293"/>
    </row>
    <row r="262">
      <c r="B262" s="293"/>
      <c r="D262" s="293"/>
      <c r="E262" s="293"/>
      <c r="G262" s="505"/>
      <c r="H262" s="293"/>
      <c r="I262" s="293"/>
      <c r="J262" s="417"/>
      <c r="L262" s="506"/>
      <c r="M262" s="506"/>
      <c r="N262" s="505"/>
      <c r="P262" s="293"/>
      <c r="S262" s="293"/>
      <c r="X262" s="293"/>
    </row>
    <row r="263">
      <c r="B263" s="293"/>
      <c r="D263" s="293"/>
      <c r="E263" s="293"/>
      <c r="G263" s="505"/>
      <c r="H263" s="293"/>
      <c r="I263" s="293"/>
      <c r="J263" s="417"/>
      <c r="L263" s="506"/>
      <c r="M263" s="506"/>
      <c r="N263" s="505"/>
      <c r="P263" s="293"/>
      <c r="S263" s="293"/>
      <c r="X263" s="293"/>
    </row>
    <row r="264">
      <c r="B264" s="293"/>
      <c r="D264" s="293"/>
      <c r="E264" s="293"/>
      <c r="G264" s="505"/>
      <c r="H264" s="293"/>
      <c r="I264" s="293"/>
      <c r="J264" s="417"/>
      <c r="L264" s="506"/>
      <c r="M264" s="506"/>
      <c r="N264" s="505"/>
      <c r="P264" s="293"/>
      <c r="S264" s="293"/>
      <c r="X264" s="293"/>
    </row>
    <row r="265">
      <c r="B265" s="293"/>
      <c r="D265" s="293"/>
      <c r="E265" s="293"/>
      <c r="G265" s="505"/>
      <c r="H265" s="293"/>
      <c r="I265" s="293"/>
      <c r="J265" s="417"/>
      <c r="L265" s="506"/>
      <c r="M265" s="506"/>
      <c r="N265" s="505"/>
      <c r="P265" s="293"/>
      <c r="S265" s="293"/>
      <c r="X265" s="293"/>
    </row>
    <row r="266">
      <c r="B266" s="293"/>
      <c r="D266" s="293"/>
      <c r="E266" s="293"/>
      <c r="G266" s="505"/>
      <c r="H266" s="293"/>
      <c r="I266" s="293"/>
      <c r="J266" s="417"/>
      <c r="L266" s="506"/>
      <c r="M266" s="506"/>
      <c r="N266" s="505"/>
      <c r="P266" s="293"/>
      <c r="S266" s="293"/>
      <c r="X266" s="293"/>
    </row>
    <row r="267">
      <c r="B267" s="293"/>
      <c r="D267" s="293"/>
      <c r="E267" s="293"/>
      <c r="G267" s="505"/>
      <c r="H267" s="293"/>
      <c r="I267" s="293"/>
      <c r="J267" s="417"/>
      <c r="L267" s="506"/>
      <c r="M267" s="506"/>
      <c r="N267" s="505"/>
      <c r="P267" s="293"/>
      <c r="S267" s="293"/>
      <c r="X267" s="293"/>
    </row>
    <row r="268">
      <c r="B268" s="293"/>
      <c r="D268" s="293"/>
      <c r="E268" s="293"/>
      <c r="G268" s="505"/>
      <c r="H268" s="293"/>
      <c r="I268" s="293"/>
      <c r="J268" s="417"/>
      <c r="L268" s="506"/>
      <c r="M268" s="506"/>
      <c r="N268" s="505"/>
      <c r="P268" s="293"/>
      <c r="S268" s="293"/>
      <c r="X268" s="293"/>
    </row>
    <row r="269">
      <c r="B269" s="293"/>
      <c r="D269" s="293"/>
      <c r="E269" s="293"/>
      <c r="G269" s="505"/>
      <c r="H269" s="293"/>
      <c r="I269" s="293"/>
      <c r="J269" s="417"/>
      <c r="L269" s="506"/>
      <c r="M269" s="506"/>
      <c r="N269" s="505"/>
      <c r="P269" s="293"/>
      <c r="S269" s="293"/>
      <c r="X269" s="293"/>
    </row>
    <row r="270">
      <c r="B270" s="293"/>
      <c r="D270" s="293"/>
      <c r="E270" s="293"/>
      <c r="G270" s="505"/>
      <c r="H270" s="293"/>
      <c r="I270" s="293"/>
      <c r="J270" s="417"/>
      <c r="L270" s="506"/>
      <c r="M270" s="506"/>
      <c r="N270" s="505"/>
      <c r="P270" s="293"/>
      <c r="S270" s="293"/>
      <c r="X270" s="293"/>
    </row>
    <row r="271">
      <c r="B271" s="293"/>
      <c r="D271" s="293"/>
      <c r="E271" s="293"/>
      <c r="G271" s="505"/>
      <c r="H271" s="293"/>
      <c r="I271" s="293"/>
      <c r="J271" s="417"/>
      <c r="L271" s="506"/>
      <c r="M271" s="506"/>
      <c r="N271" s="505"/>
      <c r="P271" s="293"/>
      <c r="S271" s="293"/>
      <c r="X271" s="293"/>
    </row>
    <row r="272">
      <c r="B272" s="293"/>
      <c r="D272" s="293"/>
      <c r="E272" s="293"/>
      <c r="G272" s="505"/>
      <c r="H272" s="293"/>
      <c r="I272" s="293"/>
      <c r="J272" s="417"/>
      <c r="L272" s="506"/>
      <c r="M272" s="506"/>
      <c r="N272" s="505"/>
      <c r="P272" s="293"/>
      <c r="S272" s="293"/>
      <c r="X272" s="293"/>
    </row>
    <row r="273">
      <c r="B273" s="293"/>
      <c r="D273" s="293"/>
      <c r="E273" s="293"/>
      <c r="G273" s="505"/>
      <c r="H273" s="293"/>
      <c r="I273" s="293"/>
      <c r="J273" s="417"/>
      <c r="L273" s="506"/>
      <c r="M273" s="506"/>
      <c r="N273" s="505"/>
      <c r="P273" s="293"/>
      <c r="S273" s="293"/>
      <c r="X273" s="293"/>
    </row>
    <row r="274">
      <c r="B274" s="293"/>
      <c r="D274" s="293"/>
      <c r="E274" s="293"/>
      <c r="G274" s="505"/>
      <c r="H274" s="293"/>
      <c r="I274" s="293"/>
      <c r="J274" s="417"/>
      <c r="L274" s="506"/>
      <c r="M274" s="506"/>
      <c r="N274" s="505"/>
      <c r="P274" s="293"/>
      <c r="S274" s="293"/>
      <c r="X274" s="293"/>
    </row>
    <row r="275">
      <c r="B275" s="293"/>
      <c r="D275" s="293"/>
      <c r="E275" s="293"/>
      <c r="G275" s="505"/>
      <c r="H275" s="293"/>
      <c r="I275" s="293"/>
      <c r="J275" s="417"/>
      <c r="L275" s="506"/>
      <c r="M275" s="506"/>
      <c r="N275" s="505"/>
      <c r="P275" s="293"/>
      <c r="S275" s="293"/>
      <c r="X275" s="293"/>
    </row>
    <row r="276">
      <c r="B276" s="293"/>
      <c r="D276" s="293"/>
      <c r="E276" s="293"/>
      <c r="G276" s="505"/>
      <c r="H276" s="293"/>
      <c r="I276" s="293"/>
      <c r="J276" s="417"/>
      <c r="L276" s="506"/>
      <c r="M276" s="506"/>
      <c r="N276" s="505"/>
      <c r="P276" s="293"/>
      <c r="S276" s="293"/>
      <c r="X276" s="293"/>
    </row>
    <row r="277">
      <c r="B277" s="293"/>
      <c r="D277" s="293"/>
      <c r="E277" s="293"/>
      <c r="G277" s="505"/>
      <c r="H277" s="293"/>
      <c r="I277" s="293"/>
      <c r="J277" s="417"/>
      <c r="L277" s="506"/>
      <c r="M277" s="506"/>
      <c r="N277" s="505"/>
      <c r="P277" s="293"/>
      <c r="S277" s="293"/>
      <c r="X277" s="293"/>
    </row>
    <row r="278">
      <c r="B278" s="293"/>
      <c r="D278" s="293"/>
      <c r="E278" s="293"/>
      <c r="G278" s="505"/>
      <c r="H278" s="293"/>
      <c r="I278" s="293"/>
      <c r="J278" s="417"/>
      <c r="L278" s="506"/>
      <c r="M278" s="506"/>
      <c r="N278" s="505"/>
      <c r="P278" s="293"/>
      <c r="S278" s="293"/>
      <c r="X278" s="293"/>
    </row>
    <row r="279">
      <c r="B279" s="293"/>
      <c r="D279" s="293"/>
      <c r="E279" s="293"/>
      <c r="G279" s="505"/>
      <c r="H279" s="293"/>
      <c r="I279" s="293"/>
      <c r="J279" s="417"/>
      <c r="L279" s="506"/>
      <c r="M279" s="506"/>
      <c r="N279" s="505"/>
      <c r="P279" s="293"/>
      <c r="S279" s="293"/>
      <c r="X279" s="293"/>
    </row>
    <row r="280">
      <c r="B280" s="293"/>
      <c r="D280" s="293"/>
      <c r="E280" s="293"/>
      <c r="G280" s="505"/>
      <c r="H280" s="293"/>
      <c r="I280" s="293"/>
      <c r="J280" s="417"/>
      <c r="L280" s="506"/>
      <c r="M280" s="506"/>
      <c r="N280" s="505"/>
      <c r="P280" s="293"/>
      <c r="S280" s="293"/>
      <c r="X280" s="293"/>
    </row>
    <row r="281">
      <c r="B281" s="293"/>
      <c r="D281" s="293"/>
      <c r="E281" s="293"/>
      <c r="G281" s="505"/>
      <c r="H281" s="293"/>
      <c r="I281" s="293"/>
      <c r="J281" s="417"/>
      <c r="L281" s="506"/>
      <c r="M281" s="506"/>
      <c r="N281" s="505"/>
      <c r="P281" s="293"/>
      <c r="S281" s="293"/>
      <c r="X281" s="293"/>
    </row>
    <row r="282">
      <c r="B282" s="293"/>
      <c r="D282" s="293"/>
      <c r="E282" s="293"/>
      <c r="G282" s="505"/>
      <c r="H282" s="293"/>
      <c r="I282" s="293"/>
      <c r="J282" s="417"/>
      <c r="L282" s="506"/>
      <c r="M282" s="506"/>
      <c r="N282" s="505"/>
      <c r="P282" s="293"/>
      <c r="S282" s="293"/>
      <c r="X282" s="293"/>
    </row>
    <row r="283">
      <c r="B283" s="293"/>
      <c r="D283" s="293"/>
      <c r="E283" s="293"/>
      <c r="G283" s="505"/>
      <c r="H283" s="293"/>
      <c r="I283" s="293"/>
      <c r="J283" s="417"/>
      <c r="L283" s="506"/>
      <c r="M283" s="506"/>
      <c r="N283" s="505"/>
      <c r="P283" s="293"/>
      <c r="S283" s="293"/>
      <c r="X283" s="293"/>
    </row>
    <row r="284">
      <c r="B284" s="293"/>
      <c r="D284" s="293"/>
      <c r="E284" s="293"/>
      <c r="G284" s="505"/>
      <c r="H284" s="293"/>
      <c r="I284" s="293"/>
      <c r="J284" s="417"/>
      <c r="L284" s="506"/>
      <c r="M284" s="506"/>
      <c r="N284" s="505"/>
      <c r="P284" s="293"/>
      <c r="S284" s="293"/>
      <c r="X284" s="293"/>
    </row>
    <row r="285">
      <c r="B285" s="293"/>
      <c r="D285" s="293"/>
      <c r="E285" s="293"/>
      <c r="G285" s="505"/>
      <c r="H285" s="293"/>
      <c r="I285" s="293"/>
      <c r="J285" s="417"/>
      <c r="L285" s="506"/>
      <c r="M285" s="506"/>
      <c r="N285" s="505"/>
      <c r="P285" s="293"/>
      <c r="S285" s="293"/>
      <c r="X285" s="293"/>
    </row>
    <row r="286">
      <c r="B286" s="293"/>
      <c r="D286" s="293"/>
      <c r="E286" s="293"/>
      <c r="G286" s="505"/>
      <c r="H286" s="293"/>
      <c r="I286" s="293"/>
      <c r="J286" s="417"/>
      <c r="L286" s="506"/>
      <c r="M286" s="506"/>
      <c r="N286" s="505"/>
      <c r="P286" s="293"/>
      <c r="S286" s="293"/>
      <c r="X286" s="293"/>
    </row>
    <row r="287">
      <c r="B287" s="293"/>
      <c r="D287" s="293"/>
      <c r="E287" s="293"/>
      <c r="G287" s="505"/>
      <c r="H287" s="293"/>
      <c r="I287" s="293"/>
      <c r="J287" s="417"/>
      <c r="L287" s="506"/>
      <c r="M287" s="506"/>
      <c r="N287" s="505"/>
      <c r="P287" s="293"/>
      <c r="S287" s="293"/>
      <c r="X287" s="293"/>
    </row>
    <row r="288">
      <c r="B288" s="293"/>
      <c r="D288" s="293"/>
      <c r="E288" s="293"/>
      <c r="G288" s="505"/>
      <c r="H288" s="293"/>
      <c r="I288" s="293"/>
      <c r="J288" s="417"/>
      <c r="L288" s="506"/>
      <c r="M288" s="506"/>
      <c r="N288" s="505"/>
      <c r="P288" s="293"/>
      <c r="S288" s="293"/>
      <c r="X288" s="293"/>
    </row>
    <row r="289">
      <c r="B289" s="293"/>
      <c r="D289" s="293"/>
      <c r="E289" s="293"/>
      <c r="G289" s="505"/>
      <c r="H289" s="293"/>
      <c r="I289" s="293"/>
      <c r="J289" s="417"/>
      <c r="L289" s="506"/>
      <c r="M289" s="506"/>
      <c r="N289" s="505"/>
      <c r="P289" s="293"/>
      <c r="S289" s="293"/>
      <c r="X289" s="293"/>
    </row>
    <row r="290">
      <c r="B290" s="293"/>
      <c r="D290" s="293"/>
      <c r="E290" s="293"/>
      <c r="G290" s="505"/>
      <c r="H290" s="293"/>
      <c r="I290" s="293"/>
      <c r="J290" s="417"/>
      <c r="L290" s="506"/>
      <c r="M290" s="506"/>
      <c r="N290" s="505"/>
      <c r="P290" s="293"/>
      <c r="S290" s="293"/>
      <c r="X290" s="293"/>
    </row>
    <row r="291">
      <c r="B291" s="293"/>
      <c r="D291" s="293"/>
      <c r="E291" s="293"/>
      <c r="G291" s="505"/>
      <c r="H291" s="293"/>
      <c r="I291" s="293"/>
      <c r="J291" s="417"/>
      <c r="L291" s="506"/>
      <c r="M291" s="506"/>
      <c r="N291" s="505"/>
      <c r="P291" s="293"/>
      <c r="S291" s="293"/>
      <c r="X291" s="293"/>
    </row>
    <row r="292">
      <c r="B292" s="293"/>
      <c r="D292" s="293"/>
      <c r="E292" s="293"/>
      <c r="G292" s="505"/>
      <c r="H292" s="293"/>
      <c r="I292" s="293"/>
      <c r="J292" s="417"/>
      <c r="L292" s="506"/>
      <c r="M292" s="506"/>
      <c r="N292" s="505"/>
      <c r="P292" s="293"/>
      <c r="S292" s="293"/>
      <c r="X292" s="293"/>
    </row>
    <row r="293">
      <c r="B293" s="293"/>
      <c r="D293" s="293"/>
      <c r="E293" s="293"/>
      <c r="G293" s="505"/>
      <c r="H293" s="293"/>
      <c r="I293" s="293"/>
      <c r="J293" s="417"/>
      <c r="L293" s="506"/>
      <c r="M293" s="506"/>
      <c r="N293" s="505"/>
      <c r="P293" s="293"/>
      <c r="S293" s="293"/>
      <c r="X293" s="293"/>
    </row>
    <row r="294">
      <c r="B294" s="293"/>
      <c r="D294" s="293"/>
      <c r="E294" s="293"/>
      <c r="G294" s="505"/>
      <c r="H294" s="293"/>
      <c r="I294" s="293"/>
      <c r="J294" s="417"/>
      <c r="L294" s="506"/>
      <c r="M294" s="506"/>
      <c r="N294" s="505"/>
      <c r="P294" s="293"/>
      <c r="S294" s="293"/>
      <c r="X294" s="293"/>
    </row>
    <row r="295">
      <c r="B295" s="293"/>
      <c r="D295" s="293"/>
      <c r="E295" s="293"/>
      <c r="G295" s="505"/>
      <c r="H295" s="293"/>
      <c r="I295" s="293"/>
      <c r="J295" s="417"/>
      <c r="L295" s="506"/>
      <c r="M295" s="506"/>
      <c r="N295" s="505"/>
      <c r="P295" s="293"/>
      <c r="S295" s="293"/>
      <c r="X295" s="293"/>
    </row>
    <row r="296">
      <c r="B296" s="293"/>
      <c r="D296" s="293"/>
      <c r="E296" s="293"/>
      <c r="G296" s="505"/>
      <c r="H296" s="293"/>
      <c r="I296" s="293"/>
      <c r="J296" s="417"/>
      <c r="L296" s="506"/>
      <c r="M296" s="506"/>
      <c r="N296" s="505"/>
      <c r="P296" s="293"/>
      <c r="S296" s="293"/>
      <c r="X296" s="293"/>
    </row>
    <row r="297">
      <c r="B297" s="293"/>
      <c r="D297" s="293"/>
      <c r="E297" s="293"/>
      <c r="G297" s="505"/>
      <c r="H297" s="293"/>
      <c r="I297" s="293"/>
      <c r="J297" s="417"/>
      <c r="L297" s="506"/>
      <c r="M297" s="506"/>
      <c r="N297" s="505"/>
      <c r="P297" s="293"/>
      <c r="S297" s="293"/>
      <c r="X297" s="293"/>
    </row>
    <row r="298">
      <c r="B298" s="293"/>
      <c r="D298" s="293"/>
      <c r="E298" s="293"/>
      <c r="G298" s="505"/>
      <c r="H298" s="293"/>
      <c r="I298" s="293"/>
      <c r="J298" s="417"/>
      <c r="L298" s="506"/>
      <c r="M298" s="506"/>
      <c r="N298" s="505"/>
      <c r="P298" s="293"/>
      <c r="S298" s="293"/>
      <c r="X298" s="293"/>
    </row>
    <row r="299">
      <c r="B299" s="293"/>
      <c r="D299" s="293"/>
      <c r="E299" s="293"/>
      <c r="G299" s="505"/>
      <c r="H299" s="293"/>
      <c r="I299" s="293"/>
      <c r="J299" s="417"/>
      <c r="L299" s="506"/>
      <c r="M299" s="506"/>
      <c r="N299" s="505"/>
      <c r="P299" s="293"/>
      <c r="S299" s="293"/>
      <c r="X299" s="293"/>
    </row>
    <row r="300">
      <c r="B300" s="293"/>
      <c r="D300" s="293"/>
      <c r="E300" s="293"/>
      <c r="G300" s="505"/>
      <c r="H300" s="293"/>
      <c r="I300" s="293"/>
      <c r="J300" s="417"/>
      <c r="L300" s="506"/>
      <c r="M300" s="506"/>
      <c r="N300" s="505"/>
      <c r="P300" s="293"/>
      <c r="S300" s="293"/>
      <c r="X300" s="293"/>
    </row>
    <row r="301">
      <c r="B301" s="293"/>
      <c r="D301" s="293"/>
      <c r="E301" s="293"/>
      <c r="G301" s="505"/>
      <c r="H301" s="293"/>
      <c r="I301" s="293"/>
      <c r="J301" s="417"/>
      <c r="L301" s="506"/>
      <c r="M301" s="506"/>
      <c r="N301" s="505"/>
      <c r="P301" s="293"/>
      <c r="S301" s="293"/>
      <c r="X301" s="293"/>
    </row>
    <row r="302">
      <c r="B302" s="293"/>
      <c r="D302" s="293"/>
      <c r="E302" s="293"/>
      <c r="G302" s="505"/>
      <c r="H302" s="293"/>
      <c r="I302" s="293"/>
      <c r="J302" s="417"/>
      <c r="L302" s="506"/>
      <c r="M302" s="506"/>
      <c r="N302" s="505"/>
      <c r="P302" s="293"/>
      <c r="S302" s="293"/>
      <c r="X302" s="293"/>
    </row>
    <row r="303">
      <c r="B303" s="293"/>
      <c r="D303" s="293"/>
      <c r="E303" s="293"/>
      <c r="G303" s="505"/>
      <c r="H303" s="293"/>
      <c r="I303" s="293"/>
      <c r="J303" s="417"/>
      <c r="L303" s="506"/>
      <c r="M303" s="506"/>
      <c r="N303" s="505"/>
      <c r="P303" s="293"/>
      <c r="S303" s="293"/>
      <c r="X303" s="293"/>
    </row>
    <row r="304">
      <c r="B304" s="293"/>
      <c r="D304" s="293"/>
      <c r="E304" s="293"/>
      <c r="G304" s="505"/>
      <c r="H304" s="293"/>
      <c r="I304" s="293"/>
      <c r="J304" s="417"/>
      <c r="L304" s="506"/>
      <c r="M304" s="506"/>
      <c r="N304" s="505"/>
      <c r="P304" s="293"/>
      <c r="S304" s="293"/>
      <c r="X304" s="293"/>
    </row>
    <row r="305">
      <c r="B305" s="293"/>
      <c r="D305" s="293"/>
      <c r="E305" s="293"/>
      <c r="G305" s="505"/>
      <c r="H305" s="293"/>
      <c r="I305" s="293"/>
      <c r="J305" s="417"/>
      <c r="L305" s="506"/>
      <c r="M305" s="506"/>
      <c r="N305" s="505"/>
      <c r="P305" s="293"/>
      <c r="S305" s="293"/>
      <c r="X305" s="293"/>
    </row>
    <row r="306">
      <c r="B306" s="293"/>
      <c r="D306" s="293"/>
      <c r="E306" s="293"/>
      <c r="G306" s="505"/>
      <c r="H306" s="293"/>
      <c r="I306" s="293"/>
      <c r="J306" s="417"/>
      <c r="L306" s="506"/>
      <c r="M306" s="506"/>
      <c r="N306" s="505"/>
      <c r="P306" s="293"/>
      <c r="S306" s="293"/>
      <c r="X306" s="293"/>
    </row>
    <row r="307">
      <c r="B307" s="293"/>
      <c r="D307" s="293"/>
      <c r="E307" s="293"/>
      <c r="G307" s="505"/>
      <c r="H307" s="293"/>
      <c r="I307" s="293"/>
      <c r="J307" s="417"/>
      <c r="L307" s="506"/>
      <c r="M307" s="506"/>
      <c r="N307" s="505"/>
      <c r="P307" s="293"/>
      <c r="S307" s="293"/>
      <c r="X307" s="293"/>
    </row>
    <row r="308">
      <c r="B308" s="293"/>
      <c r="D308" s="293"/>
      <c r="E308" s="293"/>
      <c r="G308" s="505"/>
      <c r="H308" s="293"/>
      <c r="I308" s="293"/>
      <c r="J308" s="417"/>
      <c r="L308" s="506"/>
      <c r="M308" s="506"/>
      <c r="N308" s="505"/>
      <c r="P308" s="293"/>
      <c r="S308" s="293"/>
      <c r="X308" s="293"/>
    </row>
    <row r="309">
      <c r="B309" s="293"/>
      <c r="D309" s="293"/>
      <c r="E309" s="293"/>
      <c r="G309" s="505"/>
      <c r="H309" s="293"/>
      <c r="I309" s="293"/>
      <c r="J309" s="417"/>
      <c r="L309" s="506"/>
      <c r="M309" s="506"/>
      <c r="N309" s="505"/>
      <c r="P309" s="293"/>
      <c r="S309" s="293"/>
      <c r="X309" s="293"/>
    </row>
    <row r="310">
      <c r="B310" s="293"/>
      <c r="D310" s="293"/>
      <c r="E310" s="293"/>
      <c r="G310" s="505"/>
      <c r="H310" s="293"/>
      <c r="I310" s="293"/>
      <c r="J310" s="417"/>
      <c r="L310" s="506"/>
      <c r="M310" s="506"/>
      <c r="N310" s="505"/>
      <c r="P310" s="293"/>
      <c r="S310" s="293"/>
      <c r="X310" s="293"/>
    </row>
    <row r="311">
      <c r="B311" s="293"/>
      <c r="D311" s="293"/>
      <c r="E311" s="293"/>
      <c r="G311" s="505"/>
      <c r="H311" s="293"/>
      <c r="I311" s="293"/>
      <c r="J311" s="417"/>
      <c r="L311" s="506"/>
      <c r="M311" s="506"/>
      <c r="N311" s="505"/>
      <c r="P311" s="293"/>
      <c r="S311" s="293"/>
      <c r="X311" s="293"/>
    </row>
    <row r="312">
      <c r="B312" s="293"/>
      <c r="D312" s="293"/>
      <c r="E312" s="293"/>
      <c r="G312" s="505"/>
      <c r="H312" s="293"/>
      <c r="I312" s="293"/>
      <c r="J312" s="417"/>
      <c r="L312" s="506"/>
      <c r="M312" s="506"/>
      <c r="N312" s="505"/>
      <c r="P312" s="293"/>
      <c r="S312" s="293"/>
      <c r="X312" s="293"/>
    </row>
    <row r="313">
      <c r="B313" s="293"/>
      <c r="D313" s="293"/>
      <c r="E313" s="293"/>
      <c r="G313" s="505"/>
      <c r="H313" s="293"/>
      <c r="I313" s="293"/>
      <c r="J313" s="417"/>
      <c r="L313" s="506"/>
      <c r="M313" s="506"/>
      <c r="N313" s="505"/>
      <c r="P313" s="293"/>
      <c r="S313" s="293"/>
      <c r="X313" s="293"/>
    </row>
    <row r="314">
      <c r="B314" s="293"/>
      <c r="D314" s="293"/>
      <c r="E314" s="293"/>
      <c r="G314" s="505"/>
      <c r="H314" s="293"/>
      <c r="I314" s="293"/>
      <c r="J314" s="417"/>
      <c r="L314" s="506"/>
      <c r="M314" s="506"/>
      <c r="N314" s="505"/>
      <c r="P314" s="293"/>
      <c r="S314" s="293"/>
      <c r="X314" s="293"/>
    </row>
    <row r="315">
      <c r="B315" s="293"/>
      <c r="D315" s="293"/>
      <c r="E315" s="293"/>
      <c r="G315" s="505"/>
      <c r="H315" s="293"/>
      <c r="I315" s="293"/>
      <c r="J315" s="417"/>
      <c r="L315" s="506"/>
      <c r="M315" s="506"/>
      <c r="N315" s="505"/>
      <c r="P315" s="293"/>
      <c r="S315" s="293"/>
      <c r="X315" s="293"/>
    </row>
    <row r="316">
      <c r="B316" s="293"/>
      <c r="D316" s="293"/>
      <c r="E316" s="293"/>
      <c r="G316" s="505"/>
      <c r="H316" s="293"/>
      <c r="I316" s="293"/>
      <c r="J316" s="417"/>
      <c r="L316" s="506"/>
      <c r="M316" s="506"/>
      <c r="N316" s="505"/>
      <c r="P316" s="293"/>
      <c r="S316" s="293"/>
      <c r="X316" s="293"/>
    </row>
    <row r="317">
      <c r="B317" s="293"/>
      <c r="D317" s="293"/>
      <c r="E317" s="293"/>
      <c r="G317" s="505"/>
      <c r="H317" s="293"/>
      <c r="I317" s="293"/>
      <c r="J317" s="417"/>
      <c r="L317" s="506"/>
      <c r="M317" s="506"/>
      <c r="N317" s="505"/>
      <c r="P317" s="293"/>
      <c r="S317" s="293"/>
      <c r="X317" s="293"/>
    </row>
    <row r="318">
      <c r="B318" s="293"/>
      <c r="D318" s="293"/>
      <c r="E318" s="293"/>
      <c r="G318" s="505"/>
      <c r="H318" s="293"/>
      <c r="I318" s="293"/>
      <c r="J318" s="417"/>
      <c r="L318" s="506"/>
      <c r="M318" s="506"/>
      <c r="N318" s="505"/>
      <c r="P318" s="293"/>
      <c r="S318" s="293"/>
      <c r="X318" s="293"/>
    </row>
    <row r="319">
      <c r="B319" s="293"/>
      <c r="D319" s="293"/>
      <c r="E319" s="293"/>
      <c r="G319" s="505"/>
      <c r="H319" s="293"/>
      <c r="I319" s="293"/>
      <c r="J319" s="417"/>
      <c r="L319" s="506"/>
      <c r="M319" s="506"/>
      <c r="N319" s="505"/>
      <c r="P319" s="293"/>
      <c r="S319" s="293"/>
      <c r="X319" s="293"/>
    </row>
    <row r="320">
      <c r="B320" s="293"/>
      <c r="D320" s="293"/>
      <c r="E320" s="293"/>
      <c r="G320" s="505"/>
      <c r="H320" s="293"/>
      <c r="I320" s="293"/>
      <c r="J320" s="417"/>
      <c r="L320" s="506"/>
      <c r="M320" s="506"/>
      <c r="N320" s="505"/>
      <c r="P320" s="293"/>
      <c r="S320" s="293"/>
      <c r="X320" s="293"/>
    </row>
    <row r="321">
      <c r="B321" s="293"/>
      <c r="D321" s="293"/>
      <c r="E321" s="293"/>
      <c r="G321" s="505"/>
      <c r="H321" s="293"/>
      <c r="I321" s="293"/>
      <c r="J321" s="417"/>
      <c r="L321" s="506"/>
      <c r="M321" s="506"/>
      <c r="N321" s="505"/>
      <c r="P321" s="293"/>
      <c r="S321" s="293"/>
      <c r="X321" s="293"/>
    </row>
    <row r="322">
      <c r="B322" s="293"/>
      <c r="D322" s="293"/>
      <c r="E322" s="293"/>
      <c r="G322" s="505"/>
      <c r="H322" s="293"/>
      <c r="I322" s="293"/>
      <c r="J322" s="417"/>
      <c r="L322" s="506"/>
      <c r="M322" s="506"/>
      <c r="N322" s="505"/>
      <c r="P322" s="293"/>
      <c r="S322" s="293"/>
      <c r="X322" s="293"/>
    </row>
    <row r="323">
      <c r="B323" s="293"/>
      <c r="D323" s="293"/>
      <c r="E323" s="293"/>
      <c r="G323" s="505"/>
      <c r="H323" s="293"/>
      <c r="I323" s="293"/>
      <c r="J323" s="417"/>
      <c r="L323" s="506"/>
      <c r="M323" s="506"/>
      <c r="N323" s="505"/>
      <c r="P323" s="293"/>
      <c r="S323" s="293"/>
      <c r="X323" s="293"/>
    </row>
    <row r="324">
      <c r="B324" s="293"/>
      <c r="D324" s="293"/>
      <c r="E324" s="293"/>
      <c r="G324" s="505"/>
      <c r="H324" s="293"/>
      <c r="I324" s="293"/>
      <c r="J324" s="417"/>
      <c r="L324" s="506"/>
      <c r="M324" s="506"/>
      <c r="N324" s="505"/>
      <c r="P324" s="293"/>
      <c r="S324" s="293"/>
      <c r="X324" s="293"/>
    </row>
    <row r="325">
      <c r="B325" s="293"/>
      <c r="D325" s="293"/>
      <c r="E325" s="293"/>
      <c r="G325" s="505"/>
      <c r="H325" s="293"/>
      <c r="I325" s="293"/>
      <c r="J325" s="417"/>
      <c r="L325" s="506"/>
      <c r="M325" s="506"/>
      <c r="N325" s="505"/>
      <c r="P325" s="293"/>
      <c r="S325" s="293"/>
      <c r="X325" s="293"/>
    </row>
    <row r="326">
      <c r="B326" s="293"/>
      <c r="D326" s="293"/>
      <c r="E326" s="293"/>
      <c r="G326" s="505"/>
      <c r="H326" s="293"/>
      <c r="I326" s="293"/>
      <c r="J326" s="417"/>
      <c r="L326" s="506"/>
      <c r="M326" s="506"/>
      <c r="N326" s="505"/>
      <c r="P326" s="293"/>
      <c r="S326" s="293"/>
      <c r="X326" s="293"/>
    </row>
    <row r="327">
      <c r="B327" s="293"/>
      <c r="D327" s="293"/>
      <c r="E327" s="293"/>
      <c r="G327" s="505"/>
      <c r="H327" s="293"/>
      <c r="I327" s="293"/>
      <c r="J327" s="417"/>
      <c r="L327" s="506"/>
      <c r="M327" s="506"/>
      <c r="N327" s="505"/>
      <c r="P327" s="293"/>
      <c r="S327" s="293"/>
      <c r="X327" s="293"/>
    </row>
    <row r="328">
      <c r="B328" s="293"/>
      <c r="D328" s="293"/>
      <c r="E328" s="293"/>
      <c r="G328" s="505"/>
      <c r="H328" s="293"/>
      <c r="I328" s="293"/>
      <c r="J328" s="417"/>
      <c r="L328" s="506"/>
      <c r="M328" s="506"/>
      <c r="N328" s="505"/>
      <c r="P328" s="293"/>
      <c r="S328" s="293"/>
      <c r="X328" s="293"/>
    </row>
    <row r="329">
      <c r="B329" s="293"/>
      <c r="D329" s="293"/>
      <c r="E329" s="293"/>
      <c r="G329" s="505"/>
      <c r="H329" s="293"/>
      <c r="I329" s="293"/>
      <c r="J329" s="417"/>
      <c r="L329" s="506"/>
      <c r="M329" s="506"/>
      <c r="N329" s="505"/>
      <c r="P329" s="293"/>
      <c r="S329" s="293"/>
      <c r="X329" s="293"/>
    </row>
    <row r="330">
      <c r="B330" s="293"/>
      <c r="D330" s="293"/>
      <c r="E330" s="293"/>
      <c r="G330" s="505"/>
      <c r="H330" s="293"/>
      <c r="I330" s="293"/>
      <c r="J330" s="417"/>
      <c r="L330" s="506"/>
      <c r="M330" s="506"/>
      <c r="N330" s="505"/>
      <c r="P330" s="293"/>
      <c r="S330" s="293"/>
      <c r="X330" s="293"/>
    </row>
    <row r="331">
      <c r="B331" s="293"/>
      <c r="D331" s="293"/>
      <c r="E331" s="293"/>
      <c r="G331" s="505"/>
      <c r="H331" s="293"/>
      <c r="I331" s="293"/>
      <c r="J331" s="417"/>
      <c r="L331" s="506"/>
      <c r="M331" s="506"/>
      <c r="N331" s="505"/>
      <c r="P331" s="293"/>
      <c r="S331" s="293"/>
      <c r="X331" s="293"/>
    </row>
    <row r="332">
      <c r="B332" s="293"/>
      <c r="D332" s="293"/>
      <c r="E332" s="293"/>
      <c r="G332" s="505"/>
      <c r="H332" s="293"/>
      <c r="I332" s="293"/>
      <c r="J332" s="417"/>
      <c r="L332" s="506"/>
      <c r="M332" s="506"/>
      <c r="N332" s="505"/>
      <c r="P332" s="293"/>
      <c r="S332" s="293"/>
      <c r="X332" s="293"/>
    </row>
    <row r="333">
      <c r="B333" s="293"/>
      <c r="D333" s="293"/>
      <c r="E333" s="293"/>
      <c r="G333" s="505"/>
      <c r="H333" s="293"/>
      <c r="I333" s="293"/>
      <c r="J333" s="417"/>
      <c r="L333" s="506"/>
      <c r="M333" s="506"/>
      <c r="N333" s="505"/>
      <c r="P333" s="293"/>
      <c r="S333" s="293"/>
      <c r="X333" s="293"/>
    </row>
    <row r="334">
      <c r="B334" s="293"/>
      <c r="D334" s="293"/>
      <c r="E334" s="293"/>
      <c r="G334" s="505"/>
      <c r="H334" s="293"/>
      <c r="I334" s="293"/>
      <c r="J334" s="417"/>
      <c r="L334" s="506"/>
      <c r="M334" s="506"/>
      <c r="N334" s="505"/>
      <c r="P334" s="293"/>
      <c r="S334" s="293"/>
      <c r="X334" s="293"/>
    </row>
    <row r="335">
      <c r="B335" s="293"/>
      <c r="D335" s="293"/>
      <c r="E335" s="293"/>
      <c r="G335" s="505"/>
      <c r="H335" s="293"/>
      <c r="I335" s="293"/>
      <c r="J335" s="417"/>
      <c r="L335" s="506"/>
      <c r="M335" s="506"/>
      <c r="N335" s="505"/>
      <c r="P335" s="293"/>
      <c r="S335" s="293"/>
      <c r="X335" s="293"/>
    </row>
    <row r="336">
      <c r="B336" s="293"/>
      <c r="D336" s="293"/>
      <c r="E336" s="293"/>
      <c r="G336" s="505"/>
      <c r="H336" s="293"/>
      <c r="I336" s="293"/>
      <c r="J336" s="417"/>
      <c r="L336" s="506"/>
      <c r="M336" s="506"/>
      <c r="N336" s="505"/>
      <c r="P336" s="293"/>
      <c r="S336" s="293"/>
      <c r="X336" s="293"/>
    </row>
    <row r="337">
      <c r="B337" s="293"/>
      <c r="D337" s="293"/>
      <c r="E337" s="293"/>
      <c r="G337" s="505"/>
      <c r="H337" s="293"/>
      <c r="I337" s="293"/>
      <c r="J337" s="417"/>
      <c r="L337" s="506"/>
      <c r="M337" s="506"/>
      <c r="N337" s="505"/>
      <c r="P337" s="293"/>
      <c r="S337" s="293"/>
      <c r="X337" s="293"/>
    </row>
    <row r="338">
      <c r="B338" s="293"/>
      <c r="D338" s="293"/>
      <c r="E338" s="293"/>
      <c r="G338" s="505"/>
      <c r="H338" s="293"/>
      <c r="I338" s="293"/>
      <c r="J338" s="417"/>
      <c r="L338" s="506"/>
      <c r="M338" s="506"/>
      <c r="N338" s="505"/>
      <c r="P338" s="293"/>
      <c r="S338" s="293"/>
      <c r="X338" s="293"/>
    </row>
    <row r="339">
      <c r="B339" s="293"/>
      <c r="D339" s="293"/>
      <c r="E339" s="293"/>
      <c r="G339" s="505"/>
      <c r="H339" s="293"/>
      <c r="I339" s="293"/>
      <c r="J339" s="417"/>
      <c r="L339" s="506"/>
      <c r="M339" s="506"/>
      <c r="N339" s="505"/>
      <c r="P339" s="293"/>
      <c r="S339" s="293"/>
      <c r="X339" s="293"/>
    </row>
    <row r="340">
      <c r="B340" s="293"/>
      <c r="D340" s="293"/>
      <c r="E340" s="293"/>
      <c r="G340" s="505"/>
      <c r="H340" s="293"/>
      <c r="I340" s="293"/>
      <c r="J340" s="417"/>
      <c r="L340" s="506"/>
      <c r="M340" s="506"/>
      <c r="N340" s="505"/>
      <c r="P340" s="293"/>
      <c r="S340" s="293"/>
      <c r="X340" s="293"/>
    </row>
    <row r="341">
      <c r="B341" s="293"/>
      <c r="D341" s="293"/>
      <c r="E341" s="293"/>
      <c r="G341" s="505"/>
      <c r="H341" s="293"/>
      <c r="I341" s="293"/>
      <c r="J341" s="417"/>
      <c r="L341" s="506"/>
      <c r="M341" s="506"/>
      <c r="N341" s="505"/>
      <c r="P341" s="293"/>
      <c r="S341" s="293"/>
      <c r="X341" s="293"/>
    </row>
    <row r="342">
      <c r="B342" s="293"/>
      <c r="D342" s="293"/>
      <c r="E342" s="293"/>
      <c r="G342" s="505"/>
      <c r="H342" s="293"/>
      <c r="I342" s="293"/>
      <c r="J342" s="417"/>
      <c r="L342" s="506"/>
      <c r="M342" s="506"/>
      <c r="N342" s="505"/>
      <c r="P342" s="293"/>
      <c r="S342" s="293"/>
      <c r="X342" s="293"/>
    </row>
    <row r="343">
      <c r="B343" s="293"/>
      <c r="D343" s="293"/>
      <c r="E343" s="293"/>
      <c r="G343" s="505"/>
      <c r="H343" s="293"/>
      <c r="I343" s="293"/>
      <c r="J343" s="417"/>
      <c r="L343" s="506"/>
      <c r="M343" s="506"/>
      <c r="N343" s="505"/>
      <c r="P343" s="293"/>
      <c r="S343" s="293"/>
      <c r="X343" s="293"/>
    </row>
    <row r="344">
      <c r="B344" s="293"/>
      <c r="D344" s="293"/>
      <c r="E344" s="293"/>
      <c r="G344" s="505"/>
      <c r="H344" s="293"/>
      <c r="I344" s="293"/>
      <c r="J344" s="417"/>
      <c r="L344" s="506"/>
      <c r="M344" s="506"/>
      <c r="N344" s="505"/>
      <c r="P344" s="293"/>
      <c r="S344" s="293"/>
      <c r="X344" s="293"/>
    </row>
    <row r="345">
      <c r="B345" s="293"/>
      <c r="D345" s="293"/>
      <c r="E345" s="293"/>
      <c r="G345" s="505"/>
      <c r="H345" s="293"/>
      <c r="I345" s="293"/>
      <c r="J345" s="417"/>
      <c r="L345" s="506"/>
      <c r="M345" s="506"/>
      <c r="N345" s="505"/>
      <c r="P345" s="293"/>
      <c r="S345" s="293"/>
      <c r="X345" s="293"/>
    </row>
    <row r="346">
      <c r="B346" s="293"/>
      <c r="D346" s="293"/>
      <c r="E346" s="293"/>
      <c r="G346" s="505"/>
      <c r="H346" s="293"/>
      <c r="I346" s="293"/>
      <c r="J346" s="417"/>
      <c r="L346" s="506"/>
      <c r="M346" s="506"/>
      <c r="N346" s="505"/>
      <c r="P346" s="293"/>
      <c r="S346" s="293"/>
      <c r="X346" s="293"/>
    </row>
    <row r="347">
      <c r="B347" s="293"/>
      <c r="D347" s="293"/>
      <c r="E347" s="293"/>
      <c r="G347" s="505"/>
      <c r="H347" s="293"/>
      <c r="I347" s="293"/>
      <c r="J347" s="417"/>
      <c r="L347" s="506"/>
      <c r="M347" s="506"/>
      <c r="N347" s="505"/>
      <c r="P347" s="293"/>
      <c r="S347" s="293"/>
      <c r="X347" s="293"/>
    </row>
    <row r="348">
      <c r="B348" s="293"/>
      <c r="D348" s="293"/>
      <c r="E348" s="293"/>
      <c r="G348" s="505"/>
      <c r="H348" s="293"/>
      <c r="I348" s="293"/>
      <c r="J348" s="417"/>
      <c r="L348" s="506"/>
      <c r="M348" s="506"/>
      <c r="N348" s="505"/>
      <c r="P348" s="293"/>
      <c r="S348" s="293"/>
      <c r="X348" s="293"/>
    </row>
    <row r="349">
      <c r="B349" s="293"/>
      <c r="D349" s="293"/>
      <c r="E349" s="293"/>
      <c r="G349" s="505"/>
      <c r="H349" s="293"/>
      <c r="I349" s="293"/>
      <c r="J349" s="417"/>
      <c r="L349" s="506"/>
      <c r="M349" s="506"/>
      <c r="N349" s="505"/>
      <c r="P349" s="293"/>
      <c r="S349" s="293"/>
      <c r="X349" s="293"/>
    </row>
    <row r="350">
      <c r="B350" s="293"/>
      <c r="D350" s="293"/>
      <c r="E350" s="293"/>
      <c r="G350" s="505"/>
      <c r="H350" s="293"/>
      <c r="I350" s="293"/>
      <c r="J350" s="417"/>
      <c r="L350" s="506"/>
      <c r="M350" s="506"/>
      <c r="N350" s="505"/>
      <c r="P350" s="293"/>
      <c r="S350" s="293"/>
      <c r="X350" s="293"/>
    </row>
    <row r="351">
      <c r="B351" s="293"/>
      <c r="D351" s="293"/>
      <c r="E351" s="293"/>
      <c r="G351" s="505"/>
      <c r="H351" s="293"/>
      <c r="I351" s="293"/>
      <c r="J351" s="417"/>
      <c r="L351" s="506"/>
      <c r="M351" s="506"/>
      <c r="N351" s="505"/>
      <c r="P351" s="293"/>
      <c r="S351" s="293"/>
      <c r="X351" s="293"/>
    </row>
    <row r="352">
      <c r="B352" s="293"/>
      <c r="D352" s="293"/>
      <c r="E352" s="293"/>
      <c r="G352" s="505"/>
      <c r="H352" s="293"/>
      <c r="I352" s="293"/>
      <c r="J352" s="417"/>
      <c r="L352" s="506"/>
      <c r="M352" s="506"/>
      <c r="N352" s="505"/>
      <c r="P352" s="293"/>
      <c r="S352" s="293"/>
      <c r="X352" s="293"/>
    </row>
    <row r="353">
      <c r="B353" s="293"/>
      <c r="D353" s="293"/>
      <c r="E353" s="293"/>
      <c r="G353" s="505"/>
      <c r="H353" s="293"/>
      <c r="I353" s="293"/>
      <c r="J353" s="417"/>
      <c r="L353" s="506"/>
      <c r="M353" s="506"/>
      <c r="N353" s="505"/>
      <c r="P353" s="293"/>
      <c r="S353" s="293"/>
      <c r="X353" s="293"/>
    </row>
    <row r="354">
      <c r="B354" s="293"/>
      <c r="D354" s="293"/>
      <c r="E354" s="293"/>
      <c r="G354" s="505"/>
      <c r="H354" s="293"/>
      <c r="I354" s="293"/>
      <c r="J354" s="417"/>
      <c r="L354" s="506"/>
      <c r="M354" s="506"/>
      <c r="N354" s="505"/>
      <c r="P354" s="293"/>
      <c r="S354" s="293"/>
      <c r="X354" s="293"/>
    </row>
    <row r="355">
      <c r="B355" s="293"/>
      <c r="D355" s="293"/>
      <c r="E355" s="293"/>
      <c r="G355" s="505"/>
      <c r="H355" s="293"/>
      <c r="I355" s="293"/>
      <c r="J355" s="417"/>
      <c r="L355" s="506"/>
      <c r="M355" s="506"/>
      <c r="N355" s="505"/>
      <c r="P355" s="293"/>
      <c r="S355" s="293"/>
      <c r="X355" s="293"/>
    </row>
    <row r="356">
      <c r="B356" s="293"/>
      <c r="D356" s="293"/>
      <c r="E356" s="293"/>
      <c r="G356" s="505"/>
      <c r="H356" s="293"/>
      <c r="I356" s="293"/>
      <c r="J356" s="417"/>
      <c r="L356" s="506"/>
      <c r="M356" s="506"/>
      <c r="N356" s="505"/>
      <c r="P356" s="293"/>
      <c r="S356" s="293"/>
      <c r="X356" s="293"/>
    </row>
    <row r="357">
      <c r="B357" s="293"/>
      <c r="D357" s="293"/>
      <c r="E357" s="293"/>
      <c r="G357" s="505"/>
      <c r="H357" s="293"/>
      <c r="I357" s="293"/>
      <c r="J357" s="417"/>
      <c r="L357" s="506"/>
      <c r="M357" s="506"/>
      <c r="N357" s="505"/>
      <c r="P357" s="293"/>
      <c r="S357" s="293"/>
      <c r="X357" s="293"/>
    </row>
    <row r="358">
      <c r="B358" s="293"/>
      <c r="D358" s="293"/>
      <c r="E358" s="293"/>
      <c r="G358" s="505"/>
      <c r="H358" s="293"/>
      <c r="I358" s="293"/>
      <c r="J358" s="417"/>
      <c r="L358" s="506"/>
      <c r="M358" s="506"/>
      <c r="N358" s="505"/>
      <c r="P358" s="293"/>
      <c r="S358" s="293"/>
      <c r="X358" s="293"/>
    </row>
    <row r="359">
      <c r="B359" s="293"/>
      <c r="D359" s="293"/>
      <c r="E359" s="293"/>
      <c r="G359" s="505"/>
      <c r="H359" s="293"/>
      <c r="I359" s="293"/>
      <c r="J359" s="417"/>
      <c r="L359" s="506"/>
      <c r="M359" s="506"/>
      <c r="N359" s="505"/>
      <c r="P359" s="293"/>
      <c r="S359" s="293"/>
      <c r="X359" s="293"/>
    </row>
    <row r="360">
      <c r="B360" s="293"/>
      <c r="D360" s="293"/>
      <c r="E360" s="293"/>
      <c r="G360" s="505"/>
      <c r="H360" s="293"/>
      <c r="I360" s="293"/>
      <c r="J360" s="417"/>
      <c r="L360" s="506"/>
      <c r="M360" s="506"/>
      <c r="N360" s="505"/>
      <c r="P360" s="293"/>
      <c r="S360" s="293"/>
      <c r="X360" s="293"/>
    </row>
    <row r="361">
      <c r="B361" s="293"/>
      <c r="D361" s="293"/>
      <c r="E361" s="293"/>
      <c r="G361" s="505"/>
      <c r="H361" s="293"/>
      <c r="I361" s="293"/>
      <c r="J361" s="417"/>
      <c r="L361" s="506"/>
      <c r="M361" s="506"/>
      <c r="N361" s="505"/>
      <c r="P361" s="293"/>
      <c r="S361" s="293"/>
      <c r="X361" s="293"/>
    </row>
    <row r="362">
      <c r="B362" s="293"/>
      <c r="D362" s="293"/>
      <c r="E362" s="293"/>
      <c r="G362" s="505"/>
      <c r="H362" s="293"/>
      <c r="I362" s="293"/>
      <c r="J362" s="417"/>
      <c r="L362" s="506"/>
      <c r="M362" s="506"/>
      <c r="N362" s="505"/>
      <c r="P362" s="293"/>
      <c r="S362" s="293"/>
      <c r="X362" s="293"/>
    </row>
    <row r="363">
      <c r="B363" s="293"/>
      <c r="D363" s="293"/>
      <c r="E363" s="293"/>
      <c r="G363" s="505"/>
      <c r="H363" s="293"/>
      <c r="I363" s="293"/>
      <c r="J363" s="417"/>
      <c r="L363" s="506"/>
      <c r="M363" s="506"/>
      <c r="N363" s="505"/>
      <c r="P363" s="293"/>
      <c r="S363" s="293"/>
      <c r="X363" s="293"/>
    </row>
    <row r="364">
      <c r="B364" s="293"/>
      <c r="D364" s="293"/>
      <c r="E364" s="293"/>
      <c r="G364" s="505"/>
      <c r="H364" s="293"/>
      <c r="I364" s="293"/>
      <c r="J364" s="417"/>
      <c r="L364" s="506"/>
      <c r="M364" s="506"/>
      <c r="N364" s="505"/>
      <c r="P364" s="293"/>
      <c r="S364" s="293"/>
      <c r="X364" s="293"/>
    </row>
    <row r="365">
      <c r="B365" s="293"/>
      <c r="D365" s="293"/>
      <c r="E365" s="293"/>
      <c r="G365" s="505"/>
      <c r="H365" s="293"/>
      <c r="I365" s="293"/>
      <c r="J365" s="417"/>
      <c r="L365" s="506"/>
      <c r="M365" s="506"/>
      <c r="N365" s="505"/>
      <c r="P365" s="293"/>
      <c r="S365" s="293"/>
      <c r="X365" s="293"/>
    </row>
    <row r="366">
      <c r="B366" s="293"/>
      <c r="D366" s="293"/>
      <c r="E366" s="293"/>
      <c r="G366" s="505"/>
      <c r="H366" s="293"/>
      <c r="I366" s="293"/>
      <c r="J366" s="417"/>
      <c r="L366" s="506"/>
      <c r="M366" s="506"/>
      <c r="N366" s="505"/>
      <c r="P366" s="293"/>
      <c r="S366" s="293"/>
      <c r="X366" s="293"/>
    </row>
    <row r="367">
      <c r="B367" s="293"/>
      <c r="D367" s="293"/>
      <c r="E367" s="293"/>
      <c r="G367" s="505"/>
      <c r="H367" s="293"/>
      <c r="I367" s="293"/>
      <c r="J367" s="417"/>
      <c r="L367" s="506"/>
      <c r="M367" s="506"/>
      <c r="N367" s="505"/>
      <c r="P367" s="293"/>
      <c r="S367" s="293"/>
      <c r="X367" s="293"/>
    </row>
    <row r="368">
      <c r="B368" s="293"/>
      <c r="D368" s="293"/>
      <c r="E368" s="293"/>
      <c r="G368" s="505"/>
      <c r="H368" s="293"/>
      <c r="I368" s="293"/>
      <c r="J368" s="417"/>
      <c r="L368" s="506"/>
      <c r="M368" s="506"/>
      <c r="N368" s="505"/>
      <c r="P368" s="293"/>
      <c r="S368" s="293"/>
      <c r="X368" s="293"/>
    </row>
    <row r="369">
      <c r="B369" s="293"/>
      <c r="D369" s="293"/>
      <c r="E369" s="293"/>
      <c r="G369" s="505"/>
      <c r="H369" s="293"/>
      <c r="I369" s="293"/>
      <c r="J369" s="417"/>
      <c r="L369" s="506"/>
      <c r="M369" s="506"/>
      <c r="N369" s="505"/>
      <c r="P369" s="293"/>
      <c r="S369" s="293"/>
      <c r="X369" s="293"/>
    </row>
    <row r="370">
      <c r="B370" s="293"/>
      <c r="D370" s="293"/>
      <c r="E370" s="293"/>
      <c r="G370" s="505"/>
      <c r="H370" s="293"/>
      <c r="I370" s="293"/>
      <c r="J370" s="417"/>
      <c r="L370" s="506"/>
      <c r="M370" s="506"/>
      <c r="N370" s="505"/>
      <c r="P370" s="293"/>
      <c r="S370" s="293"/>
      <c r="X370" s="293"/>
    </row>
    <row r="371">
      <c r="B371" s="293"/>
      <c r="D371" s="293"/>
      <c r="E371" s="293"/>
      <c r="G371" s="505"/>
      <c r="H371" s="293"/>
      <c r="I371" s="293"/>
      <c r="J371" s="417"/>
      <c r="L371" s="506"/>
      <c r="M371" s="506"/>
      <c r="N371" s="505"/>
      <c r="P371" s="293"/>
      <c r="S371" s="293"/>
      <c r="X371" s="293"/>
    </row>
    <row r="372">
      <c r="B372" s="293"/>
      <c r="D372" s="293"/>
      <c r="E372" s="293"/>
      <c r="G372" s="505"/>
      <c r="H372" s="293"/>
      <c r="I372" s="293"/>
      <c r="J372" s="417"/>
      <c r="L372" s="506"/>
      <c r="M372" s="506"/>
      <c r="N372" s="505"/>
      <c r="P372" s="293"/>
      <c r="S372" s="293"/>
      <c r="X372" s="293"/>
    </row>
    <row r="373">
      <c r="B373" s="293"/>
      <c r="D373" s="293"/>
      <c r="E373" s="293"/>
      <c r="G373" s="505"/>
      <c r="H373" s="293"/>
      <c r="I373" s="293"/>
      <c r="J373" s="417"/>
      <c r="L373" s="506"/>
      <c r="M373" s="506"/>
      <c r="N373" s="505"/>
      <c r="P373" s="293"/>
      <c r="S373" s="293"/>
      <c r="X373" s="293"/>
    </row>
    <row r="374">
      <c r="B374" s="293"/>
      <c r="D374" s="293"/>
      <c r="E374" s="293"/>
      <c r="G374" s="505"/>
      <c r="H374" s="293"/>
      <c r="I374" s="293"/>
      <c r="J374" s="417"/>
      <c r="L374" s="506"/>
      <c r="M374" s="506"/>
      <c r="N374" s="505"/>
      <c r="P374" s="293"/>
      <c r="S374" s="293"/>
      <c r="X374" s="293"/>
    </row>
    <row r="375">
      <c r="B375" s="293"/>
      <c r="D375" s="293"/>
      <c r="E375" s="293"/>
      <c r="G375" s="505"/>
      <c r="H375" s="293"/>
      <c r="I375" s="293"/>
      <c r="J375" s="417"/>
      <c r="L375" s="506"/>
      <c r="M375" s="506"/>
      <c r="N375" s="505"/>
      <c r="P375" s="293"/>
      <c r="S375" s="293"/>
      <c r="X375" s="293"/>
    </row>
    <row r="376">
      <c r="B376" s="293"/>
      <c r="D376" s="293"/>
      <c r="E376" s="293"/>
      <c r="G376" s="505"/>
      <c r="H376" s="293"/>
      <c r="I376" s="293"/>
      <c r="J376" s="417"/>
      <c r="L376" s="506"/>
      <c r="M376" s="506"/>
      <c r="N376" s="505"/>
      <c r="P376" s="293"/>
      <c r="S376" s="293"/>
      <c r="X376" s="293"/>
    </row>
    <row r="377">
      <c r="B377" s="293"/>
      <c r="D377" s="293"/>
      <c r="E377" s="293"/>
      <c r="G377" s="505"/>
      <c r="H377" s="293"/>
      <c r="I377" s="293"/>
      <c r="J377" s="417"/>
      <c r="L377" s="506"/>
      <c r="M377" s="506"/>
      <c r="N377" s="505"/>
      <c r="P377" s="293"/>
      <c r="S377" s="293"/>
      <c r="X377" s="293"/>
    </row>
    <row r="378">
      <c r="B378" s="293"/>
      <c r="D378" s="293"/>
      <c r="E378" s="293"/>
      <c r="G378" s="505"/>
      <c r="H378" s="293"/>
      <c r="I378" s="293"/>
      <c r="J378" s="417"/>
      <c r="L378" s="506"/>
      <c r="M378" s="506"/>
      <c r="N378" s="505"/>
      <c r="P378" s="293"/>
      <c r="S378" s="293"/>
      <c r="X378" s="293"/>
    </row>
    <row r="379">
      <c r="B379" s="293"/>
      <c r="D379" s="293"/>
      <c r="E379" s="293"/>
      <c r="G379" s="505"/>
      <c r="H379" s="293"/>
      <c r="I379" s="293"/>
      <c r="J379" s="417"/>
      <c r="L379" s="506"/>
      <c r="M379" s="506"/>
      <c r="N379" s="505"/>
      <c r="P379" s="293"/>
      <c r="S379" s="293"/>
      <c r="X379" s="293"/>
    </row>
    <row r="380">
      <c r="B380" s="293"/>
      <c r="D380" s="293"/>
      <c r="E380" s="293"/>
      <c r="G380" s="505"/>
      <c r="H380" s="293"/>
      <c r="I380" s="293"/>
      <c r="J380" s="417"/>
      <c r="L380" s="506"/>
      <c r="M380" s="506"/>
      <c r="N380" s="505"/>
      <c r="P380" s="293"/>
      <c r="S380" s="293"/>
      <c r="X380" s="293"/>
    </row>
    <row r="381">
      <c r="B381" s="293"/>
      <c r="D381" s="293"/>
      <c r="E381" s="293"/>
      <c r="G381" s="505"/>
      <c r="H381" s="293"/>
      <c r="I381" s="293"/>
      <c r="J381" s="417"/>
      <c r="L381" s="506"/>
      <c r="M381" s="506"/>
      <c r="N381" s="505"/>
      <c r="P381" s="293"/>
      <c r="S381" s="293"/>
      <c r="X381" s="293"/>
    </row>
    <row r="382">
      <c r="B382" s="293"/>
      <c r="D382" s="293"/>
      <c r="E382" s="293"/>
      <c r="G382" s="505"/>
      <c r="H382" s="293"/>
      <c r="I382" s="293"/>
      <c r="J382" s="417"/>
      <c r="L382" s="506"/>
      <c r="M382" s="506"/>
      <c r="N382" s="505"/>
      <c r="P382" s="293"/>
      <c r="S382" s="293"/>
      <c r="X382" s="293"/>
    </row>
    <row r="383">
      <c r="B383" s="293"/>
      <c r="D383" s="293"/>
      <c r="E383" s="293"/>
      <c r="G383" s="505"/>
      <c r="H383" s="293"/>
      <c r="I383" s="293"/>
      <c r="J383" s="417"/>
      <c r="L383" s="506"/>
      <c r="M383" s="506"/>
      <c r="N383" s="505"/>
      <c r="P383" s="293"/>
      <c r="S383" s="293"/>
      <c r="X383" s="293"/>
    </row>
    <row r="384">
      <c r="B384" s="293"/>
      <c r="D384" s="293"/>
      <c r="E384" s="293"/>
      <c r="G384" s="505"/>
      <c r="H384" s="293"/>
      <c r="I384" s="293"/>
      <c r="J384" s="417"/>
      <c r="L384" s="506"/>
      <c r="M384" s="506"/>
      <c r="N384" s="505"/>
      <c r="P384" s="293"/>
      <c r="S384" s="293"/>
      <c r="X384" s="293"/>
    </row>
    <row r="385">
      <c r="B385" s="293"/>
      <c r="D385" s="293"/>
      <c r="E385" s="293"/>
      <c r="G385" s="505"/>
      <c r="H385" s="293"/>
      <c r="I385" s="293"/>
      <c r="J385" s="417"/>
      <c r="L385" s="506"/>
      <c r="M385" s="506"/>
      <c r="N385" s="505"/>
      <c r="P385" s="293"/>
      <c r="S385" s="293"/>
      <c r="X385" s="293"/>
    </row>
    <row r="386">
      <c r="B386" s="293"/>
      <c r="D386" s="293"/>
      <c r="E386" s="293"/>
      <c r="G386" s="505"/>
      <c r="H386" s="293"/>
      <c r="I386" s="293"/>
      <c r="J386" s="417"/>
      <c r="L386" s="506"/>
      <c r="M386" s="506"/>
      <c r="N386" s="505"/>
      <c r="P386" s="293"/>
      <c r="S386" s="293"/>
      <c r="X386" s="293"/>
    </row>
    <row r="387">
      <c r="B387" s="293"/>
      <c r="D387" s="293"/>
      <c r="E387" s="293"/>
      <c r="G387" s="505"/>
      <c r="H387" s="293"/>
      <c r="I387" s="293"/>
      <c r="J387" s="417"/>
      <c r="L387" s="506"/>
      <c r="M387" s="506"/>
      <c r="N387" s="505"/>
      <c r="P387" s="293"/>
      <c r="S387" s="293"/>
      <c r="X387" s="293"/>
    </row>
    <row r="388">
      <c r="B388" s="293"/>
      <c r="D388" s="293"/>
      <c r="E388" s="293"/>
      <c r="G388" s="505"/>
      <c r="H388" s="293"/>
      <c r="I388" s="293"/>
      <c r="J388" s="417"/>
      <c r="L388" s="506"/>
      <c r="M388" s="506"/>
      <c r="N388" s="505"/>
      <c r="P388" s="293"/>
      <c r="S388" s="293"/>
      <c r="X388" s="293"/>
    </row>
    <row r="389">
      <c r="B389" s="293"/>
      <c r="D389" s="293"/>
      <c r="E389" s="293"/>
      <c r="G389" s="505"/>
      <c r="H389" s="293"/>
      <c r="I389" s="293"/>
      <c r="J389" s="417"/>
      <c r="L389" s="506"/>
      <c r="M389" s="506"/>
      <c r="N389" s="505"/>
      <c r="P389" s="293"/>
      <c r="S389" s="293"/>
      <c r="X389" s="293"/>
    </row>
    <row r="390">
      <c r="B390" s="293"/>
      <c r="D390" s="293"/>
      <c r="E390" s="293"/>
      <c r="G390" s="505"/>
      <c r="H390" s="293"/>
      <c r="I390" s="293"/>
      <c r="J390" s="417"/>
      <c r="L390" s="506"/>
      <c r="M390" s="506"/>
      <c r="N390" s="505"/>
      <c r="P390" s="293"/>
      <c r="S390" s="293"/>
      <c r="X390" s="293"/>
    </row>
    <row r="391">
      <c r="B391" s="293"/>
      <c r="D391" s="293"/>
      <c r="E391" s="293"/>
      <c r="G391" s="505"/>
      <c r="H391" s="293"/>
      <c r="I391" s="293"/>
      <c r="J391" s="417"/>
      <c r="L391" s="506"/>
      <c r="M391" s="506"/>
      <c r="N391" s="505"/>
      <c r="P391" s="293"/>
      <c r="S391" s="293"/>
      <c r="X391" s="293"/>
    </row>
    <row r="392">
      <c r="B392" s="293"/>
      <c r="D392" s="293"/>
      <c r="E392" s="293"/>
      <c r="G392" s="505"/>
      <c r="H392" s="293"/>
      <c r="I392" s="293"/>
      <c r="J392" s="417"/>
      <c r="L392" s="506"/>
      <c r="M392" s="506"/>
      <c r="N392" s="505"/>
      <c r="P392" s="293"/>
      <c r="S392" s="293"/>
      <c r="X392" s="293"/>
    </row>
    <row r="393">
      <c r="B393" s="293"/>
      <c r="D393" s="293"/>
      <c r="E393" s="293"/>
      <c r="G393" s="505"/>
      <c r="H393" s="293"/>
      <c r="I393" s="293"/>
      <c r="J393" s="417"/>
      <c r="L393" s="506"/>
      <c r="M393" s="506"/>
      <c r="N393" s="505"/>
      <c r="P393" s="293"/>
      <c r="S393" s="293"/>
      <c r="X393" s="293"/>
    </row>
    <row r="394">
      <c r="B394" s="293"/>
      <c r="D394" s="293"/>
      <c r="E394" s="293"/>
      <c r="G394" s="505"/>
      <c r="H394" s="293"/>
      <c r="I394" s="293"/>
      <c r="J394" s="417"/>
      <c r="L394" s="506"/>
      <c r="M394" s="506"/>
      <c r="N394" s="505"/>
      <c r="P394" s="293"/>
      <c r="S394" s="293"/>
      <c r="X394" s="293"/>
    </row>
    <row r="395">
      <c r="B395" s="293"/>
      <c r="D395" s="293"/>
      <c r="E395" s="293"/>
      <c r="G395" s="505"/>
      <c r="H395" s="293"/>
      <c r="I395" s="293"/>
      <c r="J395" s="417"/>
      <c r="L395" s="506"/>
      <c r="M395" s="506"/>
      <c r="N395" s="505"/>
      <c r="P395" s="293"/>
      <c r="S395" s="293"/>
      <c r="X395" s="293"/>
    </row>
    <row r="396">
      <c r="B396" s="293"/>
      <c r="D396" s="293"/>
      <c r="E396" s="293"/>
      <c r="G396" s="505"/>
      <c r="H396" s="293"/>
      <c r="I396" s="293"/>
      <c r="J396" s="417"/>
      <c r="L396" s="506"/>
      <c r="M396" s="506"/>
      <c r="N396" s="505"/>
      <c r="P396" s="293"/>
      <c r="S396" s="293"/>
      <c r="X396" s="293"/>
    </row>
    <row r="397">
      <c r="B397" s="293"/>
      <c r="D397" s="293"/>
      <c r="E397" s="293"/>
      <c r="G397" s="505"/>
      <c r="H397" s="293"/>
      <c r="I397" s="293"/>
      <c r="J397" s="417"/>
      <c r="L397" s="506"/>
      <c r="M397" s="506"/>
      <c r="N397" s="505"/>
      <c r="P397" s="293"/>
      <c r="S397" s="293"/>
      <c r="X397" s="293"/>
    </row>
    <row r="398">
      <c r="B398" s="293"/>
      <c r="D398" s="293"/>
      <c r="E398" s="293"/>
      <c r="G398" s="505"/>
      <c r="H398" s="293"/>
      <c r="I398" s="293"/>
      <c r="J398" s="417"/>
      <c r="L398" s="506"/>
      <c r="M398" s="506"/>
      <c r="N398" s="505"/>
      <c r="P398" s="293"/>
      <c r="S398" s="293"/>
      <c r="X398" s="293"/>
    </row>
    <row r="399">
      <c r="B399" s="293"/>
      <c r="D399" s="293"/>
      <c r="E399" s="293"/>
      <c r="G399" s="505"/>
      <c r="H399" s="293"/>
      <c r="I399" s="293"/>
      <c r="J399" s="417"/>
      <c r="L399" s="506"/>
      <c r="M399" s="506"/>
      <c r="N399" s="505"/>
      <c r="P399" s="293"/>
      <c r="S399" s="293"/>
      <c r="X399" s="293"/>
    </row>
    <row r="400">
      <c r="B400" s="293"/>
      <c r="D400" s="293"/>
      <c r="E400" s="293"/>
      <c r="G400" s="505"/>
      <c r="H400" s="293"/>
      <c r="I400" s="293"/>
      <c r="J400" s="417"/>
      <c r="L400" s="506"/>
      <c r="M400" s="506"/>
      <c r="N400" s="505"/>
      <c r="P400" s="293"/>
      <c r="S400" s="293"/>
      <c r="X400" s="293"/>
    </row>
    <row r="401">
      <c r="B401" s="293"/>
      <c r="D401" s="293"/>
      <c r="E401" s="293"/>
      <c r="G401" s="505"/>
      <c r="H401" s="293"/>
      <c r="I401" s="293"/>
      <c r="J401" s="417"/>
      <c r="L401" s="506"/>
      <c r="M401" s="506"/>
      <c r="N401" s="505"/>
      <c r="P401" s="293"/>
      <c r="S401" s="293"/>
      <c r="X401" s="293"/>
    </row>
    <row r="402">
      <c r="B402" s="293"/>
      <c r="D402" s="293"/>
      <c r="E402" s="293"/>
      <c r="G402" s="505"/>
      <c r="H402" s="293"/>
      <c r="I402" s="293"/>
      <c r="J402" s="417"/>
      <c r="L402" s="506"/>
      <c r="M402" s="506"/>
      <c r="N402" s="505"/>
      <c r="P402" s="293"/>
      <c r="S402" s="293"/>
      <c r="X402" s="293"/>
    </row>
    <row r="403">
      <c r="B403" s="293"/>
      <c r="D403" s="293"/>
      <c r="E403" s="293"/>
      <c r="G403" s="505"/>
      <c r="H403" s="293"/>
      <c r="I403" s="293"/>
      <c r="J403" s="417"/>
      <c r="L403" s="506"/>
      <c r="M403" s="506"/>
      <c r="N403" s="505"/>
      <c r="P403" s="293"/>
      <c r="S403" s="293"/>
      <c r="X403" s="293"/>
    </row>
    <row r="404">
      <c r="B404" s="293"/>
      <c r="D404" s="293"/>
      <c r="E404" s="293"/>
      <c r="G404" s="505"/>
      <c r="H404" s="293"/>
      <c r="I404" s="293"/>
      <c r="J404" s="417"/>
      <c r="L404" s="506"/>
      <c r="M404" s="506"/>
      <c r="N404" s="505"/>
      <c r="P404" s="293"/>
      <c r="S404" s="293"/>
      <c r="X404" s="293"/>
    </row>
    <row r="405">
      <c r="B405" s="293"/>
      <c r="D405" s="293"/>
      <c r="E405" s="293"/>
      <c r="G405" s="505"/>
      <c r="H405" s="293"/>
      <c r="I405" s="293"/>
      <c r="J405" s="417"/>
      <c r="L405" s="506"/>
      <c r="M405" s="506"/>
      <c r="N405" s="505"/>
      <c r="P405" s="293"/>
      <c r="S405" s="293"/>
      <c r="X405" s="293"/>
    </row>
    <row r="406">
      <c r="B406" s="293"/>
      <c r="D406" s="293"/>
      <c r="E406" s="293"/>
      <c r="G406" s="505"/>
      <c r="H406" s="293"/>
      <c r="I406" s="293"/>
      <c r="J406" s="417"/>
      <c r="L406" s="506"/>
      <c r="M406" s="506"/>
      <c r="N406" s="505"/>
      <c r="P406" s="293"/>
      <c r="S406" s="293"/>
      <c r="X406" s="293"/>
    </row>
    <row r="407">
      <c r="B407" s="293"/>
      <c r="D407" s="293"/>
      <c r="E407" s="293"/>
      <c r="G407" s="505"/>
      <c r="H407" s="293"/>
      <c r="I407" s="293"/>
      <c r="J407" s="417"/>
      <c r="L407" s="506"/>
      <c r="M407" s="506"/>
      <c r="N407" s="505"/>
      <c r="P407" s="293"/>
      <c r="S407" s="293"/>
      <c r="X407" s="293"/>
    </row>
    <row r="408">
      <c r="B408" s="293"/>
      <c r="D408" s="293"/>
      <c r="E408" s="293"/>
      <c r="G408" s="505"/>
      <c r="H408" s="293"/>
      <c r="I408" s="293"/>
      <c r="J408" s="417"/>
      <c r="L408" s="506"/>
      <c r="M408" s="506"/>
      <c r="N408" s="505"/>
      <c r="P408" s="293"/>
      <c r="S408" s="293"/>
      <c r="X408" s="293"/>
    </row>
    <row r="409">
      <c r="B409" s="293"/>
      <c r="D409" s="293"/>
      <c r="E409" s="293"/>
      <c r="G409" s="505"/>
      <c r="H409" s="293"/>
      <c r="I409" s="293"/>
      <c r="J409" s="417"/>
      <c r="L409" s="506"/>
      <c r="M409" s="506"/>
      <c r="N409" s="505"/>
      <c r="P409" s="293"/>
      <c r="S409" s="293"/>
      <c r="X409" s="293"/>
    </row>
    <row r="410">
      <c r="B410" s="293"/>
      <c r="D410" s="293"/>
      <c r="E410" s="293"/>
      <c r="G410" s="505"/>
      <c r="H410" s="293"/>
      <c r="I410" s="293"/>
      <c r="J410" s="417"/>
      <c r="L410" s="506"/>
      <c r="M410" s="506"/>
      <c r="N410" s="505"/>
      <c r="P410" s="293"/>
      <c r="S410" s="293"/>
      <c r="X410" s="293"/>
    </row>
    <row r="411">
      <c r="B411" s="293"/>
      <c r="D411" s="293"/>
      <c r="E411" s="293"/>
      <c r="G411" s="505"/>
      <c r="H411" s="293"/>
      <c r="I411" s="293"/>
      <c r="J411" s="417"/>
      <c r="L411" s="506"/>
      <c r="M411" s="506"/>
      <c r="N411" s="505"/>
      <c r="P411" s="293"/>
      <c r="S411" s="293"/>
      <c r="X411" s="293"/>
    </row>
    <row r="412">
      <c r="B412" s="293"/>
      <c r="D412" s="293"/>
      <c r="E412" s="293"/>
      <c r="G412" s="505"/>
      <c r="H412" s="293"/>
      <c r="I412" s="293"/>
      <c r="J412" s="417"/>
      <c r="L412" s="506"/>
      <c r="M412" s="506"/>
      <c r="N412" s="505"/>
      <c r="P412" s="293"/>
      <c r="S412" s="293"/>
      <c r="X412" s="293"/>
    </row>
    <row r="413">
      <c r="B413" s="293"/>
      <c r="D413" s="293"/>
      <c r="E413" s="293"/>
      <c r="G413" s="505"/>
      <c r="H413" s="293"/>
      <c r="I413" s="293"/>
      <c r="J413" s="417"/>
      <c r="L413" s="506"/>
      <c r="M413" s="506"/>
      <c r="N413" s="505"/>
      <c r="P413" s="293"/>
      <c r="S413" s="293"/>
      <c r="X413" s="293"/>
    </row>
    <row r="414">
      <c r="B414" s="293"/>
      <c r="D414" s="293"/>
      <c r="E414" s="293"/>
      <c r="G414" s="505"/>
      <c r="H414" s="293"/>
      <c r="I414" s="293"/>
      <c r="J414" s="417"/>
      <c r="L414" s="506"/>
      <c r="M414" s="506"/>
      <c r="N414" s="505"/>
      <c r="P414" s="293"/>
      <c r="S414" s="293"/>
      <c r="X414" s="293"/>
    </row>
    <row r="415">
      <c r="B415" s="293"/>
      <c r="D415" s="293"/>
      <c r="E415" s="293"/>
      <c r="G415" s="505"/>
      <c r="H415" s="293"/>
      <c r="I415" s="293"/>
      <c r="J415" s="417"/>
      <c r="L415" s="506"/>
      <c r="M415" s="506"/>
      <c r="N415" s="505"/>
      <c r="P415" s="293"/>
      <c r="S415" s="293"/>
      <c r="X415" s="293"/>
    </row>
    <row r="416">
      <c r="B416" s="293"/>
      <c r="D416" s="293"/>
      <c r="E416" s="293"/>
      <c r="G416" s="505"/>
      <c r="H416" s="293"/>
      <c r="I416" s="293"/>
      <c r="J416" s="417"/>
      <c r="L416" s="506"/>
      <c r="M416" s="506"/>
      <c r="N416" s="505"/>
      <c r="P416" s="293"/>
      <c r="S416" s="293"/>
      <c r="X416" s="293"/>
    </row>
    <row r="417">
      <c r="B417" s="293"/>
      <c r="D417" s="293"/>
      <c r="E417" s="293"/>
      <c r="G417" s="505"/>
      <c r="H417" s="293"/>
      <c r="I417" s="293"/>
      <c r="J417" s="417"/>
      <c r="L417" s="506"/>
      <c r="M417" s="506"/>
      <c r="N417" s="505"/>
      <c r="P417" s="293"/>
      <c r="S417" s="293"/>
      <c r="X417" s="293"/>
    </row>
    <row r="418">
      <c r="B418" s="293"/>
      <c r="D418" s="293"/>
      <c r="E418" s="293"/>
      <c r="G418" s="505"/>
      <c r="H418" s="293"/>
      <c r="I418" s="293"/>
      <c r="J418" s="417"/>
      <c r="L418" s="506"/>
      <c r="M418" s="506"/>
      <c r="N418" s="505"/>
      <c r="P418" s="293"/>
      <c r="S418" s="293"/>
      <c r="X418" s="293"/>
    </row>
    <row r="419">
      <c r="B419" s="293"/>
      <c r="D419" s="293"/>
      <c r="E419" s="293"/>
      <c r="G419" s="505"/>
      <c r="H419" s="293"/>
      <c r="I419" s="293"/>
      <c r="J419" s="417"/>
      <c r="L419" s="506"/>
      <c r="M419" s="506"/>
      <c r="N419" s="505"/>
      <c r="P419" s="293"/>
      <c r="S419" s="293"/>
      <c r="X419" s="293"/>
    </row>
    <row r="420">
      <c r="B420" s="293"/>
      <c r="D420" s="293"/>
      <c r="E420" s="293"/>
      <c r="G420" s="505"/>
      <c r="H420" s="293"/>
      <c r="I420" s="293"/>
      <c r="J420" s="417"/>
      <c r="L420" s="506"/>
      <c r="M420" s="506"/>
      <c r="N420" s="505"/>
      <c r="P420" s="293"/>
      <c r="S420" s="293"/>
      <c r="X420" s="293"/>
    </row>
    <row r="421">
      <c r="B421" s="293"/>
      <c r="D421" s="293"/>
      <c r="E421" s="293"/>
      <c r="G421" s="505"/>
      <c r="H421" s="293"/>
      <c r="I421" s="293"/>
      <c r="J421" s="417"/>
      <c r="L421" s="506"/>
      <c r="M421" s="506"/>
      <c r="N421" s="505"/>
      <c r="P421" s="293"/>
      <c r="S421" s="293"/>
      <c r="X421" s="293"/>
    </row>
    <row r="422">
      <c r="B422" s="293"/>
      <c r="D422" s="293"/>
      <c r="E422" s="293"/>
      <c r="G422" s="505"/>
      <c r="H422" s="293"/>
      <c r="I422" s="293"/>
      <c r="J422" s="417"/>
      <c r="L422" s="506"/>
      <c r="M422" s="506"/>
      <c r="N422" s="505"/>
      <c r="P422" s="293"/>
      <c r="S422" s="293"/>
      <c r="X422" s="293"/>
    </row>
    <row r="423">
      <c r="B423" s="293"/>
      <c r="D423" s="293"/>
      <c r="E423" s="293"/>
      <c r="G423" s="505"/>
      <c r="H423" s="293"/>
      <c r="I423" s="293"/>
      <c r="J423" s="417"/>
      <c r="L423" s="506"/>
      <c r="M423" s="506"/>
      <c r="N423" s="505"/>
      <c r="P423" s="293"/>
      <c r="S423" s="293"/>
      <c r="X423" s="293"/>
    </row>
    <row r="424">
      <c r="B424" s="293"/>
      <c r="D424" s="293"/>
      <c r="E424" s="293"/>
      <c r="G424" s="505"/>
      <c r="H424" s="293"/>
      <c r="I424" s="293"/>
      <c r="J424" s="417"/>
      <c r="L424" s="506"/>
      <c r="M424" s="506"/>
      <c r="N424" s="505"/>
      <c r="P424" s="293"/>
      <c r="S424" s="293"/>
      <c r="X424" s="293"/>
    </row>
    <row r="425">
      <c r="B425" s="293"/>
      <c r="D425" s="293"/>
      <c r="E425" s="293"/>
      <c r="G425" s="505"/>
      <c r="H425" s="293"/>
      <c r="I425" s="293"/>
      <c r="J425" s="417"/>
      <c r="L425" s="506"/>
      <c r="M425" s="506"/>
      <c r="N425" s="505"/>
      <c r="P425" s="293"/>
      <c r="S425" s="293"/>
      <c r="X425" s="293"/>
    </row>
    <row r="426">
      <c r="B426" s="293"/>
      <c r="D426" s="293"/>
      <c r="E426" s="293"/>
      <c r="G426" s="505"/>
      <c r="H426" s="293"/>
      <c r="I426" s="293"/>
      <c r="J426" s="417"/>
      <c r="L426" s="506"/>
      <c r="M426" s="506"/>
      <c r="N426" s="505"/>
      <c r="P426" s="293"/>
      <c r="S426" s="293"/>
      <c r="X426" s="293"/>
    </row>
    <row r="427">
      <c r="B427" s="293"/>
      <c r="D427" s="293"/>
      <c r="E427" s="293"/>
      <c r="G427" s="505"/>
      <c r="H427" s="293"/>
      <c r="I427" s="293"/>
      <c r="J427" s="417"/>
      <c r="L427" s="506"/>
      <c r="M427" s="506"/>
      <c r="N427" s="505"/>
      <c r="P427" s="293"/>
      <c r="S427" s="293"/>
      <c r="X427" s="293"/>
    </row>
    <row r="428">
      <c r="B428" s="293"/>
      <c r="D428" s="293"/>
      <c r="E428" s="293"/>
      <c r="G428" s="505"/>
      <c r="H428" s="293"/>
      <c r="I428" s="293"/>
      <c r="J428" s="417"/>
      <c r="L428" s="506"/>
      <c r="M428" s="506"/>
      <c r="N428" s="505"/>
      <c r="P428" s="293"/>
      <c r="S428" s="293"/>
      <c r="X428" s="293"/>
    </row>
    <row r="429">
      <c r="B429" s="293"/>
      <c r="D429" s="293"/>
      <c r="E429" s="293"/>
      <c r="G429" s="505"/>
      <c r="H429" s="293"/>
      <c r="I429" s="293"/>
      <c r="J429" s="417"/>
      <c r="L429" s="506"/>
      <c r="M429" s="506"/>
      <c r="N429" s="505"/>
      <c r="P429" s="293"/>
      <c r="S429" s="293"/>
      <c r="X429" s="293"/>
    </row>
    <row r="430">
      <c r="B430" s="293"/>
      <c r="D430" s="293"/>
      <c r="E430" s="293"/>
      <c r="G430" s="505"/>
      <c r="H430" s="293"/>
      <c r="I430" s="293"/>
      <c r="J430" s="417"/>
      <c r="L430" s="506"/>
      <c r="M430" s="506"/>
      <c r="N430" s="505"/>
      <c r="P430" s="293"/>
      <c r="S430" s="293"/>
      <c r="X430" s="293"/>
    </row>
    <row r="431">
      <c r="B431" s="293"/>
      <c r="D431" s="293"/>
      <c r="E431" s="293"/>
      <c r="G431" s="505"/>
      <c r="H431" s="293"/>
      <c r="I431" s="293"/>
      <c r="J431" s="417"/>
      <c r="L431" s="506"/>
      <c r="M431" s="506"/>
      <c r="N431" s="505"/>
      <c r="P431" s="293"/>
      <c r="S431" s="293"/>
      <c r="X431" s="293"/>
    </row>
    <row r="432">
      <c r="B432" s="293"/>
      <c r="D432" s="293"/>
      <c r="E432" s="293"/>
      <c r="G432" s="505"/>
      <c r="H432" s="293"/>
      <c r="I432" s="293"/>
      <c r="J432" s="417"/>
      <c r="L432" s="506"/>
      <c r="M432" s="506"/>
      <c r="N432" s="505"/>
      <c r="P432" s="293"/>
      <c r="S432" s="293"/>
      <c r="X432" s="293"/>
    </row>
    <row r="433">
      <c r="B433" s="293"/>
      <c r="D433" s="293"/>
      <c r="E433" s="293"/>
      <c r="G433" s="505"/>
      <c r="H433" s="293"/>
      <c r="I433" s="293"/>
      <c r="J433" s="417"/>
      <c r="L433" s="506"/>
      <c r="M433" s="506"/>
      <c r="N433" s="505"/>
      <c r="P433" s="293"/>
      <c r="S433" s="293"/>
      <c r="X433" s="293"/>
    </row>
    <row r="434">
      <c r="B434" s="293"/>
      <c r="D434" s="293"/>
      <c r="E434" s="293"/>
      <c r="G434" s="505"/>
      <c r="H434" s="293"/>
      <c r="I434" s="293"/>
      <c r="J434" s="417"/>
      <c r="L434" s="506"/>
      <c r="M434" s="506"/>
      <c r="N434" s="505"/>
      <c r="P434" s="293"/>
      <c r="S434" s="293"/>
      <c r="X434" s="293"/>
    </row>
    <row r="435">
      <c r="B435" s="293"/>
      <c r="D435" s="293"/>
      <c r="E435" s="293"/>
      <c r="G435" s="505"/>
      <c r="H435" s="293"/>
      <c r="I435" s="293"/>
      <c r="J435" s="417"/>
      <c r="L435" s="506"/>
      <c r="M435" s="506"/>
      <c r="N435" s="505"/>
      <c r="P435" s="293"/>
      <c r="S435" s="293"/>
      <c r="X435" s="293"/>
    </row>
    <row r="436">
      <c r="B436" s="293"/>
      <c r="D436" s="293"/>
      <c r="E436" s="293"/>
      <c r="G436" s="505"/>
      <c r="H436" s="293"/>
      <c r="I436" s="293"/>
      <c r="J436" s="417"/>
      <c r="L436" s="506"/>
      <c r="M436" s="506"/>
      <c r="N436" s="505"/>
      <c r="P436" s="293"/>
      <c r="S436" s="293"/>
      <c r="X436" s="293"/>
    </row>
    <row r="437">
      <c r="B437" s="293"/>
      <c r="D437" s="293"/>
      <c r="E437" s="293"/>
      <c r="G437" s="505"/>
      <c r="H437" s="293"/>
      <c r="I437" s="293"/>
      <c r="J437" s="417"/>
      <c r="L437" s="506"/>
      <c r="M437" s="506"/>
      <c r="N437" s="505"/>
      <c r="P437" s="293"/>
      <c r="S437" s="293"/>
      <c r="X437" s="293"/>
    </row>
    <row r="438">
      <c r="B438" s="293"/>
      <c r="D438" s="293"/>
      <c r="E438" s="293"/>
      <c r="G438" s="505"/>
      <c r="H438" s="293"/>
      <c r="I438" s="293"/>
      <c r="J438" s="417"/>
      <c r="L438" s="506"/>
      <c r="M438" s="506"/>
      <c r="N438" s="505"/>
      <c r="P438" s="293"/>
      <c r="S438" s="293"/>
      <c r="X438" s="293"/>
    </row>
    <row r="439">
      <c r="B439" s="293"/>
      <c r="D439" s="293"/>
      <c r="E439" s="293"/>
      <c r="G439" s="505"/>
      <c r="H439" s="293"/>
      <c r="I439" s="293"/>
      <c r="J439" s="417"/>
      <c r="L439" s="506"/>
      <c r="M439" s="506"/>
      <c r="N439" s="505"/>
      <c r="P439" s="293"/>
      <c r="S439" s="293"/>
      <c r="X439" s="293"/>
    </row>
    <row r="440">
      <c r="B440" s="293"/>
      <c r="D440" s="293"/>
      <c r="E440" s="293"/>
      <c r="G440" s="505"/>
      <c r="H440" s="293"/>
      <c r="I440" s="293"/>
      <c r="J440" s="417"/>
      <c r="L440" s="506"/>
      <c r="M440" s="506"/>
      <c r="N440" s="505"/>
      <c r="P440" s="293"/>
      <c r="S440" s="293"/>
      <c r="X440" s="293"/>
    </row>
    <row r="441">
      <c r="B441" s="293"/>
      <c r="D441" s="293"/>
      <c r="E441" s="293"/>
      <c r="G441" s="505"/>
      <c r="H441" s="293"/>
      <c r="I441" s="293"/>
      <c r="J441" s="417"/>
      <c r="L441" s="506"/>
      <c r="M441" s="506"/>
      <c r="N441" s="505"/>
      <c r="P441" s="293"/>
      <c r="S441" s="293"/>
      <c r="X441" s="293"/>
    </row>
    <row r="442">
      <c r="B442" s="293"/>
      <c r="D442" s="293"/>
      <c r="E442" s="293"/>
      <c r="G442" s="505"/>
      <c r="H442" s="293"/>
      <c r="I442" s="293"/>
      <c r="J442" s="417"/>
      <c r="L442" s="506"/>
      <c r="M442" s="506"/>
      <c r="N442" s="505"/>
      <c r="P442" s="293"/>
      <c r="S442" s="293"/>
      <c r="X442" s="293"/>
    </row>
    <row r="443">
      <c r="B443" s="293"/>
      <c r="D443" s="293"/>
      <c r="E443" s="293"/>
      <c r="G443" s="505"/>
      <c r="H443" s="293"/>
      <c r="I443" s="293"/>
      <c r="J443" s="417"/>
      <c r="L443" s="506"/>
      <c r="M443" s="506"/>
      <c r="N443" s="505"/>
      <c r="P443" s="293"/>
      <c r="S443" s="293"/>
      <c r="X443" s="293"/>
    </row>
    <row r="444">
      <c r="B444" s="293"/>
      <c r="D444" s="293"/>
      <c r="E444" s="293"/>
      <c r="G444" s="505"/>
      <c r="H444" s="293"/>
      <c r="I444" s="293"/>
      <c r="J444" s="417"/>
      <c r="L444" s="506"/>
      <c r="M444" s="506"/>
      <c r="N444" s="505"/>
      <c r="P444" s="293"/>
      <c r="S444" s="293"/>
      <c r="X444" s="293"/>
    </row>
    <row r="445">
      <c r="B445" s="293"/>
      <c r="D445" s="293"/>
      <c r="E445" s="293"/>
      <c r="G445" s="505"/>
      <c r="H445" s="293"/>
      <c r="I445" s="293"/>
      <c r="J445" s="417"/>
      <c r="L445" s="506"/>
      <c r="M445" s="506"/>
      <c r="N445" s="505"/>
      <c r="P445" s="293"/>
      <c r="S445" s="293"/>
      <c r="X445" s="293"/>
    </row>
    <row r="446">
      <c r="B446" s="293"/>
      <c r="D446" s="293"/>
      <c r="E446" s="293"/>
      <c r="G446" s="505"/>
      <c r="H446" s="293"/>
      <c r="I446" s="293"/>
      <c r="J446" s="417"/>
      <c r="L446" s="506"/>
      <c r="M446" s="506"/>
      <c r="N446" s="505"/>
      <c r="P446" s="293"/>
      <c r="S446" s="293"/>
      <c r="X446" s="293"/>
    </row>
    <row r="447">
      <c r="B447" s="293"/>
      <c r="D447" s="293"/>
      <c r="E447" s="293"/>
      <c r="G447" s="505"/>
      <c r="H447" s="293"/>
      <c r="I447" s="293"/>
      <c r="J447" s="417"/>
      <c r="L447" s="506"/>
      <c r="M447" s="506"/>
      <c r="N447" s="505"/>
      <c r="P447" s="293"/>
      <c r="S447" s="293"/>
      <c r="X447" s="293"/>
    </row>
    <row r="448">
      <c r="B448" s="293"/>
      <c r="D448" s="293"/>
      <c r="E448" s="293"/>
      <c r="G448" s="505"/>
      <c r="H448" s="293"/>
      <c r="I448" s="293"/>
      <c r="J448" s="417"/>
      <c r="L448" s="506"/>
      <c r="M448" s="506"/>
      <c r="N448" s="505"/>
      <c r="P448" s="293"/>
      <c r="S448" s="293"/>
      <c r="X448" s="293"/>
    </row>
    <row r="449">
      <c r="B449" s="293"/>
      <c r="D449" s="293"/>
      <c r="E449" s="293"/>
      <c r="G449" s="505"/>
      <c r="H449" s="293"/>
      <c r="I449" s="293"/>
      <c r="J449" s="417"/>
      <c r="L449" s="506"/>
      <c r="M449" s="506"/>
      <c r="N449" s="505"/>
      <c r="P449" s="293"/>
      <c r="S449" s="293"/>
      <c r="X449" s="293"/>
    </row>
    <row r="450">
      <c r="B450" s="293"/>
      <c r="D450" s="293"/>
      <c r="E450" s="293"/>
      <c r="G450" s="505"/>
      <c r="H450" s="293"/>
      <c r="I450" s="293"/>
      <c r="J450" s="417"/>
      <c r="L450" s="506"/>
      <c r="M450" s="506"/>
      <c r="N450" s="505"/>
      <c r="P450" s="293"/>
      <c r="S450" s="293"/>
      <c r="X450" s="293"/>
    </row>
    <row r="451">
      <c r="B451" s="293"/>
      <c r="D451" s="293"/>
      <c r="E451" s="293"/>
      <c r="G451" s="505"/>
      <c r="H451" s="293"/>
      <c r="I451" s="293"/>
      <c r="J451" s="417"/>
      <c r="L451" s="506"/>
      <c r="M451" s="506"/>
      <c r="N451" s="505"/>
      <c r="P451" s="293"/>
      <c r="S451" s="293"/>
      <c r="X451" s="293"/>
    </row>
    <row r="452">
      <c r="B452" s="293"/>
      <c r="D452" s="293"/>
      <c r="E452" s="293"/>
      <c r="G452" s="505"/>
      <c r="H452" s="293"/>
      <c r="I452" s="293"/>
      <c r="J452" s="417"/>
      <c r="L452" s="506"/>
      <c r="M452" s="506"/>
      <c r="N452" s="505"/>
      <c r="P452" s="293"/>
      <c r="S452" s="293"/>
      <c r="X452" s="293"/>
    </row>
    <row r="453">
      <c r="B453" s="293"/>
      <c r="D453" s="293"/>
      <c r="E453" s="293"/>
      <c r="G453" s="505"/>
      <c r="H453" s="293"/>
      <c r="I453" s="293"/>
      <c r="J453" s="417"/>
      <c r="L453" s="506"/>
      <c r="M453" s="506"/>
      <c r="N453" s="505"/>
      <c r="P453" s="293"/>
      <c r="S453" s="293"/>
      <c r="X453" s="293"/>
    </row>
    <row r="454">
      <c r="B454" s="293"/>
      <c r="D454" s="293"/>
      <c r="E454" s="293"/>
      <c r="G454" s="505"/>
      <c r="H454" s="293"/>
      <c r="I454" s="293"/>
      <c r="J454" s="417"/>
      <c r="L454" s="506"/>
      <c r="M454" s="506"/>
      <c r="N454" s="505"/>
      <c r="P454" s="293"/>
      <c r="S454" s="293"/>
      <c r="X454" s="293"/>
    </row>
    <row r="455">
      <c r="B455" s="293"/>
      <c r="D455" s="293"/>
      <c r="E455" s="293"/>
      <c r="G455" s="505"/>
      <c r="H455" s="293"/>
      <c r="I455" s="293"/>
      <c r="J455" s="417"/>
      <c r="L455" s="506"/>
      <c r="M455" s="506"/>
      <c r="N455" s="505"/>
      <c r="P455" s="293"/>
      <c r="S455" s="293"/>
      <c r="X455" s="293"/>
    </row>
    <row r="456">
      <c r="B456" s="293"/>
      <c r="D456" s="293"/>
      <c r="E456" s="293"/>
      <c r="G456" s="505"/>
      <c r="H456" s="293"/>
      <c r="I456" s="293"/>
      <c r="J456" s="417"/>
      <c r="L456" s="506"/>
      <c r="M456" s="506"/>
      <c r="N456" s="505"/>
      <c r="P456" s="293"/>
      <c r="S456" s="293"/>
      <c r="X456" s="293"/>
    </row>
    <row r="457">
      <c r="B457" s="293"/>
      <c r="D457" s="293"/>
      <c r="E457" s="293"/>
      <c r="G457" s="505"/>
      <c r="H457" s="293"/>
      <c r="I457" s="293"/>
      <c r="J457" s="417"/>
      <c r="L457" s="506"/>
      <c r="M457" s="506"/>
      <c r="N457" s="505"/>
      <c r="P457" s="293"/>
      <c r="S457" s="293"/>
      <c r="X457" s="293"/>
    </row>
    <row r="458">
      <c r="B458" s="293"/>
      <c r="D458" s="293"/>
      <c r="E458" s="293"/>
      <c r="G458" s="505"/>
      <c r="H458" s="293"/>
      <c r="I458" s="293"/>
      <c r="J458" s="417"/>
      <c r="L458" s="506"/>
      <c r="M458" s="506"/>
      <c r="N458" s="505"/>
      <c r="P458" s="293"/>
      <c r="S458" s="293"/>
      <c r="X458" s="293"/>
    </row>
    <row r="459">
      <c r="B459" s="293"/>
      <c r="D459" s="293"/>
      <c r="E459" s="293"/>
      <c r="G459" s="505"/>
      <c r="H459" s="293"/>
      <c r="I459" s="293"/>
      <c r="J459" s="417"/>
      <c r="L459" s="506"/>
      <c r="M459" s="506"/>
      <c r="N459" s="505"/>
      <c r="P459" s="293"/>
      <c r="S459" s="293"/>
      <c r="X459" s="293"/>
    </row>
    <row r="460">
      <c r="B460" s="293"/>
      <c r="D460" s="293"/>
      <c r="E460" s="293"/>
      <c r="G460" s="505"/>
      <c r="H460" s="293"/>
      <c r="I460" s="293"/>
      <c r="J460" s="417"/>
      <c r="L460" s="506"/>
      <c r="M460" s="506"/>
      <c r="N460" s="505"/>
      <c r="P460" s="293"/>
      <c r="S460" s="293"/>
      <c r="X460" s="293"/>
    </row>
    <row r="461">
      <c r="B461" s="293"/>
      <c r="D461" s="293"/>
      <c r="E461" s="293"/>
      <c r="G461" s="505"/>
      <c r="H461" s="293"/>
      <c r="I461" s="293"/>
      <c r="J461" s="417"/>
      <c r="L461" s="506"/>
      <c r="M461" s="506"/>
      <c r="N461" s="505"/>
      <c r="P461" s="293"/>
      <c r="S461" s="293"/>
      <c r="X461" s="293"/>
    </row>
    <row r="462">
      <c r="B462" s="293"/>
      <c r="D462" s="293"/>
      <c r="E462" s="293"/>
      <c r="G462" s="505"/>
      <c r="H462" s="293"/>
      <c r="I462" s="293"/>
      <c r="J462" s="417"/>
      <c r="L462" s="506"/>
      <c r="M462" s="506"/>
      <c r="N462" s="505"/>
      <c r="P462" s="293"/>
      <c r="S462" s="293"/>
      <c r="X462" s="293"/>
    </row>
    <row r="463">
      <c r="B463" s="293"/>
      <c r="D463" s="293"/>
      <c r="E463" s="293"/>
      <c r="G463" s="505"/>
      <c r="H463" s="293"/>
      <c r="I463" s="293"/>
      <c r="J463" s="417"/>
      <c r="L463" s="506"/>
      <c r="M463" s="506"/>
      <c r="N463" s="505"/>
      <c r="P463" s="293"/>
      <c r="S463" s="293"/>
      <c r="X463" s="293"/>
    </row>
    <row r="464">
      <c r="B464" s="293"/>
      <c r="D464" s="293"/>
      <c r="E464" s="293"/>
      <c r="G464" s="505"/>
      <c r="H464" s="293"/>
      <c r="I464" s="293"/>
      <c r="J464" s="417"/>
      <c r="L464" s="506"/>
      <c r="M464" s="506"/>
      <c r="N464" s="505"/>
      <c r="P464" s="293"/>
      <c r="S464" s="293"/>
      <c r="X464" s="293"/>
    </row>
    <row r="465">
      <c r="B465" s="293"/>
      <c r="D465" s="293"/>
      <c r="E465" s="293"/>
      <c r="G465" s="505"/>
      <c r="H465" s="293"/>
      <c r="I465" s="293"/>
      <c r="J465" s="417"/>
      <c r="L465" s="506"/>
      <c r="M465" s="506"/>
      <c r="N465" s="505"/>
      <c r="P465" s="293"/>
      <c r="S465" s="293"/>
      <c r="X465" s="293"/>
    </row>
    <row r="466">
      <c r="B466" s="293"/>
      <c r="D466" s="293"/>
      <c r="E466" s="293"/>
      <c r="G466" s="505"/>
      <c r="H466" s="293"/>
      <c r="I466" s="293"/>
      <c r="J466" s="417"/>
      <c r="L466" s="506"/>
      <c r="M466" s="506"/>
      <c r="N466" s="505"/>
      <c r="P466" s="293"/>
      <c r="S466" s="293"/>
      <c r="X466" s="293"/>
    </row>
    <row r="467">
      <c r="B467" s="293"/>
      <c r="D467" s="293"/>
      <c r="E467" s="293"/>
      <c r="G467" s="505"/>
      <c r="H467" s="293"/>
      <c r="I467" s="293"/>
      <c r="J467" s="417"/>
      <c r="L467" s="506"/>
      <c r="M467" s="506"/>
      <c r="N467" s="505"/>
      <c r="P467" s="293"/>
      <c r="S467" s="293"/>
      <c r="X467" s="293"/>
    </row>
    <row r="468">
      <c r="B468" s="293"/>
      <c r="D468" s="293"/>
      <c r="E468" s="293"/>
      <c r="G468" s="505"/>
      <c r="H468" s="293"/>
      <c r="I468" s="293"/>
      <c r="J468" s="417"/>
      <c r="L468" s="506"/>
      <c r="M468" s="506"/>
      <c r="N468" s="505"/>
      <c r="P468" s="293"/>
      <c r="S468" s="293"/>
      <c r="X468" s="293"/>
    </row>
    <row r="469">
      <c r="B469" s="293"/>
      <c r="D469" s="293"/>
      <c r="E469" s="293"/>
      <c r="G469" s="505"/>
      <c r="H469" s="293"/>
      <c r="I469" s="293"/>
      <c r="J469" s="417"/>
      <c r="L469" s="506"/>
      <c r="M469" s="506"/>
      <c r="N469" s="505"/>
      <c r="P469" s="293"/>
      <c r="S469" s="293"/>
      <c r="X469" s="293"/>
    </row>
    <row r="470">
      <c r="B470" s="293"/>
      <c r="D470" s="293"/>
      <c r="E470" s="293"/>
      <c r="G470" s="505"/>
      <c r="H470" s="293"/>
      <c r="I470" s="293"/>
      <c r="J470" s="417"/>
      <c r="L470" s="506"/>
      <c r="M470" s="506"/>
      <c r="N470" s="505"/>
      <c r="P470" s="293"/>
      <c r="S470" s="293"/>
      <c r="X470" s="293"/>
    </row>
    <row r="471">
      <c r="B471" s="293"/>
      <c r="D471" s="293"/>
      <c r="E471" s="293"/>
      <c r="G471" s="505"/>
      <c r="H471" s="293"/>
      <c r="I471" s="293"/>
      <c r="J471" s="417"/>
      <c r="L471" s="506"/>
      <c r="M471" s="506"/>
      <c r="N471" s="505"/>
      <c r="P471" s="293"/>
      <c r="S471" s="293"/>
      <c r="X471" s="293"/>
    </row>
    <row r="472">
      <c r="B472" s="293"/>
      <c r="D472" s="293"/>
      <c r="E472" s="293"/>
      <c r="G472" s="505"/>
      <c r="H472" s="293"/>
      <c r="I472" s="293"/>
      <c r="J472" s="417"/>
      <c r="L472" s="506"/>
      <c r="M472" s="506"/>
      <c r="N472" s="505"/>
      <c r="P472" s="293"/>
      <c r="S472" s="293"/>
      <c r="X472" s="293"/>
    </row>
    <row r="473">
      <c r="B473" s="293"/>
      <c r="D473" s="293"/>
      <c r="E473" s="293"/>
      <c r="G473" s="505"/>
      <c r="H473" s="293"/>
      <c r="I473" s="293"/>
      <c r="J473" s="417"/>
      <c r="L473" s="506"/>
      <c r="M473" s="506"/>
      <c r="N473" s="505"/>
      <c r="P473" s="293"/>
      <c r="S473" s="293"/>
      <c r="X473" s="293"/>
    </row>
    <row r="474">
      <c r="B474" s="293"/>
      <c r="D474" s="293"/>
      <c r="E474" s="293"/>
      <c r="G474" s="505"/>
      <c r="H474" s="293"/>
      <c r="I474" s="293"/>
      <c r="J474" s="417"/>
      <c r="L474" s="506"/>
      <c r="M474" s="506"/>
      <c r="N474" s="505"/>
      <c r="P474" s="293"/>
      <c r="S474" s="293"/>
      <c r="X474" s="293"/>
    </row>
    <row r="475">
      <c r="B475" s="293"/>
      <c r="D475" s="293"/>
      <c r="E475" s="293"/>
      <c r="G475" s="505"/>
      <c r="H475" s="293"/>
      <c r="I475" s="293"/>
      <c r="J475" s="417"/>
      <c r="L475" s="506"/>
      <c r="M475" s="506"/>
      <c r="N475" s="505"/>
      <c r="P475" s="293"/>
      <c r="S475" s="293"/>
      <c r="X475" s="293"/>
    </row>
    <row r="476">
      <c r="B476" s="293"/>
      <c r="D476" s="293"/>
      <c r="E476" s="293"/>
      <c r="G476" s="505"/>
      <c r="H476" s="293"/>
      <c r="I476" s="293"/>
      <c r="J476" s="417"/>
      <c r="L476" s="506"/>
      <c r="M476" s="506"/>
      <c r="N476" s="505"/>
      <c r="P476" s="293"/>
      <c r="S476" s="293"/>
      <c r="X476" s="293"/>
    </row>
    <row r="477">
      <c r="B477" s="293"/>
      <c r="D477" s="293"/>
      <c r="E477" s="293"/>
      <c r="G477" s="505"/>
      <c r="H477" s="293"/>
      <c r="I477" s="293"/>
      <c r="J477" s="417"/>
      <c r="L477" s="506"/>
      <c r="M477" s="506"/>
      <c r="N477" s="505"/>
      <c r="P477" s="293"/>
      <c r="S477" s="293"/>
      <c r="X477" s="293"/>
    </row>
    <row r="478">
      <c r="B478" s="293"/>
      <c r="D478" s="293"/>
      <c r="E478" s="293"/>
      <c r="G478" s="505"/>
      <c r="H478" s="293"/>
      <c r="I478" s="293"/>
      <c r="J478" s="417"/>
      <c r="L478" s="506"/>
      <c r="M478" s="506"/>
      <c r="N478" s="505"/>
      <c r="P478" s="293"/>
      <c r="S478" s="293"/>
      <c r="X478" s="293"/>
    </row>
    <row r="479">
      <c r="B479" s="293"/>
      <c r="D479" s="293"/>
      <c r="E479" s="293"/>
      <c r="G479" s="505"/>
      <c r="H479" s="293"/>
      <c r="I479" s="293"/>
      <c r="J479" s="417"/>
      <c r="L479" s="506"/>
      <c r="M479" s="506"/>
      <c r="N479" s="505"/>
      <c r="P479" s="293"/>
      <c r="S479" s="293"/>
      <c r="X479" s="293"/>
    </row>
    <row r="480">
      <c r="B480" s="293"/>
      <c r="D480" s="293"/>
      <c r="E480" s="293"/>
      <c r="G480" s="505"/>
      <c r="H480" s="293"/>
      <c r="I480" s="293"/>
      <c r="J480" s="417"/>
      <c r="L480" s="506"/>
      <c r="M480" s="506"/>
      <c r="N480" s="505"/>
      <c r="P480" s="293"/>
      <c r="S480" s="293"/>
      <c r="X480" s="293"/>
    </row>
    <row r="481">
      <c r="B481" s="293"/>
      <c r="D481" s="293"/>
      <c r="E481" s="293"/>
      <c r="G481" s="505"/>
      <c r="H481" s="293"/>
      <c r="I481" s="293"/>
      <c r="J481" s="417"/>
      <c r="L481" s="506"/>
      <c r="M481" s="506"/>
      <c r="N481" s="505"/>
      <c r="P481" s="293"/>
      <c r="S481" s="293"/>
      <c r="X481" s="293"/>
    </row>
    <row r="482">
      <c r="B482" s="293"/>
      <c r="D482" s="293"/>
      <c r="E482" s="293"/>
      <c r="G482" s="505"/>
      <c r="H482" s="293"/>
      <c r="I482" s="293"/>
      <c r="J482" s="417"/>
      <c r="L482" s="506"/>
      <c r="M482" s="506"/>
      <c r="N482" s="505"/>
      <c r="P482" s="293"/>
      <c r="S482" s="293"/>
      <c r="X482" s="293"/>
    </row>
    <row r="483">
      <c r="B483" s="293"/>
      <c r="D483" s="293"/>
      <c r="E483" s="293"/>
      <c r="G483" s="505"/>
      <c r="H483" s="293"/>
      <c r="I483" s="293"/>
      <c r="J483" s="417"/>
      <c r="L483" s="506"/>
      <c r="M483" s="506"/>
      <c r="N483" s="505"/>
      <c r="P483" s="293"/>
      <c r="S483" s="293"/>
      <c r="X483" s="293"/>
    </row>
    <row r="484">
      <c r="B484" s="293"/>
      <c r="D484" s="293"/>
      <c r="E484" s="293"/>
      <c r="G484" s="505"/>
      <c r="H484" s="293"/>
      <c r="I484" s="293"/>
      <c r="J484" s="417"/>
      <c r="L484" s="506"/>
      <c r="M484" s="506"/>
      <c r="N484" s="505"/>
      <c r="P484" s="293"/>
      <c r="S484" s="293"/>
      <c r="X484" s="293"/>
    </row>
    <row r="485">
      <c r="B485" s="293"/>
      <c r="D485" s="293"/>
      <c r="E485" s="293"/>
      <c r="G485" s="505"/>
      <c r="H485" s="293"/>
      <c r="I485" s="293"/>
      <c r="J485" s="417"/>
      <c r="L485" s="506"/>
      <c r="M485" s="506"/>
      <c r="N485" s="505"/>
      <c r="P485" s="293"/>
      <c r="S485" s="293"/>
      <c r="X485" s="293"/>
    </row>
    <row r="486">
      <c r="B486" s="293"/>
      <c r="D486" s="293"/>
      <c r="E486" s="293"/>
      <c r="G486" s="505"/>
      <c r="H486" s="293"/>
      <c r="I486" s="293"/>
      <c r="J486" s="417"/>
      <c r="L486" s="506"/>
      <c r="M486" s="506"/>
      <c r="N486" s="505"/>
      <c r="P486" s="293"/>
      <c r="S486" s="293"/>
      <c r="X486" s="293"/>
    </row>
    <row r="487">
      <c r="B487" s="293"/>
      <c r="D487" s="293"/>
      <c r="E487" s="293"/>
      <c r="G487" s="505"/>
      <c r="H487" s="293"/>
      <c r="I487" s="293"/>
      <c r="J487" s="417"/>
      <c r="L487" s="506"/>
      <c r="M487" s="506"/>
      <c r="N487" s="505"/>
      <c r="P487" s="293"/>
      <c r="S487" s="293"/>
      <c r="X487" s="293"/>
    </row>
    <row r="488">
      <c r="B488" s="293"/>
      <c r="D488" s="293"/>
      <c r="E488" s="293"/>
      <c r="G488" s="505"/>
      <c r="H488" s="293"/>
      <c r="I488" s="293"/>
      <c r="J488" s="417"/>
      <c r="L488" s="506"/>
      <c r="M488" s="506"/>
      <c r="N488" s="505"/>
      <c r="P488" s="293"/>
      <c r="S488" s="293"/>
      <c r="X488" s="293"/>
    </row>
    <row r="489">
      <c r="B489" s="293"/>
      <c r="D489" s="293"/>
      <c r="E489" s="293"/>
      <c r="G489" s="505"/>
      <c r="H489" s="293"/>
      <c r="I489" s="293"/>
      <c r="J489" s="417"/>
      <c r="L489" s="506"/>
      <c r="M489" s="506"/>
      <c r="N489" s="505"/>
      <c r="P489" s="293"/>
      <c r="S489" s="293"/>
      <c r="X489" s="293"/>
    </row>
    <row r="490">
      <c r="B490" s="293"/>
      <c r="D490" s="293"/>
      <c r="E490" s="293"/>
      <c r="G490" s="505"/>
      <c r="H490" s="293"/>
      <c r="I490" s="293"/>
      <c r="J490" s="417"/>
      <c r="L490" s="506"/>
      <c r="M490" s="506"/>
      <c r="N490" s="505"/>
      <c r="P490" s="293"/>
      <c r="S490" s="293"/>
      <c r="X490" s="293"/>
    </row>
    <row r="491">
      <c r="B491" s="293"/>
      <c r="D491" s="293"/>
      <c r="E491" s="293"/>
      <c r="G491" s="505"/>
      <c r="H491" s="293"/>
      <c r="I491" s="293"/>
      <c r="J491" s="417"/>
      <c r="L491" s="506"/>
      <c r="M491" s="506"/>
      <c r="N491" s="505"/>
      <c r="P491" s="293"/>
      <c r="S491" s="293"/>
      <c r="X491" s="293"/>
    </row>
    <row r="492">
      <c r="B492" s="293"/>
      <c r="D492" s="293"/>
      <c r="E492" s="293"/>
      <c r="G492" s="505"/>
      <c r="H492" s="293"/>
      <c r="I492" s="293"/>
      <c r="J492" s="417"/>
      <c r="L492" s="506"/>
      <c r="M492" s="506"/>
      <c r="N492" s="505"/>
      <c r="P492" s="293"/>
      <c r="S492" s="293"/>
      <c r="X492" s="293"/>
    </row>
    <row r="493">
      <c r="B493" s="293"/>
      <c r="D493" s="293"/>
      <c r="E493" s="293"/>
      <c r="G493" s="505"/>
      <c r="H493" s="293"/>
      <c r="I493" s="293"/>
      <c r="J493" s="417"/>
      <c r="L493" s="506"/>
      <c r="M493" s="506"/>
      <c r="N493" s="505"/>
      <c r="P493" s="293"/>
      <c r="S493" s="293"/>
      <c r="X493" s="293"/>
    </row>
    <row r="494">
      <c r="B494" s="293"/>
      <c r="D494" s="293"/>
      <c r="E494" s="293"/>
      <c r="G494" s="505"/>
      <c r="H494" s="293"/>
      <c r="I494" s="293"/>
      <c r="J494" s="417"/>
      <c r="L494" s="506"/>
      <c r="M494" s="506"/>
      <c r="N494" s="505"/>
      <c r="P494" s="293"/>
      <c r="S494" s="293"/>
      <c r="X494" s="293"/>
    </row>
    <row r="495">
      <c r="B495" s="293"/>
      <c r="D495" s="293"/>
      <c r="E495" s="293"/>
      <c r="G495" s="505"/>
      <c r="H495" s="293"/>
      <c r="I495" s="293"/>
      <c r="J495" s="417"/>
      <c r="L495" s="506"/>
      <c r="M495" s="506"/>
      <c r="N495" s="505"/>
      <c r="P495" s="293"/>
      <c r="S495" s="293"/>
      <c r="X495" s="293"/>
    </row>
    <row r="496">
      <c r="B496" s="293"/>
      <c r="D496" s="293"/>
      <c r="E496" s="293"/>
      <c r="G496" s="505"/>
      <c r="H496" s="293"/>
      <c r="I496" s="293"/>
      <c r="J496" s="417"/>
      <c r="L496" s="506"/>
      <c r="M496" s="506"/>
      <c r="N496" s="505"/>
      <c r="P496" s="293"/>
      <c r="S496" s="293"/>
      <c r="X496" s="293"/>
    </row>
    <row r="497">
      <c r="B497" s="293"/>
      <c r="D497" s="293"/>
      <c r="E497" s="293"/>
      <c r="G497" s="505"/>
      <c r="H497" s="293"/>
      <c r="I497" s="293"/>
      <c r="J497" s="417"/>
      <c r="L497" s="506"/>
      <c r="M497" s="506"/>
      <c r="N497" s="505"/>
      <c r="P497" s="293"/>
      <c r="S497" s="293"/>
      <c r="X497" s="293"/>
    </row>
    <row r="498">
      <c r="B498" s="293"/>
      <c r="D498" s="293"/>
      <c r="E498" s="293"/>
      <c r="G498" s="505"/>
      <c r="H498" s="293"/>
      <c r="I498" s="293"/>
      <c r="J498" s="417"/>
      <c r="L498" s="506"/>
      <c r="M498" s="506"/>
      <c r="N498" s="505"/>
      <c r="P498" s="293"/>
      <c r="S498" s="293"/>
      <c r="X498" s="293"/>
    </row>
    <row r="499">
      <c r="B499" s="293"/>
      <c r="D499" s="293"/>
      <c r="E499" s="293"/>
      <c r="G499" s="505"/>
      <c r="H499" s="293"/>
      <c r="I499" s="293"/>
      <c r="J499" s="417"/>
      <c r="L499" s="506"/>
      <c r="M499" s="506"/>
      <c r="N499" s="505"/>
      <c r="P499" s="293"/>
      <c r="S499" s="293"/>
      <c r="X499" s="293"/>
    </row>
    <row r="500">
      <c r="B500" s="293"/>
      <c r="D500" s="293"/>
      <c r="E500" s="293"/>
      <c r="G500" s="505"/>
      <c r="H500" s="293"/>
      <c r="I500" s="293"/>
      <c r="J500" s="417"/>
      <c r="L500" s="506"/>
      <c r="M500" s="506"/>
      <c r="N500" s="505"/>
      <c r="P500" s="293"/>
      <c r="S500" s="293"/>
      <c r="X500" s="293"/>
    </row>
    <row r="501">
      <c r="B501" s="293"/>
      <c r="D501" s="293"/>
      <c r="E501" s="293"/>
      <c r="G501" s="505"/>
      <c r="H501" s="293"/>
      <c r="I501" s="293"/>
      <c r="J501" s="417"/>
      <c r="L501" s="506"/>
      <c r="M501" s="506"/>
      <c r="N501" s="505"/>
      <c r="P501" s="293"/>
      <c r="S501" s="293"/>
      <c r="X501" s="293"/>
    </row>
    <row r="502">
      <c r="B502" s="293"/>
      <c r="D502" s="293"/>
      <c r="E502" s="293"/>
      <c r="G502" s="505"/>
      <c r="H502" s="293"/>
      <c r="I502" s="293"/>
      <c r="J502" s="417"/>
      <c r="L502" s="506"/>
      <c r="M502" s="506"/>
      <c r="N502" s="505"/>
      <c r="P502" s="293"/>
      <c r="S502" s="293"/>
      <c r="X502" s="293"/>
    </row>
    <row r="503">
      <c r="B503" s="293"/>
      <c r="D503" s="293"/>
      <c r="E503" s="293"/>
      <c r="G503" s="505"/>
      <c r="H503" s="293"/>
      <c r="I503" s="293"/>
      <c r="J503" s="417"/>
      <c r="L503" s="506"/>
      <c r="M503" s="506"/>
      <c r="N503" s="505"/>
      <c r="P503" s="293"/>
      <c r="S503" s="293"/>
      <c r="X503" s="293"/>
    </row>
    <row r="504">
      <c r="B504" s="293"/>
      <c r="D504" s="293"/>
      <c r="E504" s="293"/>
      <c r="G504" s="505"/>
      <c r="H504" s="293"/>
      <c r="I504" s="293"/>
      <c r="J504" s="417"/>
      <c r="L504" s="506"/>
      <c r="M504" s="506"/>
      <c r="N504" s="505"/>
      <c r="P504" s="293"/>
      <c r="S504" s="293"/>
      <c r="X504" s="293"/>
    </row>
    <row r="505">
      <c r="B505" s="293"/>
      <c r="D505" s="293"/>
      <c r="E505" s="293"/>
      <c r="G505" s="505"/>
      <c r="H505" s="293"/>
      <c r="I505" s="293"/>
      <c r="J505" s="417"/>
      <c r="L505" s="506"/>
      <c r="M505" s="506"/>
      <c r="N505" s="505"/>
      <c r="P505" s="293"/>
      <c r="S505" s="293"/>
      <c r="X505" s="293"/>
    </row>
    <row r="506">
      <c r="B506" s="293"/>
      <c r="D506" s="293"/>
      <c r="E506" s="293"/>
      <c r="G506" s="505"/>
      <c r="H506" s="293"/>
      <c r="I506" s="293"/>
      <c r="J506" s="417"/>
      <c r="L506" s="506"/>
      <c r="M506" s="506"/>
      <c r="N506" s="505"/>
      <c r="P506" s="293"/>
      <c r="S506" s="293"/>
      <c r="X506" s="293"/>
    </row>
    <row r="507">
      <c r="B507" s="293"/>
      <c r="D507" s="293"/>
      <c r="E507" s="293"/>
      <c r="G507" s="505"/>
      <c r="H507" s="293"/>
      <c r="I507" s="293"/>
      <c r="J507" s="417"/>
      <c r="L507" s="506"/>
      <c r="M507" s="506"/>
      <c r="N507" s="505"/>
      <c r="P507" s="293"/>
      <c r="S507" s="293"/>
      <c r="X507" s="293"/>
    </row>
    <row r="508">
      <c r="B508" s="293"/>
      <c r="D508" s="293"/>
      <c r="E508" s="293"/>
      <c r="G508" s="505"/>
      <c r="H508" s="293"/>
      <c r="I508" s="293"/>
      <c r="J508" s="417"/>
      <c r="L508" s="506"/>
      <c r="M508" s="506"/>
      <c r="N508" s="505"/>
      <c r="P508" s="293"/>
      <c r="S508" s="293"/>
      <c r="X508" s="293"/>
    </row>
    <row r="509">
      <c r="B509" s="293"/>
      <c r="D509" s="293"/>
      <c r="E509" s="293"/>
      <c r="G509" s="505"/>
      <c r="H509" s="293"/>
      <c r="I509" s="293"/>
      <c r="J509" s="417"/>
      <c r="L509" s="506"/>
      <c r="M509" s="506"/>
      <c r="N509" s="505"/>
      <c r="P509" s="293"/>
      <c r="S509" s="293"/>
      <c r="X509" s="293"/>
    </row>
    <row r="510">
      <c r="B510" s="293"/>
      <c r="D510" s="293"/>
      <c r="E510" s="293"/>
      <c r="G510" s="505"/>
      <c r="H510" s="293"/>
      <c r="I510" s="293"/>
      <c r="J510" s="417"/>
      <c r="L510" s="506"/>
      <c r="M510" s="506"/>
      <c r="N510" s="505"/>
      <c r="P510" s="293"/>
      <c r="S510" s="293"/>
      <c r="X510" s="293"/>
    </row>
    <row r="511">
      <c r="B511" s="293"/>
      <c r="D511" s="293"/>
      <c r="E511" s="293"/>
      <c r="G511" s="505"/>
      <c r="H511" s="293"/>
      <c r="I511" s="293"/>
      <c r="J511" s="417"/>
      <c r="L511" s="506"/>
      <c r="M511" s="506"/>
      <c r="N511" s="505"/>
      <c r="P511" s="293"/>
      <c r="S511" s="293"/>
      <c r="X511" s="293"/>
    </row>
    <row r="512">
      <c r="B512" s="293"/>
      <c r="D512" s="293"/>
      <c r="E512" s="293"/>
      <c r="G512" s="505"/>
      <c r="H512" s="293"/>
      <c r="I512" s="293"/>
      <c r="J512" s="417"/>
      <c r="L512" s="506"/>
      <c r="M512" s="506"/>
      <c r="N512" s="505"/>
      <c r="P512" s="293"/>
      <c r="S512" s="293"/>
      <c r="X512" s="293"/>
    </row>
    <row r="513">
      <c r="B513" s="293"/>
      <c r="D513" s="293"/>
      <c r="E513" s="293"/>
      <c r="G513" s="505"/>
      <c r="H513" s="293"/>
      <c r="I513" s="293"/>
      <c r="J513" s="417"/>
      <c r="L513" s="506"/>
      <c r="M513" s="506"/>
      <c r="N513" s="505"/>
      <c r="P513" s="293"/>
      <c r="S513" s="293"/>
      <c r="X513" s="293"/>
    </row>
    <row r="514">
      <c r="B514" s="293"/>
      <c r="D514" s="293"/>
      <c r="E514" s="293"/>
      <c r="G514" s="505"/>
      <c r="H514" s="293"/>
      <c r="I514" s="293"/>
      <c r="J514" s="417"/>
      <c r="L514" s="506"/>
      <c r="M514" s="506"/>
      <c r="N514" s="505"/>
      <c r="P514" s="293"/>
      <c r="S514" s="293"/>
      <c r="X514" s="293"/>
    </row>
    <row r="515">
      <c r="B515" s="293"/>
      <c r="D515" s="293"/>
      <c r="E515" s="293"/>
      <c r="G515" s="505"/>
      <c r="H515" s="293"/>
      <c r="I515" s="293"/>
      <c r="J515" s="417"/>
      <c r="L515" s="506"/>
      <c r="M515" s="506"/>
      <c r="N515" s="505"/>
      <c r="P515" s="293"/>
      <c r="S515" s="293"/>
      <c r="X515" s="293"/>
    </row>
    <row r="516">
      <c r="B516" s="293"/>
      <c r="D516" s="293"/>
      <c r="E516" s="293"/>
      <c r="G516" s="505"/>
      <c r="H516" s="293"/>
      <c r="I516" s="293"/>
      <c r="J516" s="417"/>
      <c r="L516" s="506"/>
      <c r="M516" s="506"/>
      <c r="N516" s="505"/>
      <c r="P516" s="293"/>
      <c r="S516" s="293"/>
      <c r="X516" s="293"/>
    </row>
    <row r="517">
      <c r="B517" s="293"/>
      <c r="D517" s="293"/>
      <c r="E517" s="293"/>
      <c r="G517" s="505"/>
      <c r="H517" s="293"/>
      <c r="I517" s="293"/>
      <c r="J517" s="417"/>
      <c r="L517" s="506"/>
      <c r="M517" s="506"/>
      <c r="N517" s="505"/>
      <c r="P517" s="293"/>
      <c r="S517" s="293"/>
      <c r="X517" s="293"/>
    </row>
    <row r="518">
      <c r="B518" s="293"/>
      <c r="D518" s="293"/>
      <c r="E518" s="293"/>
      <c r="G518" s="505"/>
      <c r="H518" s="293"/>
      <c r="I518" s="293"/>
      <c r="J518" s="417"/>
      <c r="L518" s="506"/>
      <c r="M518" s="506"/>
      <c r="N518" s="505"/>
      <c r="P518" s="293"/>
      <c r="S518" s="293"/>
      <c r="X518" s="293"/>
    </row>
    <row r="519">
      <c r="B519" s="293"/>
      <c r="D519" s="293"/>
      <c r="E519" s="293"/>
      <c r="G519" s="505"/>
      <c r="H519" s="293"/>
      <c r="I519" s="293"/>
      <c r="J519" s="417"/>
      <c r="L519" s="506"/>
      <c r="M519" s="506"/>
      <c r="N519" s="505"/>
      <c r="P519" s="293"/>
      <c r="S519" s="293"/>
      <c r="X519" s="293"/>
    </row>
    <row r="520">
      <c r="B520" s="293"/>
      <c r="D520" s="293"/>
      <c r="E520" s="293"/>
      <c r="G520" s="505"/>
      <c r="H520" s="293"/>
      <c r="I520" s="293"/>
      <c r="J520" s="417"/>
      <c r="L520" s="506"/>
      <c r="M520" s="506"/>
      <c r="N520" s="505"/>
      <c r="P520" s="293"/>
      <c r="S520" s="293"/>
      <c r="X520" s="293"/>
    </row>
    <row r="521">
      <c r="B521" s="293"/>
      <c r="D521" s="293"/>
      <c r="E521" s="293"/>
      <c r="G521" s="505"/>
      <c r="H521" s="293"/>
      <c r="I521" s="293"/>
      <c r="J521" s="417"/>
      <c r="L521" s="506"/>
      <c r="M521" s="506"/>
      <c r="N521" s="505"/>
      <c r="P521" s="293"/>
      <c r="S521" s="293"/>
      <c r="X521" s="293"/>
    </row>
    <row r="522">
      <c r="B522" s="293"/>
      <c r="D522" s="293"/>
      <c r="E522" s="293"/>
      <c r="G522" s="505"/>
      <c r="H522" s="293"/>
      <c r="I522" s="293"/>
      <c r="J522" s="417"/>
      <c r="L522" s="506"/>
      <c r="M522" s="506"/>
      <c r="N522" s="505"/>
      <c r="P522" s="293"/>
      <c r="S522" s="293"/>
      <c r="X522" s="293"/>
    </row>
    <row r="523">
      <c r="B523" s="293"/>
      <c r="D523" s="293"/>
      <c r="E523" s="293"/>
      <c r="G523" s="505"/>
      <c r="H523" s="293"/>
      <c r="I523" s="293"/>
      <c r="J523" s="417"/>
      <c r="L523" s="506"/>
      <c r="M523" s="506"/>
      <c r="N523" s="505"/>
      <c r="P523" s="293"/>
      <c r="S523" s="293"/>
      <c r="X523" s="293"/>
    </row>
    <row r="524">
      <c r="B524" s="293"/>
      <c r="D524" s="293"/>
      <c r="E524" s="293"/>
      <c r="G524" s="505"/>
      <c r="H524" s="293"/>
      <c r="I524" s="293"/>
      <c r="J524" s="417"/>
      <c r="L524" s="506"/>
      <c r="M524" s="506"/>
      <c r="N524" s="505"/>
      <c r="P524" s="293"/>
      <c r="S524" s="293"/>
      <c r="X524" s="293"/>
    </row>
    <row r="525">
      <c r="B525" s="293"/>
      <c r="D525" s="293"/>
      <c r="E525" s="293"/>
      <c r="G525" s="505"/>
      <c r="H525" s="293"/>
      <c r="I525" s="293"/>
      <c r="J525" s="417"/>
      <c r="L525" s="506"/>
      <c r="M525" s="506"/>
      <c r="N525" s="505"/>
      <c r="P525" s="293"/>
      <c r="S525" s="293"/>
      <c r="X525" s="293"/>
    </row>
    <row r="526">
      <c r="B526" s="293"/>
      <c r="D526" s="293"/>
      <c r="E526" s="293"/>
      <c r="G526" s="505"/>
      <c r="H526" s="293"/>
      <c r="I526" s="293"/>
      <c r="J526" s="417"/>
      <c r="L526" s="506"/>
      <c r="M526" s="506"/>
      <c r="N526" s="505"/>
      <c r="P526" s="293"/>
      <c r="S526" s="293"/>
      <c r="X526" s="293"/>
    </row>
    <row r="527">
      <c r="B527" s="293"/>
      <c r="D527" s="293"/>
      <c r="E527" s="293"/>
      <c r="G527" s="505"/>
      <c r="H527" s="293"/>
      <c r="I527" s="293"/>
      <c r="J527" s="417"/>
      <c r="L527" s="506"/>
      <c r="M527" s="506"/>
      <c r="N527" s="505"/>
      <c r="P527" s="293"/>
      <c r="S527" s="293"/>
      <c r="X527" s="293"/>
    </row>
    <row r="528">
      <c r="B528" s="293"/>
      <c r="D528" s="293"/>
      <c r="E528" s="293"/>
      <c r="G528" s="505"/>
      <c r="H528" s="293"/>
      <c r="I528" s="293"/>
      <c r="J528" s="417"/>
      <c r="L528" s="506"/>
      <c r="M528" s="506"/>
      <c r="N528" s="505"/>
      <c r="P528" s="293"/>
      <c r="S528" s="293"/>
      <c r="X528" s="293"/>
    </row>
    <row r="529">
      <c r="B529" s="293"/>
      <c r="D529" s="293"/>
      <c r="E529" s="293"/>
      <c r="G529" s="505"/>
      <c r="H529" s="293"/>
      <c r="I529" s="293"/>
      <c r="J529" s="417"/>
      <c r="L529" s="506"/>
      <c r="M529" s="506"/>
      <c r="N529" s="505"/>
      <c r="P529" s="293"/>
      <c r="S529" s="293"/>
      <c r="X529" s="293"/>
    </row>
    <row r="530">
      <c r="B530" s="293"/>
      <c r="D530" s="293"/>
      <c r="E530" s="293"/>
      <c r="G530" s="505"/>
      <c r="H530" s="293"/>
      <c r="I530" s="293"/>
      <c r="J530" s="417"/>
      <c r="L530" s="506"/>
      <c r="M530" s="506"/>
      <c r="N530" s="505"/>
      <c r="P530" s="293"/>
      <c r="S530" s="293"/>
      <c r="X530" s="293"/>
    </row>
    <row r="531">
      <c r="B531" s="293"/>
      <c r="D531" s="293"/>
      <c r="E531" s="293"/>
      <c r="G531" s="505"/>
      <c r="H531" s="293"/>
      <c r="I531" s="293"/>
      <c r="J531" s="417"/>
      <c r="L531" s="506"/>
      <c r="M531" s="506"/>
      <c r="N531" s="505"/>
      <c r="P531" s="293"/>
      <c r="S531" s="293"/>
      <c r="X531" s="293"/>
    </row>
    <row r="532">
      <c r="B532" s="293"/>
      <c r="D532" s="293"/>
      <c r="E532" s="293"/>
      <c r="G532" s="505"/>
      <c r="H532" s="293"/>
      <c r="I532" s="293"/>
      <c r="J532" s="417"/>
      <c r="L532" s="506"/>
      <c r="M532" s="506"/>
      <c r="N532" s="505"/>
      <c r="P532" s="293"/>
      <c r="S532" s="293"/>
      <c r="X532" s="293"/>
    </row>
    <row r="533">
      <c r="B533" s="293"/>
      <c r="D533" s="293"/>
      <c r="E533" s="293"/>
      <c r="G533" s="505"/>
      <c r="H533" s="293"/>
      <c r="I533" s="293"/>
      <c r="J533" s="417"/>
      <c r="L533" s="506"/>
      <c r="M533" s="506"/>
      <c r="N533" s="505"/>
      <c r="P533" s="293"/>
      <c r="S533" s="293"/>
      <c r="X533" s="293"/>
    </row>
    <row r="534">
      <c r="B534" s="293"/>
      <c r="D534" s="293"/>
      <c r="E534" s="293"/>
      <c r="G534" s="505"/>
      <c r="H534" s="293"/>
      <c r="I534" s="293"/>
      <c r="J534" s="417"/>
      <c r="L534" s="506"/>
      <c r="M534" s="506"/>
      <c r="N534" s="505"/>
      <c r="P534" s="293"/>
      <c r="S534" s="293"/>
      <c r="X534" s="293"/>
    </row>
    <row r="535">
      <c r="B535" s="293"/>
      <c r="D535" s="293"/>
      <c r="E535" s="293"/>
      <c r="G535" s="505"/>
      <c r="H535" s="293"/>
      <c r="I535" s="293"/>
      <c r="J535" s="417"/>
      <c r="L535" s="506"/>
      <c r="M535" s="506"/>
      <c r="N535" s="505"/>
      <c r="P535" s="293"/>
      <c r="S535" s="293"/>
      <c r="X535" s="293"/>
    </row>
    <row r="536">
      <c r="B536" s="293"/>
      <c r="D536" s="293"/>
      <c r="E536" s="293"/>
      <c r="G536" s="505"/>
      <c r="H536" s="293"/>
      <c r="I536" s="293"/>
      <c r="J536" s="417"/>
      <c r="L536" s="506"/>
      <c r="M536" s="506"/>
      <c r="N536" s="505"/>
      <c r="P536" s="293"/>
      <c r="S536" s="293"/>
      <c r="X536" s="293"/>
    </row>
    <row r="537">
      <c r="B537" s="293"/>
      <c r="D537" s="293"/>
      <c r="E537" s="293"/>
      <c r="G537" s="505"/>
      <c r="H537" s="293"/>
      <c r="I537" s="293"/>
      <c r="J537" s="417"/>
      <c r="L537" s="506"/>
      <c r="M537" s="506"/>
      <c r="N537" s="505"/>
      <c r="P537" s="293"/>
      <c r="S537" s="293"/>
      <c r="X537" s="293"/>
    </row>
    <row r="538">
      <c r="B538" s="293"/>
      <c r="D538" s="293"/>
      <c r="E538" s="293"/>
      <c r="G538" s="505"/>
      <c r="H538" s="293"/>
      <c r="I538" s="293"/>
      <c r="J538" s="417"/>
      <c r="L538" s="506"/>
      <c r="M538" s="506"/>
      <c r="N538" s="505"/>
      <c r="P538" s="293"/>
      <c r="S538" s="293"/>
      <c r="X538" s="293"/>
    </row>
    <row r="539">
      <c r="B539" s="293"/>
      <c r="D539" s="293"/>
      <c r="E539" s="293"/>
      <c r="G539" s="505"/>
      <c r="H539" s="293"/>
      <c r="I539" s="293"/>
      <c r="J539" s="417"/>
      <c r="L539" s="506"/>
      <c r="M539" s="506"/>
      <c r="N539" s="505"/>
      <c r="P539" s="293"/>
      <c r="S539" s="293"/>
      <c r="X539" s="293"/>
    </row>
    <row r="540">
      <c r="B540" s="293"/>
      <c r="D540" s="293"/>
      <c r="E540" s="293"/>
      <c r="G540" s="505"/>
      <c r="H540" s="293"/>
      <c r="I540" s="293"/>
      <c r="J540" s="417"/>
      <c r="L540" s="506"/>
      <c r="M540" s="506"/>
      <c r="N540" s="505"/>
      <c r="P540" s="293"/>
      <c r="S540" s="293"/>
      <c r="X540" s="293"/>
    </row>
    <row r="541">
      <c r="B541" s="293"/>
      <c r="D541" s="293"/>
      <c r="E541" s="293"/>
      <c r="G541" s="505"/>
      <c r="H541" s="293"/>
      <c r="I541" s="293"/>
      <c r="J541" s="417"/>
      <c r="L541" s="506"/>
      <c r="M541" s="506"/>
      <c r="N541" s="505"/>
      <c r="P541" s="293"/>
      <c r="S541" s="293"/>
      <c r="X541" s="293"/>
    </row>
    <row r="542">
      <c r="B542" s="293"/>
      <c r="D542" s="293"/>
      <c r="E542" s="293"/>
      <c r="G542" s="505"/>
      <c r="H542" s="293"/>
      <c r="I542" s="293"/>
      <c r="J542" s="417"/>
      <c r="L542" s="506"/>
      <c r="M542" s="506"/>
      <c r="N542" s="505"/>
      <c r="P542" s="293"/>
      <c r="S542" s="293"/>
      <c r="X542" s="293"/>
    </row>
    <row r="543">
      <c r="B543" s="293"/>
      <c r="D543" s="293"/>
      <c r="E543" s="293"/>
      <c r="G543" s="505"/>
      <c r="H543" s="293"/>
      <c r="I543" s="293"/>
      <c r="J543" s="417"/>
      <c r="L543" s="506"/>
      <c r="M543" s="506"/>
      <c r="N543" s="505"/>
      <c r="P543" s="293"/>
      <c r="S543" s="293"/>
      <c r="X543" s="293"/>
    </row>
    <row r="544">
      <c r="B544" s="293"/>
      <c r="D544" s="293"/>
      <c r="E544" s="293"/>
      <c r="G544" s="505"/>
      <c r="H544" s="293"/>
      <c r="I544" s="293"/>
      <c r="J544" s="417"/>
      <c r="L544" s="506"/>
      <c r="M544" s="506"/>
      <c r="N544" s="505"/>
      <c r="P544" s="293"/>
      <c r="S544" s="293"/>
      <c r="X544" s="293"/>
    </row>
    <row r="545">
      <c r="B545" s="293"/>
      <c r="D545" s="293"/>
      <c r="E545" s="293"/>
      <c r="G545" s="505"/>
      <c r="H545" s="293"/>
      <c r="I545" s="293"/>
      <c r="J545" s="417"/>
      <c r="L545" s="506"/>
      <c r="M545" s="506"/>
      <c r="N545" s="505"/>
      <c r="P545" s="293"/>
      <c r="S545" s="293"/>
      <c r="X545" s="293"/>
    </row>
    <row r="546">
      <c r="B546" s="293"/>
      <c r="D546" s="293"/>
      <c r="E546" s="293"/>
      <c r="G546" s="505"/>
      <c r="H546" s="293"/>
      <c r="I546" s="293"/>
      <c r="J546" s="417"/>
      <c r="L546" s="506"/>
      <c r="M546" s="506"/>
      <c r="N546" s="505"/>
      <c r="P546" s="293"/>
      <c r="S546" s="293"/>
      <c r="X546" s="293"/>
    </row>
    <row r="547">
      <c r="B547" s="293"/>
      <c r="D547" s="293"/>
      <c r="E547" s="293"/>
      <c r="G547" s="505"/>
      <c r="H547" s="293"/>
      <c r="I547" s="293"/>
      <c r="J547" s="417"/>
      <c r="L547" s="506"/>
      <c r="M547" s="506"/>
      <c r="N547" s="505"/>
      <c r="P547" s="293"/>
      <c r="S547" s="293"/>
      <c r="X547" s="293"/>
    </row>
    <row r="548">
      <c r="B548" s="293"/>
      <c r="D548" s="293"/>
      <c r="E548" s="293"/>
      <c r="G548" s="505"/>
      <c r="H548" s="293"/>
      <c r="I548" s="293"/>
      <c r="J548" s="417"/>
      <c r="L548" s="506"/>
      <c r="M548" s="506"/>
      <c r="N548" s="505"/>
      <c r="P548" s="293"/>
      <c r="S548" s="293"/>
      <c r="X548" s="293"/>
    </row>
    <row r="549">
      <c r="B549" s="293"/>
      <c r="D549" s="293"/>
      <c r="E549" s="293"/>
      <c r="G549" s="505"/>
      <c r="H549" s="293"/>
      <c r="I549" s="293"/>
      <c r="J549" s="417"/>
      <c r="L549" s="506"/>
      <c r="M549" s="506"/>
      <c r="N549" s="505"/>
      <c r="P549" s="293"/>
      <c r="S549" s="293"/>
      <c r="X549" s="293"/>
    </row>
    <row r="550">
      <c r="B550" s="293"/>
      <c r="D550" s="293"/>
      <c r="E550" s="293"/>
      <c r="G550" s="505"/>
      <c r="H550" s="293"/>
      <c r="I550" s="293"/>
      <c r="J550" s="417"/>
      <c r="L550" s="506"/>
      <c r="M550" s="506"/>
      <c r="N550" s="505"/>
      <c r="P550" s="293"/>
      <c r="S550" s="293"/>
      <c r="X550" s="293"/>
    </row>
    <row r="551">
      <c r="B551" s="293"/>
      <c r="D551" s="293"/>
      <c r="E551" s="293"/>
      <c r="G551" s="505"/>
      <c r="H551" s="293"/>
      <c r="I551" s="293"/>
      <c r="J551" s="417"/>
      <c r="L551" s="506"/>
      <c r="M551" s="506"/>
      <c r="N551" s="505"/>
      <c r="P551" s="293"/>
      <c r="S551" s="293"/>
      <c r="X551" s="293"/>
    </row>
    <row r="552">
      <c r="B552" s="293"/>
      <c r="D552" s="293"/>
      <c r="E552" s="293"/>
      <c r="G552" s="505"/>
      <c r="H552" s="293"/>
      <c r="I552" s="293"/>
      <c r="J552" s="417"/>
      <c r="L552" s="506"/>
      <c r="M552" s="506"/>
      <c r="N552" s="505"/>
      <c r="P552" s="293"/>
      <c r="S552" s="293"/>
      <c r="X552" s="293"/>
    </row>
    <row r="553">
      <c r="B553" s="293"/>
      <c r="D553" s="293"/>
      <c r="E553" s="293"/>
      <c r="G553" s="505"/>
      <c r="H553" s="293"/>
      <c r="I553" s="293"/>
      <c r="J553" s="417"/>
      <c r="L553" s="506"/>
      <c r="M553" s="506"/>
      <c r="N553" s="505"/>
      <c r="P553" s="293"/>
      <c r="S553" s="293"/>
      <c r="X553" s="293"/>
    </row>
    <row r="554">
      <c r="B554" s="293"/>
      <c r="D554" s="293"/>
      <c r="E554" s="293"/>
      <c r="G554" s="505"/>
      <c r="H554" s="293"/>
      <c r="I554" s="293"/>
      <c r="J554" s="417"/>
      <c r="L554" s="506"/>
      <c r="M554" s="506"/>
      <c r="N554" s="505"/>
      <c r="P554" s="293"/>
      <c r="S554" s="293"/>
      <c r="X554" s="293"/>
    </row>
    <row r="555">
      <c r="B555" s="293"/>
      <c r="D555" s="293"/>
      <c r="E555" s="293"/>
      <c r="G555" s="505"/>
      <c r="H555" s="293"/>
      <c r="I555" s="293"/>
      <c r="J555" s="417"/>
      <c r="L555" s="506"/>
      <c r="M555" s="506"/>
      <c r="N555" s="505"/>
      <c r="P555" s="293"/>
      <c r="S555" s="293"/>
      <c r="X555" s="293"/>
    </row>
    <row r="556">
      <c r="B556" s="293"/>
      <c r="D556" s="293"/>
      <c r="E556" s="293"/>
      <c r="G556" s="505"/>
      <c r="H556" s="293"/>
      <c r="I556" s="293"/>
      <c r="J556" s="417"/>
      <c r="L556" s="506"/>
      <c r="M556" s="506"/>
      <c r="N556" s="505"/>
      <c r="P556" s="293"/>
      <c r="S556" s="293"/>
      <c r="X556" s="293"/>
    </row>
    <row r="557">
      <c r="B557" s="293"/>
      <c r="D557" s="293"/>
      <c r="E557" s="293"/>
      <c r="G557" s="505"/>
      <c r="H557" s="293"/>
      <c r="I557" s="293"/>
      <c r="J557" s="417"/>
      <c r="L557" s="506"/>
      <c r="M557" s="506"/>
      <c r="N557" s="505"/>
      <c r="P557" s="293"/>
      <c r="S557" s="293"/>
      <c r="X557" s="293"/>
    </row>
    <row r="558">
      <c r="B558" s="293"/>
      <c r="D558" s="293"/>
      <c r="E558" s="293"/>
      <c r="G558" s="505"/>
      <c r="H558" s="293"/>
      <c r="I558" s="293"/>
      <c r="J558" s="417"/>
      <c r="L558" s="506"/>
      <c r="M558" s="506"/>
      <c r="N558" s="505"/>
      <c r="P558" s="293"/>
      <c r="S558" s="293"/>
      <c r="X558" s="293"/>
    </row>
    <row r="559">
      <c r="B559" s="293"/>
      <c r="D559" s="293"/>
      <c r="E559" s="293"/>
      <c r="G559" s="505"/>
      <c r="H559" s="293"/>
      <c r="I559" s="293"/>
      <c r="J559" s="417"/>
      <c r="L559" s="506"/>
      <c r="M559" s="506"/>
      <c r="N559" s="505"/>
      <c r="P559" s="293"/>
      <c r="S559" s="293"/>
      <c r="X559" s="293"/>
    </row>
    <row r="560">
      <c r="B560" s="293"/>
      <c r="D560" s="293"/>
      <c r="E560" s="293"/>
      <c r="G560" s="505"/>
      <c r="H560" s="293"/>
      <c r="I560" s="293"/>
      <c r="J560" s="417"/>
      <c r="L560" s="506"/>
      <c r="M560" s="506"/>
      <c r="N560" s="505"/>
      <c r="P560" s="293"/>
      <c r="S560" s="293"/>
      <c r="X560" s="293"/>
    </row>
    <row r="561">
      <c r="B561" s="293"/>
      <c r="D561" s="293"/>
      <c r="E561" s="293"/>
      <c r="G561" s="505"/>
      <c r="H561" s="293"/>
      <c r="I561" s="293"/>
      <c r="J561" s="417"/>
      <c r="L561" s="506"/>
      <c r="M561" s="506"/>
      <c r="N561" s="505"/>
      <c r="P561" s="293"/>
      <c r="S561" s="293"/>
      <c r="X561" s="293"/>
    </row>
    <row r="562">
      <c r="B562" s="293"/>
      <c r="D562" s="293"/>
      <c r="E562" s="293"/>
      <c r="G562" s="505"/>
      <c r="H562" s="293"/>
      <c r="I562" s="293"/>
      <c r="J562" s="417"/>
      <c r="L562" s="506"/>
      <c r="M562" s="506"/>
      <c r="N562" s="505"/>
      <c r="P562" s="293"/>
      <c r="S562" s="293"/>
      <c r="X562" s="293"/>
    </row>
    <row r="563">
      <c r="B563" s="293"/>
      <c r="D563" s="293"/>
      <c r="E563" s="293"/>
      <c r="G563" s="505"/>
      <c r="H563" s="293"/>
      <c r="I563" s="293"/>
      <c r="J563" s="417"/>
      <c r="L563" s="506"/>
      <c r="M563" s="506"/>
      <c r="N563" s="505"/>
      <c r="P563" s="293"/>
      <c r="S563" s="293"/>
      <c r="X563" s="293"/>
    </row>
    <row r="564">
      <c r="B564" s="293"/>
      <c r="D564" s="293"/>
      <c r="E564" s="293"/>
      <c r="G564" s="505"/>
      <c r="H564" s="293"/>
      <c r="I564" s="293"/>
      <c r="J564" s="417"/>
      <c r="L564" s="506"/>
      <c r="M564" s="506"/>
      <c r="N564" s="505"/>
      <c r="P564" s="293"/>
      <c r="S564" s="293"/>
      <c r="X564" s="293"/>
    </row>
    <row r="565">
      <c r="B565" s="293"/>
      <c r="D565" s="293"/>
      <c r="E565" s="293"/>
      <c r="G565" s="505"/>
      <c r="H565" s="293"/>
      <c r="I565" s="293"/>
      <c r="J565" s="417"/>
      <c r="L565" s="506"/>
      <c r="M565" s="506"/>
      <c r="N565" s="505"/>
      <c r="P565" s="293"/>
      <c r="S565" s="293"/>
      <c r="X565" s="293"/>
    </row>
    <row r="566">
      <c r="B566" s="293"/>
      <c r="D566" s="293"/>
      <c r="E566" s="293"/>
      <c r="G566" s="505"/>
      <c r="H566" s="293"/>
      <c r="I566" s="293"/>
      <c r="J566" s="417"/>
      <c r="L566" s="506"/>
      <c r="M566" s="506"/>
      <c r="N566" s="505"/>
      <c r="P566" s="293"/>
      <c r="S566" s="293"/>
      <c r="X566" s="293"/>
    </row>
    <row r="567">
      <c r="B567" s="293"/>
      <c r="D567" s="293"/>
      <c r="E567" s="293"/>
      <c r="G567" s="505"/>
      <c r="H567" s="293"/>
      <c r="I567" s="293"/>
      <c r="J567" s="417"/>
      <c r="L567" s="506"/>
      <c r="M567" s="506"/>
      <c r="N567" s="505"/>
      <c r="P567" s="293"/>
      <c r="S567" s="293"/>
      <c r="X567" s="293"/>
    </row>
    <row r="568">
      <c r="B568" s="293"/>
      <c r="D568" s="293"/>
      <c r="E568" s="293"/>
      <c r="G568" s="505"/>
      <c r="H568" s="293"/>
      <c r="I568" s="293"/>
      <c r="J568" s="417"/>
      <c r="L568" s="506"/>
      <c r="M568" s="506"/>
      <c r="N568" s="505"/>
      <c r="P568" s="293"/>
      <c r="S568" s="293"/>
      <c r="X568" s="293"/>
    </row>
    <row r="569">
      <c r="B569" s="293"/>
      <c r="D569" s="293"/>
      <c r="E569" s="293"/>
      <c r="G569" s="505"/>
      <c r="H569" s="293"/>
      <c r="I569" s="293"/>
      <c r="J569" s="417"/>
      <c r="L569" s="506"/>
      <c r="M569" s="506"/>
      <c r="N569" s="505"/>
      <c r="P569" s="293"/>
      <c r="S569" s="293"/>
      <c r="X569" s="293"/>
    </row>
    <row r="570">
      <c r="B570" s="293"/>
      <c r="D570" s="293"/>
      <c r="E570" s="293"/>
      <c r="G570" s="505"/>
      <c r="H570" s="293"/>
      <c r="I570" s="293"/>
      <c r="J570" s="417"/>
      <c r="L570" s="506"/>
      <c r="M570" s="506"/>
      <c r="N570" s="505"/>
      <c r="P570" s="293"/>
      <c r="S570" s="293"/>
      <c r="X570" s="293"/>
    </row>
    <row r="571">
      <c r="B571" s="293"/>
      <c r="D571" s="293"/>
      <c r="E571" s="293"/>
      <c r="G571" s="505"/>
      <c r="H571" s="293"/>
      <c r="I571" s="293"/>
      <c r="J571" s="417"/>
      <c r="L571" s="506"/>
      <c r="M571" s="506"/>
      <c r="N571" s="505"/>
      <c r="P571" s="293"/>
      <c r="S571" s="293"/>
      <c r="X571" s="293"/>
    </row>
    <row r="572">
      <c r="B572" s="293"/>
      <c r="D572" s="293"/>
      <c r="E572" s="293"/>
      <c r="G572" s="505"/>
      <c r="H572" s="293"/>
      <c r="I572" s="293"/>
      <c r="J572" s="417"/>
      <c r="L572" s="506"/>
      <c r="M572" s="506"/>
      <c r="N572" s="505"/>
      <c r="P572" s="293"/>
      <c r="S572" s="293"/>
      <c r="X572" s="293"/>
    </row>
    <row r="573">
      <c r="B573" s="293"/>
      <c r="D573" s="293"/>
      <c r="E573" s="293"/>
      <c r="G573" s="505"/>
      <c r="H573" s="293"/>
      <c r="I573" s="293"/>
      <c r="J573" s="417"/>
      <c r="L573" s="506"/>
      <c r="M573" s="506"/>
      <c r="N573" s="505"/>
      <c r="P573" s="293"/>
      <c r="S573" s="293"/>
      <c r="X573" s="293"/>
    </row>
    <row r="574">
      <c r="B574" s="293"/>
      <c r="D574" s="293"/>
      <c r="E574" s="293"/>
      <c r="G574" s="505"/>
      <c r="H574" s="293"/>
      <c r="I574" s="293"/>
      <c r="J574" s="417"/>
      <c r="L574" s="506"/>
      <c r="M574" s="506"/>
      <c r="N574" s="505"/>
      <c r="P574" s="293"/>
      <c r="S574" s="293"/>
      <c r="X574" s="293"/>
    </row>
    <row r="575">
      <c r="B575" s="293"/>
      <c r="D575" s="293"/>
      <c r="E575" s="293"/>
      <c r="G575" s="505"/>
      <c r="H575" s="293"/>
      <c r="I575" s="293"/>
      <c r="J575" s="417"/>
      <c r="L575" s="506"/>
      <c r="M575" s="506"/>
      <c r="N575" s="505"/>
      <c r="P575" s="293"/>
      <c r="S575" s="293"/>
      <c r="X575" s="293"/>
    </row>
    <row r="576">
      <c r="B576" s="293"/>
      <c r="D576" s="293"/>
      <c r="E576" s="293"/>
      <c r="G576" s="505"/>
      <c r="H576" s="293"/>
      <c r="I576" s="293"/>
      <c r="J576" s="417"/>
      <c r="L576" s="506"/>
      <c r="M576" s="506"/>
      <c r="N576" s="505"/>
      <c r="P576" s="293"/>
      <c r="S576" s="293"/>
      <c r="X576" s="293"/>
    </row>
    <row r="577">
      <c r="B577" s="293"/>
      <c r="D577" s="293"/>
      <c r="E577" s="293"/>
      <c r="G577" s="505"/>
      <c r="H577" s="293"/>
      <c r="I577" s="293"/>
      <c r="J577" s="417"/>
      <c r="L577" s="506"/>
      <c r="M577" s="506"/>
      <c r="N577" s="505"/>
      <c r="P577" s="293"/>
      <c r="S577" s="293"/>
      <c r="X577" s="293"/>
    </row>
    <row r="578">
      <c r="B578" s="293"/>
      <c r="D578" s="293"/>
      <c r="E578" s="293"/>
      <c r="G578" s="505"/>
      <c r="H578" s="293"/>
      <c r="I578" s="293"/>
      <c r="J578" s="417"/>
      <c r="L578" s="506"/>
      <c r="M578" s="506"/>
      <c r="N578" s="505"/>
      <c r="P578" s="293"/>
      <c r="S578" s="293"/>
      <c r="X578" s="293"/>
    </row>
    <row r="579">
      <c r="B579" s="293"/>
      <c r="D579" s="293"/>
      <c r="E579" s="293"/>
      <c r="G579" s="505"/>
      <c r="H579" s="293"/>
      <c r="I579" s="293"/>
      <c r="J579" s="417"/>
      <c r="L579" s="506"/>
      <c r="M579" s="506"/>
      <c r="N579" s="505"/>
      <c r="P579" s="293"/>
      <c r="S579" s="293"/>
      <c r="X579" s="293"/>
    </row>
    <row r="580">
      <c r="B580" s="293"/>
      <c r="D580" s="293"/>
      <c r="E580" s="293"/>
      <c r="G580" s="505"/>
      <c r="H580" s="293"/>
      <c r="I580" s="293"/>
      <c r="J580" s="417"/>
      <c r="L580" s="506"/>
      <c r="M580" s="506"/>
      <c r="N580" s="505"/>
      <c r="P580" s="293"/>
      <c r="S580" s="293"/>
      <c r="X580" s="293"/>
    </row>
    <row r="581">
      <c r="B581" s="293"/>
      <c r="D581" s="293"/>
      <c r="E581" s="293"/>
      <c r="G581" s="505"/>
      <c r="H581" s="293"/>
      <c r="I581" s="293"/>
      <c r="J581" s="417"/>
      <c r="L581" s="506"/>
      <c r="M581" s="506"/>
      <c r="N581" s="505"/>
      <c r="P581" s="293"/>
      <c r="S581" s="293"/>
      <c r="X581" s="293"/>
    </row>
    <row r="582">
      <c r="B582" s="293"/>
      <c r="D582" s="293"/>
      <c r="E582" s="293"/>
      <c r="G582" s="505"/>
      <c r="H582" s="293"/>
      <c r="I582" s="293"/>
      <c r="J582" s="417"/>
      <c r="L582" s="506"/>
      <c r="M582" s="506"/>
      <c r="N582" s="505"/>
      <c r="P582" s="293"/>
      <c r="S582" s="293"/>
      <c r="X582" s="293"/>
    </row>
    <row r="583">
      <c r="B583" s="293"/>
      <c r="D583" s="293"/>
      <c r="E583" s="293"/>
      <c r="G583" s="505"/>
      <c r="H583" s="293"/>
      <c r="I583" s="293"/>
      <c r="J583" s="417"/>
      <c r="L583" s="506"/>
      <c r="M583" s="506"/>
      <c r="N583" s="505"/>
      <c r="P583" s="293"/>
      <c r="S583" s="293"/>
      <c r="X583" s="293"/>
    </row>
    <row r="584">
      <c r="B584" s="293"/>
      <c r="D584" s="293"/>
      <c r="E584" s="293"/>
      <c r="G584" s="505"/>
      <c r="H584" s="293"/>
      <c r="I584" s="293"/>
      <c r="J584" s="417"/>
      <c r="L584" s="506"/>
      <c r="M584" s="506"/>
      <c r="N584" s="505"/>
      <c r="P584" s="293"/>
      <c r="S584" s="293"/>
      <c r="X584" s="293"/>
    </row>
    <row r="585">
      <c r="B585" s="293"/>
      <c r="D585" s="293"/>
      <c r="E585" s="293"/>
      <c r="G585" s="505"/>
      <c r="H585" s="293"/>
      <c r="I585" s="293"/>
      <c r="J585" s="417"/>
      <c r="L585" s="506"/>
      <c r="M585" s="506"/>
      <c r="N585" s="505"/>
      <c r="P585" s="293"/>
      <c r="S585" s="293"/>
      <c r="X585" s="293"/>
    </row>
    <row r="586">
      <c r="B586" s="293"/>
      <c r="D586" s="293"/>
      <c r="E586" s="293"/>
      <c r="G586" s="505"/>
      <c r="H586" s="293"/>
      <c r="I586" s="293"/>
      <c r="J586" s="417"/>
      <c r="L586" s="506"/>
      <c r="M586" s="506"/>
      <c r="N586" s="505"/>
      <c r="P586" s="293"/>
      <c r="S586" s="293"/>
      <c r="X586" s="293"/>
    </row>
    <row r="587">
      <c r="B587" s="293"/>
      <c r="D587" s="293"/>
      <c r="E587" s="293"/>
      <c r="G587" s="505"/>
      <c r="H587" s="293"/>
      <c r="I587" s="293"/>
      <c r="J587" s="417"/>
      <c r="L587" s="506"/>
      <c r="M587" s="506"/>
      <c r="N587" s="505"/>
      <c r="P587" s="293"/>
      <c r="S587" s="293"/>
      <c r="X587" s="293"/>
    </row>
    <row r="588">
      <c r="B588" s="293"/>
      <c r="D588" s="293"/>
      <c r="E588" s="293"/>
      <c r="G588" s="505"/>
      <c r="H588" s="293"/>
      <c r="I588" s="293"/>
      <c r="J588" s="417"/>
      <c r="L588" s="506"/>
      <c r="M588" s="506"/>
      <c r="N588" s="505"/>
      <c r="P588" s="293"/>
      <c r="S588" s="293"/>
      <c r="X588" s="293"/>
    </row>
    <row r="589">
      <c r="B589" s="293"/>
      <c r="D589" s="293"/>
      <c r="E589" s="293"/>
      <c r="G589" s="505"/>
      <c r="H589" s="293"/>
      <c r="I589" s="293"/>
      <c r="J589" s="417"/>
      <c r="L589" s="506"/>
      <c r="M589" s="506"/>
      <c r="N589" s="505"/>
      <c r="P589" s="293"/>
      <c r="S589" s="293"/>
      <c r="X589" s="293"/>
    </row>
    <row r="590">
      <c r="B590" s="293"/>
      <c r="D590" s="293"/>
      <c r="E590" s="293"/>
      <c r="G590" s="505"/>
      <c r="H590" s="293"/>
      <c r="I590" s="293"/>
      <c r="J590" s="417"/>
      <c r="L590" s="506"/>
      <c r="M590" s="506"/>
      <c r="N590" s="505"/>
      <c r="P590" s="293"/>
      <c r="S590" s="293"/>
      <c r="X590" s="293"/>
    </row>
    <row r="591">
      <c r="B591" s="293"/>
      <c r="D591" s="293"/>
      <c r="E591" s="293"/>
      <c r="G591" s="505"/>
      <c r="H591" s="293"/>
      <c r="I591" s="293"/>
      <c r="J591" s="417"/>
      <c r="L591" s="506"/>
      <c r="M591" s="506"/>
      <c r="N591" s="505"/>
      <c r="P591" s="293"/>
      <c r="S591" s="293"/>
      <c r="X591" s="293"/>
    </row>
    <row r="592">
      <c r="B592" s="293"/>
      <c r="D592" s="293"/>
      <c r="E592" s="293"/>
      <c r="G592" s="505"/>
      <c r="H592" s="293"/>
      <c r="I592" s="293"/>
      <c r="J592" s="417"/>
      <c r="L592" s="506"/>
      <c r="M592" s="506"/>
      <c r="N592" s="505"/>
      <c r="P592" s="293"/>
      <c r="S592" s="293"/>
      <c r="X592" s="293"/>
    </row>
    <row r="593">
      <c r="B593" s="293"/>
      <c r="D593" s="293"/>
      <c r="E593" s="293"/>
      <c r="G593" s="505"/>
      <c r="H593" s="293"/>
      <c r="I593" s="293"/>
      <c r="J593" s="417"/>
      <c r="L593" s="506"/>
      <c r="M593" s="506"/>
      <c r="N593" s="505"/>
      <c r="P593" s="293"/>
      <c r="S593" s="293"/>
      <c r="X593" s="293"/>
    </row>
    <row r="594">
      <c r="B594" s="293"/>
      <c r="D594" s="293"/>
      <c r="E594" s="293"/>
      <c r="G594" s="505"/>
      <c r="H594" s="293"/>
      <c r="I594" s="293"/>
      <c r="J594" s="417"/>
      <c r="L594" s="506"/>
      <c r="M594" s="506"/>
      <c r="N594" s="505"/>
      <c r="P594" s="293"/>
      <c r="S594" s="293"/>
      <c r="X594" s="293"/>
    </row>
    <row r="595">
      <c r="B595" s="293"/>
      <c r="D595" s="293"/>
      <c r="E595" s="293"/>
      <c r="G595" s="505"/>
      <c r="H595" s="293"/>
      <c r="I595" s="293"/>
      <c r="J595" s="417"/>
      <c r="L595" s="506"/>
      <c r="M595" s="506"/>
      <c r="N595" s="505"/>
      <c r="P595" s="293"/>
      <c r="S595" s="293"/>
      <c r="X595" s="293"/>
    </row>
    <row r="596">
      <c r="B596" s="293"/>
      <c r="D596" s="293"/>
      <c r="E596" s="293"/>
      <c r="G596" s="505"/>
      <c r="H596" s="293"/>
      <c r="I596" s="293"/>
      <c r="J596" s="417"/>
      <c r="L596" s="506"/>
      <c r="M596" s="506"/>
      <c r="N596" s="505"/>
      <c r="P596" s="293"/>
      <c r="S596" s="293"/>
      <c r="X596" s="293"/>
    </row>
    <row r="597">
      <c r="B597" s="293"/>
      <c r="D597" s="293"/>
      <c r="E597" s="293"/>
      <c r="G597" s="505"/>
      <c r="H597" s="293"/>
      <c r="I597" s="293"/>
      <c r="J597" s="417"/>
      <c r="L597" s="506"/>
      <c r="M597" s="506"/>
      <c r="N597" s="505"/>
      <c r="P597" s="293"/>
      <c r="S597" s="293"/>
      <c r="X597" s="293"/>
    </row>
    <row r="598">
      <c r="B598" s="293"/>
      <c r="D598" s="293"/>
      <c r="E598" s="293"/>
      <c r="G598" s="505"/>
      <c r="H598" s="293"/>
      <c r="I598" s="293"/>
      <c r="J598" s="417"/>
      <c r="L598" s="506"/>
      <c r="M598" s="506"/>
      <c r="N598" s="505"/>
      <c r="P598" s="293"/>
      <c r="S598" s="293"/>
      <c r="X598" s="293"/>
    </row>
    <row r="599">
      <c r="B599" s="293"/>
      <c r="D599" s="293"/>
      <c r="E599" s="293"/>
      <c r="G599" s="505"/>
      <c r="H599" s="293"/>
      <c r="I599" s="293"/>
      <c r="J599" s="417"/>
      <c r="L599" s="506"/>
      <c r="M599" s="506"/>
      <c r="N599" s="505"/>
      <c r="P599" s="293"/>
      <c r="S599" s="293"/>
      <c r="X599" s="293"/>
    </row>
    <row r="600">
      <c r="B600" s="293"/>
      <c r="D600" s="293"/>
      <c r="E600" s="293"/>
      <c r="G600" s="505"/>
      <c r="H600" s="293"/>
      <c r="I600" s="293"/>
      <c r="J600" s="417"/>
      <c r="L600" s="506"/>
      <c r="M600" s="506"/>
      <c r="N600" s="505"/>
      <c r="P600" s="293"/>
      <c r="S600" s="293"/>
      <c r="X600" s="293"/>
    </row>
    <row r="601">
      <c r="B601" s="293"/>
      <c r="D601" s="293"/>
      <c r="E601" s="293"/>
      <c r="G601" s="505"/>
      <c r="H601" s="293"/>
      <c r="I601" s="293"/>
      <c r="J601" s="417"/>
      <c r="L601" s="506"/>
      <c r="M601" s="506"/>
      <c r="N601" s="505"/>
      <c r="P601" s="293"/>
      <c r="S601" s="293"/>
      <c r="X601" s="293"/>
    </row>
    <row r="602">
      <c r="B602" s="293"/>
      <c r="D602" s="293"/>
      <c r="E602" s="293"/>
      <c r="G602" s="505"/>
      <c r="H602" s="293"/>
      <c r="I602" s="293"/>
      <c r="J602" s="417"/>
      <c r="L602" s="506"/>
      <c r="M602" s="506"/>
      <c r="N602" s="505"/>
      <c r="P602" s="293"/>
      <c r="S602" s="293"/>
      <c r="X602" s="293"/>
    </row>
    <row r="603">
      <c r="B603" s="293"/>
      <c r="D603" s="293"/>
      <c r="E603" s="293"/>
      <c r="G603" s="505"/>
      <c r="H603" s="293"/>
      <c r="I603" s="293"/>
      <c r="J603" s="417"/>
      <c r="L603" s="506"/>
      <c r="M603" s="506"/>
      <c r="N603" s="505"/>
      <c r="P603" s="293"/>
      <c r="S603" s="293"/>
      <c r="X603" s="293"/>
    </row>
    <row r="604">
      <c r="B604" s="293"/>
      <c r="D604" s="293"/>
      <c r="E604" s="293"/>
      <c r="G604" s="505"/>
      <c r="H604" s="293"/>
      <c r="I604" s="293"/>
      <c r="J604" s="417"/>
      <c r="L604" s="506"/>
      <c r="M604" s="506"/>
      <c r="N604" s="505"/>
      <c r="P604" s="293"/>
      <c r="S604" s="293"/>
      <c r="X604" s="293"/>
    </row>
    <row r="605">
      <c r="B605" s="293"/>
      <c r="D605" s="293"/>
      <c r="E605" s="293"/>
      <c r="G605" s="505"/>
      <c r="H605" s="293"/>
      <c r="I605" s="293"/>
      <c r="J605" s="417"/>
      <c r="L605" s="506"/>
      <c r="M605" s="506"/>
      <c r="N605" s="505"/>
      <c r="P605" s="293"/>
      <c r="S605" s="293"/>
      <c r="X605" s="293"/>
    </row>
    <row r="606">
      <c r="B606" s="293"/>
      <c r="D606" s="293"/>
      <c r="E606" s="293"/>
      <c r="G606" s="505"/>
      <c r="H606" s="293"/>
      <c r="I606" s="293"/>
      <c r="J606" s="417"/>
      <c r="L606" s="506"/>
      <c r="M606" s="506"/>
      <c r="N606" s="505"/>
      <c r="P606" s="293"/>
      <c r="S606" s="293"/>
      <c r="X606" s="293"/>
    </row>
    <row r="607">
      <c r="B607" s="293"/>
      <c r="D607" s="293"/>
      <c r="E607" s="293"/>
      <c r="G607" s="505"/>
      <c r="H607" s="293"/>
      <c r="I607" s="293"/>
      <c r="J607" s="417"/>
      <c r="L607" s="506"/>
      <c r="M607" s="506"/>
      <c r="N607" s="505"/>
      <c r="P607" s="293"/>
      <c r="S607" s="293"/>
      <c r="X607" s="293"/>
    </row>
    <row r="608">
      <c r="B608" s="293"/>
      <c r="D608" s="293"/>
      <c r="E608" s="293"/>
      <c r="G608" s="505"/>
      <c r="H608" s="293"/>
      <c r="I608" s="293"/>
      <c r="J608" s="417"/>
      <c r="L608" s="506"/>
      <c r="M608" s="506"/>
      <c r="N608" s="505"/>
      <c r="P608" s="293"/>
      <c r="S608" s="293"/>
      <c r="X608" s="293"/>
    </row>
    <row r="609">
      <c r="B609" s="293"/>
      <c r="D609" s="293"/>
      <c r="E609" s="293"/>
      <c r="G609" s="505"/>
      <c r="H609" s="293"/>
      <c r="I609" s="293"/>
      <c r="J609" s="417"/>
      <c r="L609" s="506"/>
      <c r="M609" s="506"/>
      <c r="N609" s="505"/>
      <c r="P609" s="293"/>
      <c r="S609" s="293"/>
      <c r="X609" s="293"/>
    </row>
    <row r="610">
      <c r="B610" s="293"/>
      <c r="D610" s="293"/>
      <c r="E610" s="293"/>
      <c r="G610" s="505"/>
      <c r="H610" s="293"/>
      <c r="I610" s="293"/>
      <c r="J610" s="417"/>
      <c r="L610" s="506"/>
      <c r="M610" s="506"/>
      <c r="N610" s="505"/>
      <c r="P610" s="293"/>
      <c r="S610" s="293"/>
      <c r="X610" s="293"/>
    </row>
    <row r="611">
      <c r="B611" s="293"/>
      <c r="D611" s="293"/>
      <c r="E611" s="293"/>
      <c r="G611" s="505"/>
      <c r="H611" s="293"/>
      <c r="I611" s="293"/>
      <c r="J611" s="417"/>
      <c r="L611" s="506"/>
      <c r="M611" s="506"/>
      <c r="N611" s="505"/>
      <c r="P611" s="293"/>
      <c r="S611" s="293"/>
      <c r="X611" s="293"/>
    </row>
    <row r="612">
      <c r="B612" s="293"/>
      <c r="D612" s="293"/>
      <c r="E612" s="293"/>
      <c r="G612" s="505"/>
      <c r="H612" s="293"/>
      <c r="I612" s="293"/>
      <c r="J612" s="417"/>
      <c r="L612" s="506"/>
      <c r="M612" s="506"/>
      <c r="N612" s="505"/>
      <c r="P612" s="293"/>
      <c r="S612" s="293"/>
      <c r="X612" s="293"/>
    </row>
    <row r="613">
      <c r="B613" s="293"/>
      <c r="D613" s="293"/>
      <c r="E613" s="293"/>
      <c r="G613" s="505"/>
      <c r="H613" s="293"/>
      <c r="I613" s="293"/>
      <c r="J613" s="417"/>
      <c r="L613" s="506"/>
      <c r="M613" s="506"/>
      <c r="N613" s="505"/>
      <c r="P613" s="293"/>
      <c r="S613" s="293"/>
      <c r="X613" s="293"/>
    </row>
    <row r="614">
      <c r="B614" s="293"/>
      <c r="D614" s="293"/>
      <c r="E614" s="293"/>
      <c r="G614" s="505"/>
      <c r="H614" s="293"/>
      <c r="I614" s="293"/>
      <c r="J614" s="417"/>
      <c r="L614" s="506"/>
      <c r="M614" s="506"/>
      <c r="N614" s="505"/>
      <c r="P614" s="293"/>
      <c r="S614" s="293"/>
      <c r="X614" s="293"/>
    </row>
    <row r="615">
      <c r="B615" s="293"/>
      <c r="D615" s="293"/>
      <c r="E615" s="293"/>
      <c r="G615" s="505"/>
      <c r="H615" s="293"/>
      <c r="I615" s="293"/>
      <c r="J615" s="417"/>
      <c r="L615" s="506"/>
      <c r="M615" s="506"/>
      <c r="N615" s="505"/>
      <c r="P615" s="293"/>
      <c r="S615" s="293"/>
      <c r="X615" s="293"/>
    </row>
    <row r="616">
      <c r="B616" s="293"/>
      <c r="D616" s="293"/>
      <c r="E616" s="293"/>
      <c r="G616" s="505"/>
      <c r="H616" s="293"/>
      <c r="I616" s="293"/>
      <c r="J616" s="417"/>
      <c r="L616" s="506"/>
      <c r="M616" s="506"/>
      <c r="N616" s="505"/>
      <c r="P616" s="293"/>
      <c r="S616" s="293"/>
      <c r="X616" s="293"/>
    </row>
    <row r="617">
      <c r="B617" s="293"/>
      <c r="D617" s="293"/>
      <c r="E617" s="293"/>
      <c r="G617" s="505"/>
      <c r="H617" s="293"/>
      <c r="I617" s="293"/>
      <c r="J617" s="417"/>
      <c r="L617" s="506"/>
      <c r="M617" s="506"/>
      <c r="N617" s="505"/>
      <c r="P617" s="293"/>
      <c r="S617" s="293"/>
      <c r="X617" s="293"/>
    </row>
    <row r="618">
      <c r="B618" s="293"/>
      <c r="D618" s="293"/>
      <c r="E618" s="293"/>
      <c r="G618" s="505"/>
      <c r="H618" s="293"/>
      <c r="I618" s="293"/>
      <c r="J618" s="417"/>
      <c r="L618" s="506"/>
      <c r="M618" s="506"/>
      <c r="N618" s="505"/>
      <c r="P618" s="293"/>
      <c r="S618" s="293"/>
      <c r="X618" s="293"/>
    </row>
    <row r="619">
      <c r="B619" s="293"/>
      <c r="D619" s="293"/>
      <c r="E619" s="293"/>
      <c r="G619" s="505"/>
      <c r="H619" s="293"/>
      <c r="I619" s="293"/>
      <c r="J619" s="417"/>
      <c r="L619" s="506"/>
      <c r="M619" s="506"/>
      <c r="N619" s="505"/>
      <c r="P619" s="293"/>
      <c r="S619" s="293"/>
      <c r="X619" s="293"/>
    </row>
    <row r="620">
      <c r="B620" s="293"/>
      <c r="D620" s="293"/>
      <c r="E620" s="293"/>
      <c r="G620" s="505"/>
      <c r="H620" s="293"/>
      <c r="I620" s="293"/>
      <c r="J620" s="417"/>
      <c r="L620" s="506"/>
      <c r="M620" s="506"/>
      <c r="N620" s="505"/>
      <c r="P620" s="293"/>
      <c r="S620" s="293"/>
      <c r="X620" s="293"/>
    </row>
    <row r="621">
      <c r="B621" s="293"/>
      <c r="D621" s="293"/>
      <c r="E621" s="293"/>
      <c r="G621" s="505"/>
      <c r="H621" s="293"/>
      <c r="I621" s="293"/>
      <c r="J621" s="417"/>
      <c r="L621" s="506"/>
      <c r="M621" s="506"/>
      <c r="N621" s="505"/>
      <c r="P621" s="293"/>
      <c r="S621" s="293"/>
      <c r="X621" s="293"/>
    </row>
    <row r="622">
      <c r="B622" s="293"/>
      <c r="D622" s="293"/>
      <c r="E622" s="293"/>
      <c r="G622" s="505"/>
      <c r="H622" s="293"/>
      <c r="I622" s="293"/>
      <c r="J622" s="417"/>
      <c r="L622" s="506"/>
      <c r="M622" s="506"/>
      <c r="N622" s="505"/>
      <c r="P622" s="293"/>
      <c r="S622" s="293"/>
      <c r="X622" s="293"/>
    </row>
    <row r="623">
      <c r="B623" s="293"/>
      <c r="D623" s="293"/>
      <c r="E623" s="293"/>
      <c r="G623" s="505"/>
      <c r="H623" s="293"/>
      <c r="I623" s="293"/>
      <c r="J623" s="417"/>
      <c r="L623" s="506"/>
      <c r="M623" s="506"/>
      <c r="N623" s="505"/>
      <c r="P623" s="293"/>
      <c r="S623" s="293"/>
      <c r="X623" s="293"/>
    </row>
    <row r="624">
      <c r="B624" s="293"/>
      <c r="D624" s="293"/>
      <c r="E624" s="293"/>
      <c r="G624" s="505"/>
      <c r="H624" s="293"/>
      <c r="I624" s="293"/>
      <c r="J624" s="417"/>
      <c r="L624" s="506"/>
      <c r="M624" s="506"/>
      <c r="N624" s="505"/>
      <c r="P624" s="293"/>
      <c r="S624" s="293"/>
      <c r="X624" s="293"/>
    </row>
    <row r="625">
      <c r="B625" s="293"/>
      <c r="D625" s="293"/>
      <c r="E625" s="293"/>
      <c r="G625" s="505"/>
      <c r="H625" s="293"/>
      <c r="I625" s="293"/>
      <c r="J625" s="417"/>
      <c r="L625" s="506"/>
      <c r="M625" s="506"/>
      <c r="N625" s="505"/>
      <c r="P625" s="293"/>
      <c r="S625" s="293"/>
      <c r="X625" s="293"/>
    </row>
    <row r="626">
      <c r="B626" s="293"/>
      <c r="D626" s="293"/>
      <c r="E626" s="293"/>
      <c r="G626" s="505"/>
      <c r="H626" s="293"/>
      <c r="I626" s="293"/>
      <c r="J626" s="417"/>
      <c r="L626" s="506"/>
      <c r="M626" s="506"/>
      <c r="N626" s="505"/>
      <c r="P626" s="293"/>
      <c r="S626" s="293"/>
      <c r="X626" s="293"/>
    </row>
    <row r="627">
      <c r="B627" s="293"/>
      <c r="D627" s="293"/>
      <c r="E627" s="293"/>
      <c r="G627" s="505"/>
      <c r="H627" s="293"/>
      <c r="I627" s="293"/>
      <c r="J627" s="417"/>
      <c r="L627" s="506"/>
      <c r="M627" s="506"/>
      <c r="N627" s="505"/>
      <c r="P627" s="293"/>
      <c r="S627" s="293"/>
      <c r="X627" s="293"/>
    </row>
    <row r="628">
      <c r="B628" s="293"/>
      <c r="D628" s="293"/>
      <c r="E628" s="293"/>
      <c r="G628" s="505"/>
      <c r="H628" s="293"/>
      <c r="I628" s="293"/>
      <c r="J628" s="417"/>
      <c r="L628" s="506"/>
      <c r="M628" s="506"/>
      <c r="N628" s="505"/>
      <c r="P628" s="293"/>
      <c r="S628" s="293"/>
      <c r="X628" s="293"/>
    </row>
    <row r="629">
      <c r="B629" s="293"/>
      <c r="D629" s="293"/>
      <c r="E629" s="293"/>
      <c r="G629" s="505"/>
      <c r="H629" s="293"/>
      <c r="I629" s="293"/>
      <c r="J629" s="417"/>
      <c r="L629" s="506"/>
      <c r="M629" s="506"/>
      <c r="N629" s="505"/>
      <c r="P629" s="293"/>
      <c r="S629" s="293"/>
      <c r="X629" s="293"/>
    </row>
    <row r="630">
      <c r="B630" s="293"/>
      <c r="D630" s="293"/>
      <c r="E630" s="293"/>
      <c r="G630" s="505"/>
      <c r="H630" s="293"/>
      <c r="I630" s="293"/>
      <c r="J630" s="417"/>
      <c r="L630" s="506"/>
      <c r="M630" s="506"/>
      <c r="N630" s="505"/>
      <c r="P630" s="293"/>
      <c r="S630" s="293"/>
      <c r="X630" s="293"/>
    </row>
    <row r="631">
      <c r="B631" s="293"/>
      <c r="D631" s="293"/>
      <c r="E631" s="293"/>
      <c r="G631" s="505"/>
      <c r="H631" s="293"/>
      <c r="I631" s="293"/>
      <c r="J631" s="417"/>
      <c r="L631" s="506"/>
      <c r="M631" s="506"/>
      <c r="N631" s="505"/>
      <c r="P631" s="293"/>
      <c r="S631" s="293"/>
      <c r="X631" s="293"/>
    </row>
    <row r="632">
      <c r="B632" s="293"/>
      <c r="D632" s="293"/>
      <c r="E632" s="293"/>
      <c r="G632" s="505"/>
      <c r="H632" s="293"/>
      <c r="I632" s="293"/>
      <c r="J632" s="417"/>
      <c r="L632" s="506"/>
      <c r="M632" s="506"/>
      <c r="N632" s="505"/>
      <c r="P632" s="293"/>
      <c r="S632" s="293"/>
      <c r="X632" s="293"/>
    </row>
    <row r="633">
      <c r="B633" s="293"/>
      <c r="D633" s="293"/>
      <c r="E633" s="293"/>
      <c r="G633" s="505"/>
      <c r="H633" s="293"/>
      <c r="I633" s="293"/>
      <c r="J633" s="417"/>
      <c r="L633" s="506"/>
      <c r="M633" s="506"/>
      <c r="N633" s="505"/>
      <c r="P633" s="293"/>
      <c r="S633" s="293"/>
      <c r="X633" s="293"/>
    </row>
    <row r="634">
      <c r="B634" s="293"/>
      <c r="D634" s="293"/>
      <c r="E634" s="293"/>
      <c r="G634" s="505"/>
      <c r="H634" s="293"/>
      <c r="I634" s="293"/>
      <c r="J634" s="417"/>
      <c r="L634" s="506"/>
      <c r="M634" s="506"/>
      <c r="N634" s="505"/>
      <c r="P634" s="293"/>
      <c r="S634" s="293"/>
      <c r="X634" s="293"/>
    </row>
    <row r="635">
      <c r="B635" s="293"/>
      <c r="D635" s="293"/>
      <c r="E635" s="293"/>
      <c r="G635" s="505"/>
      <c r="H635" s="293"/>
      <c r="I635" s="293"/>
      <c r="J635" s="417"/>
      <c r="L635" s="506"/>
      <c r="M635" s="506"/>
      <c r="N635" s="505"/>
      <c r="P635" s="293"/>
      <c r="S635" s="293"/>
      <c r="X635" s="293"/>
    </row>
    <row r="636">
      <c r="B636" s="293"/>
      <c r="D636" s="293"/>
      <c r="E636" s="293"/>
      <c r="G636" s="505"/>
      <c r="H636" s="293"/>
      <c r="I636" s="293"/>
      <c r="J636" s="417"/>
      <c r="L636" s="506"/>
      <c r="M636" s="506"/>
      <c r="N636" s="505"/>
      <c r="P636" s="293"/>
      <c r="S636" s="293"/>
      <c r="X636" s="293"/>
    </row>
    <row r="637">
      <c r="B637" s="293"/>
      <c r="D637" s="293"/>
      <c r="E637" s="293"/>
      <c r="G637" s="505"/>
      <c r="H637" s="293"/>
      <c r="I637" s="293"/>
      <c r="J637" s="417"/>
      <c r="L637" s="506"/>
      <c r="M637" s="506"/>
      <c r="N637" s="505"/>
      <c r="P637" s="293"/>
      <c r="S637" s="293"/>
      <c r="X637" s="293"/>
    </row>
    <row r="638">
      <c r="B638" s="293"/>
      <c r="D638" s="293"/>
      <c r="E638" s="293"/>
      <c r="G638" s="505"/>
      <c r="H638" s="293"/>
      <c r="I638" s="293"/>
      <c r="J638" s="417"/>
      <c r="L638" s="506"/>
      <c r="M638" s="506"/>
      <c r="N638" s="505"/>
      <c r="P638" s="293"/>
      <c r="S638" s="293"/>
      <c r="X638" s="293"/>
    </row>
    <row r="639">
      <c r="B639" s="293"/>
      <c r="D639" s="293"/>
      <c r="E639" s="293"/>
      <c r="G639" s="505"/>
      <c r="H639" s="293"/>
      <c r="I639" s="293"/>
      <c r="J639" s="417"/>
      <c r="L639" s="506"/>
      <c r="M639" s="506"/>
      <c r="N639" s="505"/>
      <c r="P639" s="293"/>
      <c r="S639" s="293"/>
      <c r="X639" s="293"/>
    </row>
    <row r="640">
      <c r="B640" s="293"/>
      <c r="D640" s="293"/>
      <c r="E640" s="293"/>
      <c r="G640" s="505"/>
      <c r="H640" s="293"/>
      <c r="I640" s="293"/>
      <c r="J640" s="417"/>
      <c r="L640" s="506"/>
      <c r="M640" s="506"/>
      <c r="N640" s="505"/>
      <c r="P640" s="293"/>
      <c r="S640" s="293"/>
      <c r="X640" s="293"/>
    </row>
    <row r="641">
      <c r="B641" s="293"/>
      <c r="D641" s="293"/>
      <c r="E641" s="293"/>
      <c r="G641" s="505"/>
      <c r="H641" s="293"/>
      <c r="I641" s="293"/>
      <c r="J641" s="417"/>
      <c r="L641" s="506"/>
      <c r="M641" s="506"/>
      <c r="N641" s="505"/>
      <c r="P641" s="293"/>
      <c r="S641" s="293"/>
      <c r="X641" s="293"/>
    </row>
    <row r="642">
      <c r="B642" s="293"/>
      <c r="D642" s="293"/>
      <c r="E642" s="293"/>
      <c r="G642" s="505"/>
      <c r="H642" s="293"/>
      <c r="I642" s="293"/>
      <c r="J642" s="417"/>
      <c r="L642" s="506"/>
      <c r="M642" s="506"/>
      <c r="N642" s="505"/>
      <c r="P642" s="293"/>
      <c r="S642" s="293"/>
      <c r="X642" s="293"/>
    </row>
    <row r="643">
      <c r="B643" s="293"/>
      <c r="D643" s="293"/>
      <c r="E643" s="293"/>
      <c r="G643" s="505"/>
      <c r="H643" s="293"/>
      <c r="I643" s="293"/>
      <c r="J643" s="417"/>
      <c r="L643" s="506"/>
      <c r="M643" s="506"/>
      <c r="N643" s="505"/>
      <c r="P643" s="293"/>
      <c r="S643" s="293"/>
      <c r="X643" s="293"/>
    </row>
    <row r="644">
      <c r="B644" s="293"/>
      <c r="D644" s="293"/>
      <c r="E644" s="293"/>
      <c r="G644" s="505"/>
      <c r="H644" s="293"/>
      <c r="I644" s="293"/>
      <c r="J644" s="417"/>
      <c r="L644" s="506"/>
      <c r="M644" s="506"/>
      <c r="N644" s="505"/>
      <c r="P644" s="293"/>
      <c r="S644" s="293"/>
      <c r="X644" s="293"/>
    </row>
    <row r="645">
      <c r="B645" s="293"/>
      <c r="D645" s="293"/>
      <c r="E645" s="293"/>
      <c r="G645" s="505"/>
      <c r="H645" s="293"/>
      <c r="I645" s="293"/>
      <c r="J645" s="417"/>
      <c r="L645" s="506"/>
      <c r="M645" s="506"/>
      <c r="N645" s="505"/>
      <c r="P645" s="293"/>
      <c r="S645" s="293"/>
      <c r="X645" s="293"/>
    </row>
    <row r="646">
      <c r="B646" s="293"/>
      <c r="D646" s="293"/>
      <c r="E646" s="293"/>
      <c r="G646" s="505"/>
      <c r="H646" s="293"/>
      <c r="I646" s="293"/>
      <c r="J646" s="417"/>
      <c r="L646" s="506"/>
      <c r="M646" s="506"/>
      <c r="N646" s="505"/>
      <c r="P646" s="293"/>
      <c r="S646" s="293"/>
      <c r="X646" s="293"/>
    </row>
    <row r="647">
      <c r="B647" s="293"/>
      <c r="D647" s="293"/>
      <c r="E647" s="293"/>
      <c r="G647" s="505"/>
      <c r="H647" s="293"/>
      <c r="I647" s="293"/>
      <c r="J647" s="417"/>
      <c r="L647" s="506"/>
      <c r="M647" s="506"/>
      <c r="N647" s="505"/>
      <c r="P647" s="293"/>
      <c r="S647" s="293"/>
      <c r="X647" s="293"/>
    </row>
    <row r="648">
      <c r="B648" s="293"/>
      <c r="D648" s="293"/>
      <c r="E648" s="293"/>
      <c r="G648" s="505"/>
      <c r="H648" s="293"/>
      <c r="I648" s="293"/>
      <c r="J648" s="417"/>
      <c r="L648" s="506"/>
      <c r="M648" s="506"/>
      <c r="N648" s="505"/>
      <c r="P648" s="293"/>
      <c r="S648" s="293"/>
      <c r="X648" s="293"/>
    </row>
    <row r="649">
      <c r="B649" s="293"/>
      <c r="D649" s="293"/>
      <c r="E649" s="293"/>
      <c r="G649" s="505"/>
      <c r="H649" s="293"/>
      <c r="I649" s="293"/>
      <c r="J649" s="417"/>
      <c r="L649" s="506"/>
      <c r="M649" s="506"/>
      <c r="N649" s="505"/>
      <c r="P649" s="293"/>
      <c r="S649" s="293"/>
      <c r="X649" s="293"/>
    </row>
    <row r="650">
      <c r="B650" s="293"/>
      <c r="D650" s="293"/>
      <c r="E650" s="293"/>
      <c r="G650" s="505"/>
      <c r="H650" s="293"/>
      <c r="I650" s="293"/>
      <c r="J650" s="417"/>
      <c r="L650" s="506"/>
      <c r="M650" s="506"/>
      <c r="N650" s="505"/>
      <c r="P650" s="293"/>
      <c r="S650" s="293"/>
      <c r="X650" s="293"/>
    </row>
    <row r="651">
      <c r="B651" s="293"/>
      <c r="D651" s="293"/>
      <c r="E651" s="293"/>
      <c r="G651" s="505"/>
      <c r="H651" s="293"/>
      <c r="I651" s="293"/>
      <c r="J651" s="417"/>
      <c r="L651" s="506"/>
      <c r="M651" s="506"/>
      <c r="N651" s="505"/>
      <c r="P651" s="293"/>
      <c r="S651" s="293"/>
      <c r="X651" s="293"/>
    </row>
    <row r="652">
      <c r="B652" s="293"/>
      <c r="D652" s="293"/>
      <c r="E652" s="293"/>
      <c r="G652" s="505"/>
      <c r="H652" s="293"/>
      <c r="I652" s="293"/>
      <c r="J652" s="417"/>
      <c r="L652" s="506"/>
      <c r="M652" s="506"/>
      <c r="N652" s="505"/>
      <c r="P652" s="293"/>
      <c r="S652" s="293"/>
      <c r="X652" s="293"/>
    </row>
    <row r="653">
      <c r="B653" s="293"/>
      <c r="D653" s="293"/>
      <c r="E653" s="293"/>
      <c r="G653" s="505"/>
      <c r="H653" s="293"/>
      <c r="I653" s="293"/>
      <c r="J653" s="417"/>
      <c r="L653" s="506"/>
      <c r="M653" s="506"/>
      <c r="N653" s="505"/>
      <c r="P653" s="293"/>
      <c r="S653" s="293"/>
      <c r="X653" s="293"/>
    </row>
    <row r="654">
      <c r="B654" s="293"/>
      <c r="D654" s="293"/>
      <c r="E654" s="293"/>
      <c r="G654" s="505"/>
      <c r="H654" s="293"/>
      <c r="I654" s="293"/>
      <c r="J654" s="417"/>
      <c r="L654" s="506"/>
      <c r="M654" s="506"/>
      <c r="N654" s="505"/>
      <c r="P654" s="293"/>
      <c r="S654" s="293"/>
      <c r="X654" s="293"/>
    </row>
    <row r="655">
      <c r="B655" s="293"/>
      <c r="D655" s="293"/>
      <c r="E655" s="293"/>
      <c r="G655" s="505"/>
      <c r="H655" s="293"/>
      <c r="I655" s="293"/>
      <c r="J655" s="417"/>
      <c r="L655" s="506"/>
      <c r="M655" s="506"/>
      <c r="N655" s="505"/>
      <c r="P655" s="293"/>
      <c r="S655" s="293"/>
      <c r="X655" s="293"/>
    </row>
    <row r="656">
      <c r="B656" s="293"/>
      <c r="D656" s="293"/>
      <c r="E656" s="293"/>
      <c r="G656" s="505"/>
      <c r="H656" s="293"/>
      <c r="I656" s="293"/>
      <c r="J656" s="417"/>
      <c r="L656" s="506"/>
      <c r="M656" s="506"/>
      <c r="N656" s="505"/>
      <c r="P656" s="293"/>
      <c r="S656" s="293"/>
      <c r="X656" s="293"/>
    </row>
    <row r="657">
      <c r="B657" s="293"/>
      <c r="D657" s="293"/>
      <c r="E657" s="293"/>
      <c r="G657" s="505"/>
      <c r="H657" s="293"/>
      <c r="I657" s="293"/>
      <c r="J657" s="417"/>
      <c r="L657" s="506"/>
      <c r="M657" s="506"/>
      <c r="N657" s="505"/>
      <c r="P657" s="293"/>
      <c r="S657" s="293"/>
      <c r="X657" s="293"/>
    </row>
    <row r="658">
      <c r="B658" s="293"/>
      <c r="D658" s="293"/>
      <c r="E658" s="293"/>
      <c r="G658" s="505"/>
      <c r="H658" s="293"/>
      <c r="I658" s="293"/>
      <c r="J658" s="417"/>
      <c r="L658" s="506"/>
      <c r="M658" s="506"/>
      <c r="N658" s="505"/>
      <c r="P658" s="293"/>
      <c r="S658" s="293"/>
      <c r="X658" s="293"/>
    </row>
    <row r="659">
      <c r="B659" s="293"/>
      <c r="D659" s="293"/>
      <c r="E659" s="293"/>
      <c r="G659" s="505"/>
      <c r="H659" s="293"/>
      <c r="I659" s="293"/>
      <c r="J659" s="417"/>
      <c r="L659" s="506"/>
      <c r="M659" s="506"/>
      <c r="N659" s="505"/>
      <c r="P659" s="293"/>
      <c r="S659" s="293"/>
      <c r="X659" s="293"/>
    </row>
    <row r="660">
      <c r="B660" s="293"/>
      <c r="D660" s="293"/>
      <c r="E660" s="293"/>
      <c r="G660" s="505"/>
      <c r="H660" s="293"/>
      <c r="I660" s="293"/>
      <c r="J660" s="417"/>
      <c r="L660" s="506"/>
      <c r="M660" s="506"/>
      <c r="N660" s="505"/>
      <c r="P660" s="293"/>
      <c r="S660" s="293"/>
      <c r="X660" s="293"/>
    </row>
    <row r="661">
      <c r="B661" s="293"/>
      <c r="D661" s="293"/>
      <c r="E661" s="293"/>
      <c r="G661" s="505"/>
      <c r="H661" s="293"/>
      <c r="I661" s="293"/>
      <c r="J661" s="417"/>
      <c r="L661" s="506"/>
      <c r="M661" s="506"/>
      <c r="N661" s="505"/>
      <c r="P661" s="293"/>
      <c r="S661" s="293"/>
      <c r="X661" s="293"/>
    </row>
    <row r="662">
      <c r="B662" s="293"/>
      <c r="D662" s="293"/>
      <c r="E662" s="293"/>
      <c r="G662" s="505"/>
      <c r="H662" s="293"/>
      <c r="I662" s="293"/>
      <c r="J662" s="417"/>
      <c r="L662" s="506"/>
      <c r="M662" s="506"/>
      <c r="N662" s="505"/>
      <c r="P662" s="293"/>
      <c r="S662" s="293"/>
      <c r="X662" s="293"/>
    </row>
    <row r="663">
      <c r="B663" s="293"/>
      <c r="D663" s="293"/>
      <c r="E663" s="293"/>
      <c r="G663" s="505"/>
      <c r="H663" s="293"/>
      <c r="I663" s="293"/>
      <c r="J663" s="417"/>
      <c r="L663" s="506"/>
      <c r="M663" s="506"/>
      <c r="N663" s="505"/>
      <c r="P663" s="293"/>
      <c r="S663" s="293"/>
      <c r="X663" s="293"/>
    </row>
    <row r="664">
      <c r="B664" s="293"/>
      <c r="D664" s="293"/>
      <c r="E664" s="293"/>
      <c r="G664" s="505"/>
      <c r="H664" s="293"/>
      <c r="I664" s="293"/>
      <c r="J664" s="417"/>
      <c r="L664" s="506"/>
      <c r="M664" s="506"/>
      <c r="N664" s="505"/>
      <c r="P664" s="293"/>
      <c r="S664" s="293"/>
      <c r="X664" s="293"/>
    </row>
    <row r="665">
      <c r="B665" s="293"/>
      <c r="D665" s="293"/>
      <c r="E665" s="293"/>
      <c r="G665" s="505"/>
      <c r="H665" s="293"/>
      <c r="I665" s="293"/>
      <c r="J665" s="417"/>
      <c r="L665" s="506"/>
      <c r="M665" s="506"/>
      <c r="N665" s="505"/>
      <c r="P665" s="293"/>
      <c r="S665" s="293"/>
      <c r="X665" s="293"/>
    </row>
    <row r="666">
      <c r="B666" s="293"/>
      <c r="D666" s="293"/>
      <c r="E666" s="293"/>
      <c r="G666" s="505"/>
      <c r="H666" s="293"/>
      <c r="I666" s="293"/>
      <c r="J666" s="417"/>
      <c r="L666" s="506"/>
      <c r="M666" s="506"/>
      <c r="N666" s="505"/>
      <c r="P666" s="293"/>
      <c r="S666" s="293"/>
      <c r="X666" s="293"/>
    </row>
    <row r="667">
      <c r="B667" s="293"/>
      <c r="D667" s="293"/>
      <c r="E667" s="293"/>
      <c r="G667" s="505"/>
      <c r="H667" s="293"/>
      <c r="I667" s="293"/>
      <c r="J667" s="417"/>
      <c r="L667" s="506"/>
      <c r="M667" s="506"/>
      <c r="N667" s="505"/>
      <c r="P667" s="293"/>
      <c r="S667" s="293"/>
      <c r="X667" s="293"/>
    </row>
    <row r="668">
      <c r="B668" s="293"/>
      <c r="D668" s="293"/>
      <c r="E668" s="293"/>
      <c r="G668" s="505"/>
      <c r="H668" s="293"/>
      <c r="I668" s="293"/>
      <c r="J668" s="417"/>
      <c r="L668" s="506"/>
      <c r="M668" s="506"/>
      <c r="N668" s="505"/>
      <c r="P668" s="293"/>
      <c r="S668" s="293"/>
      <c r="X668" s="293"/>
    </row>
    <row r="669">
      <c r="B669" s="293"/>
      <c r="D669" s="293"/>
      <c r="E669" s="293"/>
      <c r="G669" s="505"/>
      <c r="H669" s="293"/>
      <c r="I669" s="293"/>
      <c r="J669" s="417"/>
      <c r="L669" s="506"/>
      <c r="M669" s="506"/>
      <c r="N669" s="505"/>
      <c r="P669" s="293"/>
      <c r="S669" s="293"/>
      <c r="X669" s="293"/>
    </row>
    <row r="670">
      <c r="B670" s="293"/>
      <c r="D670" s="293"/>
      <c r="E670" s="293"/>
      <c r="G670" s="505"/>
      <c r="H670" s="293"/>
      <c r="I670" s="293"/>
      <c r="J670" s="417"/>
      <c r="L670" s="506"/>
      <c r="M670" s="506"/>
      <c r="N670" s="505"/>
      <c r="P670" s="293"/>
      <c r="S670" s="293"/>
      <c r="X670" s="293"/>
    </row>
    <row r="671">
      <c r="B671" s="293"/>
      <c r="D671" s="293"/>
      <c r="E671" s="293"/>
      <c r="G671" s="505"/>
      <c r="H671" s="293"/>
      <c r="I671" s="293"/>
      <c r="J671" s="417"/>
      <c r="L671" s="506"/>
      <c r="M671" s="506"/>
      <c r="N671" s="505"/>
      <c r="P671" s="293"/>
      <c r="S671" s="293"/>
      <c r="X671" s="293"/>
    </row>
    <row r="672">
      <c r="B672" s="293"/>
      <c r="D672" s="293"/>
      <c r="E672" s="293"/>
      <c r="G672" s="505"/>
      <c r="H672" s="293"/>
      <c r="I672" s="293"/>
      <c r="J672" s="417"/>
      <c r="L672" s="506"/>
      <c r="M672" s="506"/>
      <c r="N672" s="505"/>
      <c r="P672" s="293"/>
      <c r="S672" s="293"/>
      <c r="X672" s="293"/>
    </row>
    <row r="673">
      <c r="B673" s="293"/>
      <c r="D673" s="293"/>
      <c r="E673" s="293"/>
      <c r="G673" s="505"/>
      <c r="H673" s="293"/>
      <c r="I673" s="293"/>
      <c r="J673" s="417"/>
      <c r="L673" s="506"/>
      <c r="M673" s="506"/>
      <c r="N673" s="505"/>
      <c r="P673" s="293"/>
      <c r="S673" s="293"/>
      <c r="X673" s="293"/>
    </row>
    <row r="674">
      <c r="B674" s="293"/>
      <c r="D674" s="293"/>
      <c r="E674" s="293"/>
      <c r="G674" s="505"/>
      <c r="H674" s="293"/>
      <c r="I674" s="293"/>
      <c r="J674" s="417"/>
      <c r="L674" s="506"/>
      <c r="M674" s="506"/>
      <c r="N674" s="505"/>
      <c r="P674" s="293"/>
      <c r="S674" s="293"/>
      <c r="X674" s="293"/>
    </row>
    <row r="675">
      <c r="B675" s="293"/>
      <c r="D675" s="293"/>
      <c r="E675" s="293"/>
      <c r="G675" s="505"/>
      <c r="H675" s="293"/>
      <c r="I675" s="293"/>
      <c r="J675" s="417"/>
      <c r="L675" s="506"/>
      <c r="M675" s="506"/>
      <c r="N675" s="505"/>
      <c r="P675" s="293"/>
      <c r="S675" s="293"/>
      <c r="X675" s="293"/>
    </row>
    <row r="676">
      <c r="B676" s="293"/>
      <c r="D676" s="293"/>
      <c r="E676" s="293"/>
      <c r="G676" s="505"/>
      <c r="H676" s="293"/>
      <c r="I676" s="293"/>
      <c r="J676" s="417"/>
      <c r="L676" s="506"/>
      <c r="M676" s="506"/>
      <c r="N676" s="505"/>
      <c r="P676" s="293"/>
      <c r="S676" s="293"/>
      <c r="X676" s="293"/>
    </row>
    <row r="677">
      <c r="B677" s="293"/>
      <c r="D677" s="293"/>
      <c r="E677" s="293"/>
      <c r="G677" s="505"/>
      <c r="H677" s="293"/>
      <c r="I677" s="293"/>
      <c r="J677" s="417"/>
      <c r="L677" s="506"/>
      <c r="M677" s="506"/>
      <c r="N677" s="505"/>
      <c r="P677" s="293"/>
      <c r="S677" s="293"/>
      <c r="X677" s="293"/>
    </row>
    <row r="678">
      <c r="B678" s="293"/>
      <c r="D678" s="293"/>
      <c r="E678" s="293"/>
      <c r="G678" s="505"/>
      <c r="H678" s="293"/>
      <c r="I678" s="293"/>
      <c r="J678" s="417"/>
      <c r="L678" s="506"/>
      <c r="M678" s="506"/>
      <c r="N678" s="505"/>
      <c r="P678" s="293"/>
      <c r="S678" s="293"/>
      <c r="X678" s="293"/>
    </row>
    <row r="679">
      <c r="B679" s="293"/>
      <c r="D679" s="293"/>
      <c r="E679" s="293"/>
      <c r="G679" s="505"/>
      <c r="H679" s="293"/>
      <c r="I679" s="293"/>
      <c r="J679" s="417"/>
      <c r="L679" s="506"/>
      <c r="M679" s="506"/>
      <c r="N679" s="505"/>
      <c r="P679" s="293"/>
      <c r="S679" s="293"/>
      <c r="X679" s="293"/>
    </row>
    <row r="680">
      <c r="B680" s="293"/>
      <c r="D680" s="293"/>
      <c r="E680" s="293"/>
      <c r="G680" s="505"/>
      <c r="H680" s="293"/>
      <c r="I680" s="293"/>
      <c r="J680" s="417"/>
      <c r="L680" s="506"/>
      <c r="M680" s="506"/>
      <c r="N680" s="505"/>
      <c r="P680" s="293"/>
      <c r="S680" s="293"/>
      <c r="X680" s="293"/>
    </row>
    <row r="681">
      <c r="B681" s="293"/>
      <c r="D681" s="293"/>
      <c r="E681" s="293"/>
      <c r="G681" s="505"/>
      <c r="H681" s="293"/>
      <c r="I681" s="293"/>
      <c r="J681" s="417"/>
      <c r="L681" s="506"/>
      <c r="M681" s="506"/>
      <c r="N681" s="505"/>
      <c r="P681" s="293"/>
      <c r="S681" s="293"/>
      <c r="X681" s="293"/>
    </row>
    <row r="682">
      <c r="B682" s="293"/>
      <c r="D682" s="293"/>
      <c r="E682" s="293"/>
      <c r="G682" s="505"/>
      <c r="H682" s="293"/>
      <c r="I682" s="293"/>
      <c r="J682" s="417"/>
      <c r="L682" s="506"/>
      <c r="M682" s="506"/>
      <c r="N682" s="505"/>
      <c r="P682" s="293"/>
      <c r="S682" s="293"/>
      <c r="X682" s="293"/>
    </row>
    <row r="683">
      <c r="B683" s="293"/>
      <c r="D683" s="293"/>
      <c r="E683" s="293"/>
      <c r="G683" s="505"/>
      <c r="H683" s="293"/>
      <c r="I683" s="293"/>
      <c r="J683" s="417"/>
      <c r="L683" s="506"/>
      <c r="M683" s="506"/>
      <c r="N683" s="505"/>
      <c r="P683" s="293"/>
      <c r="S683" s="293"/>
      <c r="X683" s="293"/>
    </row>
    <row r="684">
      <c r="B684" s="293"/>
      <c r="D684" s="293"/>
      <c r="E684" s="293"/>
      <c r="G684" s="505"/>
      <c r="H684" s="293"/>
      <c r="I684" s="293"/>
      <c r="J684" s="417"/>
      <c r="L684" s="506"/>
      <c r="M684" s="506"/>
      <c r="N684" s="505"/>
      <c r="P684" s="293"/>
      <c r="S684" s="293"/>
      <c r="X684" s="293"/>
    </row>
    <row r="685">
      <c r="B685" s="293"/>
      <c r="D685" s="293"/>
      <c r="E685" s="293"/>
      <c r="G685" s="505"/>
      <c r="H685" s="293"/>
      <c r="I685" s="293"/>
      <c r="J685" s="417"/>
      <c r="L685" s="506"/>
      <c r="M685" s="506"/>
      <c r="N685" s="505"/>
      <c r="P685" s="293"/>
      <c r="S685" s="293"/>
      <c r="X685" s="293"/>
    </row>
    <row r="686">
      <c r="B686" s="293"/>
      <c r="D686" s="293"/>
      <c r="E686" s="293"/>
      <c r="G686" s="505"/>
      <c r="H686" s="293"/>
      <c r="I686" s="293"/>
      <c r="J686" s="417"/>
      <c r="L686" s="506"/>
      <c r="M686" s="506"/>
      <c r="N686" s="505"/>
      <c r="P686" s="293"/>
      <c r="S686" s="293"/>
      <c r="X686" s="293"/>
    </row>
    <row r="687">
      <c r="B687" s="293"/>
      <c r="D687" s="293"/>
      <c r="E687" s="293"/>
      <c r="G687" s="505"/>
      <c r="H687" s="293"/>
      <c r="I687" s="293"/>
      <c r="J687" s="417"/>
      <c r="L687" s="506"/>
      <c r="M687" s="506"/>
      <c r="N687" s="505"/>
      <c r="P687" s="293"/>
      <c r="S687" s="293"/>
      <c r="X687" s="293"/>
    </row>
    <row r="688">
      <c r="B688" s="293"/>
      <c r="D688" s="293"/>
      <c r="E688" s="293"/>
      <c r="G688" s="505"/>
      <c r="H688" s="293"/>
      <c r="I688" s="293"/>
      <c r="J688" s="417"/>
      <c r="L688" s="506"/>
      <c r="M688" s="506"/>
      <c r="N688" s="505"/>
      <c r="P688" s="293"/>
      <c r="S688" s="293"/>
      <c r="X688" s="293"/>
    </row>
    <row r="689">
      <c r="B689" s="293"/>
      <c r="D689" s="293"/>
      <c r="E689" s="293"/>
      <c r="G689" s="505"/>
      <c r="H689" s="293"/>
      <c r="I689" s="293"/>
      <c r="J689" s="417"/>
      <c r="L689" s="506"/>
      <c r="M689" s="506"/>
      <c r="N689" s="505"/>
      <c r="P689" s="293"/>
      <c r="S689" s="293"/>
      <c r="X689" s="293"/>
    </row>
    <row r="690">
      <c r="B690" s="293"/>
      <c r="D690" s="293"/>
      <c r="E690" s="293"/>
      <c r="G690" s="505"/>
      <c r="H690" s="293"/>
      <c r="I690" s="293"/>
      <c r="J690" s="417"/>
      <c r="L690" s="506"/>
      <c r="M690" s="506"/>
      <c r="N690" s="505"/>
      <c r="P690" s="293"/>
      <c r="S690" s="293"/>
      <c r="X690" s="293"/>
    </row>
    <row r="691">
      <c r="B691" s="293"/>
      <c r="D691" s="293"/>
      <c r="E691" s="293"/>
      <c r="G691" s="505"/>
      <c r="H691" s="293"/>
      <c r="I691" s="293"/>
      <c r="J691" s="417"/>
      <c r="L691" s="506"/>
      <c r="M691" s="506"/>
      <c r="N691" s="505"/>
      <c r="P691" s="293"/>
      <c r="S691" s="293"/>
      <c r="X691" s="293"/>
    </row>
    <row r="692">
      <c r="B692" s="293"/>
      <c r="D692" s="293"/>
      <c r="E692" s="293"/>
      <c r="G692" s="505"/>
      <c r="H692" s="293"/>
      <c r="I692" s="293"/>
      <c r="J692" s="417"/>
      <c r="L692" s="506"/>
      <c r="M692" s="506"/>
      <c r="N692" s="505"/>
      <c r="P692" s="293"/>
      <c r="S692" s="293"/>
      <c r="X692" s="293"/>
    </row>
    <row r="693">
      <c r="B693" s="293"/>
      <c r="D693" s="293"/>
      <c r="E693" s="293"/>
      <c r="G693" s="505"/>
      <c r="H693" s="293"/>
      <c r="I693" s="293"/>
      <c r="J693" s="417"/>
      <c r="L693" s="506"/>
      <c r="M693" s="506"/>
      <c r="N693" s="505"/>
      <c r="P693" s="293"/>
      <c r="S693" s="293"/>
      <c r="X693" s="293"/>
    </row>
    <row r="694">
      <c r="B694" s="293"/>
      <c r="D694" s="293"/>
      <c r="E694" s="293"/>
      <c r="G694" s="505"/>
      <c r="H694" s="293"/>
      <c r="I694" s="293"/>
      <c r="J694" s="417"/>
      <c r="L694" s="506"/>
      <c r="M694" s="506"/>
      <c r="N694" s="505"/>
      <c r="P694" s="293"/>
      <c r="S694" s="293"/>
      <c r="X694" s="293"/>
    </row>
    <row r="695">
      <c r="B695" s="293"/>
      <c r="D695" s="293"/>
      <c r="E695" s="293"/>
      <c r="G695" s="505"/>
      <c r="H695" s="293"/>
      <c r="I695" s="293"/>
      <c r="J695" s="417"/>
      <c r="L695" s="506"/>
      <c r="M695" s="506"/>
      <c r="N695" s="505"/>
      <c r="P695" s="293"/>
      <c r="S695" s="293"/>
      <c r="X695" s="293"/>
    </row>
    <row r="696">
      <c r="B696" s="293"/>
      <c r="D696" s="293"/>
      <c r="E696" s="293"/>
      <c r="G696" s="505"/>
      <c r="H696" s="293"/>
      <c r="I696" s="293"/>
      <c r="J696" s="417"/>
      <c r="L696" s="506"/>
      <c r="M696" s="506"/>
      <c r="N696" s="505"/>
      <c r="P696" s="293"/>
      <c r="S696" s="293"/>
      <c r="X696" s="293"/>
    </row>
    <row r="697">
      <c r="B697" s="293"/>
      <c r="D697" s="293"/>
      <c r="E697" s="293"/>
      <c r="G697" s="505"/>
      <c r="H697" s="293"/>
      <c r="I697" s="293"/>
      <c r="J697" s="417"/>
      <c r="L697" s="506"/>
      <c r="M697" s="506"/>
      <c r="N697" s="505"/>
      <c r="P697" s="293"/>
      <c r="S697" s="293"/>
      <c r="X697" s="293"/>
    </row>
    <row r="698">
      <c r="B698" s="293"/>
      <c r="D698" s="293"/>
      <c r="E698" s="293"/>
      <c r="G698" s="505"/>
      <c r="H698" s="293"/>
      <c r="I698" s="293"/>
      <c r="J698" s="417"/>
      <c r="L698" s="506"/>
      <c r="M698" s="506"/>
      <c r="N698" s="505"/>
      <c r="P698" s="293"/>
      <c r="S698" s="293"/>
      <c r="X698" s="293"/>
    </row>
    <row r="699">
      <c r="B699" s="293"/>
      <c r="D699" s="293"/>
      <c r="E699" s="293"/>
      <c r="G699" s="505"/>
      <c r="H699" s="293"/>
      <c r="I699" s="293"/>
      <c r="J699" s="417"/>
      <c r="L699" s="506"/>
      <c r="M699" s="506"/>
      <c r="N699" s="505"/>
      <c r="P699" s="293"/>
      <c r="S699" s="293"/>
      <c r="X699" s="293"/>
    </row>
    <row r="700">
      <c r="B700" s="293"/>
      <c r="D700" s="293"/>
      <c r="E700" s="293"/>
      <c r="G700" s="505"/>
      <c r="H700" s="293"/>
      <c r="I700" s="293"/>
      <c r="J700" s="417"/>
      <c r="L700" s="506"/>
      <c r="M700" s="506"/>
      <c r="N700" s="505"/>
      <c r="P700" s="293"/>
      <c r="S700" s="293"/>
      <c r="X700" s="293"/>
    </row>
    <row r="701">
      <c r="B701" s="293"/>
      <c r="D701" s="293"/>
      <c r="E701" s="293"/>
      <c r="G701" s="505"/>
      <c r="H701" s="293"/>
      <c r="I701" s="293"/>
      <c r="J701" s="417"/>
      <c r="L701" s="506"/>
      <c r="M701" s="506"/>
      <c r="N701" s="505"/>
      <c r="P701" s="293"/>
      <c r="S701" s="293"/>
      <c r="X701" s="293"/>
    </row>
    <row r="702">
      <c r="B702" s="293"/>
      <c r="D702" s="293"/>
      <c r="E702" s="293"/>
      <c r="G702" s="505"/>
      <c r="H702" s="293"/>
      <c r="I702" s="293"/>
      <c r="J702" s="417"/>
      <c r="L702" s="506"/>
      <c r="M702" s="506"/>
      <c r="N702" s="505"/>
      <c r="P702" s="293"/>
      <c r="S702" s="293"/>
      <c r="X702" s="293"/>
    </row>
    <row r="703">
      <c r="B703" s="293"/>
      <c r="D703" s="293"/>
      <c r="E703" s="293"/>
      <c r="G703" s="505"/>
      <c r="H703" s="293"/>
      <c r="I703" s="293"/>
      <c r="J703" s="417"/>
      <c r="L703" s="506"/>
      <c r="M703" s="506"/>
      <c r="N703" s="505"/>
      <c r="P703" s="293"/>
      <c r="S703" s="293"/>
      <c r="X703" s="293"/>
    </row>
    <row r="704">
      <c r="B704" s="293"/>
      <c r="D704" s="293"/>
      <c r="E704" s="293"/>
      <c r="G704" s="505"/>
      <c r="H704" s="293"/>
      <c r="I704" s="293"/>
      <c r="J704" s="417"/>
      <c r="L704" s="506"/>
      <c r="M704" s="506"/>
      <c r="N704" s="505"/>
      <c r="P704" s="293"/>
      <c r="S704" s="293"/>
      <c r="X704" s="293"/>
    </row>
    <row r="705">
      <c r="B705" s="293"/>
      <c r="D705" s="293"/>
      <c r="E705" s="293"/>
      <c r="G705" s="505"/>
      <c r="H705" s="293"/>
      <c r="I705" s="293"/>
      <c r="J705" s="417"/>
      <c r="L705" s="506"/>
      <c r="M705" s="506"/>
      <c r="N705" s="505"/>
      <c r="P705" s="293"/>
      <c r="S705" s="293"/>
      <c r="X705" s="293"/>
    </row>
    <row r="706">
      <c r="B706" s="293"/>
      <c r="D706" s="293"/>
      <c r="E706" s="293"/>
      <c r="G706" s="505"/>
      <c r="H706" s="293"/>
      <c r="I706" s="293"/>
      <c r="J706" s="417"/>
      <c r="L706" s="506"/>
      <c r="M706" s="506"/>
      <c r="N706" s="505"/>
      <c r="P706" s="293"/>
      <c r="S706" s="293"/>
      <c r="X706" s="293"/>
    </row>
    <row r="707">
      <c r="B707" s="293"/>
      <c r="D707" s="293"/>
      <c r="E707" s="293"/>
      <c r="G707" s="505"/>
      <c r="H707" s="293"/>
      <c r="I707" s="293"/>
      <c r="J707" s="417"/>
      <c r="L707" s="506"/>
      <c r="M707" s="506"/>
      <c r="N707" s="505"/>
      <c r="P707" s="293"/>
      <c r="S707" s="293"/>
      <c r="X707" s="293"/>
    </row>
    <row r="708">
      <c r="B708" s="293"/>
      <c r="D708" s="293"/>
      <c r="E708" s="293"/>
      <c r="G708" s="505"/>
      <c r="H708" s="293"/>
      <c r="I708" s="293"/>
      <c r="J708" s="417"/>
      <c r="L708" s="506"/>
      <c r="M708" s="506"/>
      <c r="N708" s="505"/>
      <c r="P708" s="293"/>
      <c r="S708" s="293"/>
      <c r="X708" s="293"/>
    </row>
    <row r="709">
      <c r="B709" s="293"/>
      <c r="D709" s="293"/>
      <c r="E709" s="293"/>
      <c r="G709" s="505"/>
      <c r="H709" s="293"/>
      <c r="I709" s="293"/>
      <c r="J709" s="417"/>
      <c r="L709" s="506"/>
      <c r="M709" s="506"/>
      <c r="N709" s="505"/>
      <c r="P709" s="293"/>
      <c r="S709" s="293"/>
      <c r="X709" s="293"/>
    </row>
    <row r="710">
      <c r="B710" s="293"/>
      <c r="D710" s="293"/>
      <c r="E710" s="293"/>
      <c r="G710" s="505"/>
      <c r="H710" s="293"/>
      <c r="I710" s="293"/>
      <c r="J710" s="417"/>
      <c r="L710" s="506"/>
      <c r="M710" s="506"/>
      <c r="N710" s="505"/>
      <c r="P710" s="293"/>
      <c r="S710" s="293"/>
      <c r="X710" s="293"/>
    </row>
    <row r="711">
      <c r="B711" s="293"/>
      <c r="D711" s="293"/>
      <c r="E711" s="293"/>
      <c r="G711" s="505"/>
      <c r="H711" s="293"/>
      <c r="I711" s="293"/>
      <c r="J711" s="417"/>
      <c r="L711" s="506"/>
      <c r="M711" s="506"/>
      <c r="N711" s="505"/>
      <c r="P711" s="293"/>
      <c r="S711" s="293"/>
      <c r="X711" s="293"/>
    </row>
    <row r="712">
      <c r="B712" s="293"/>
      <c r="D712" s="293"/>
      <c r="E712" s="293"/>
      <c r="G712" s="505"/>
      <c r="H712" s="293"/>
      <c r="I712" s="293"/>
      <c r="J712" s="417"/>
      <c r="L712" s="506"/>
      <c r="M712" s="506"/>
      <c r="N712" s="505"/>
      <c r="P712" s="293"/>
      <c r="S712" s="293"/>
      <c r="X712" s="293"/>
    </row>
    <row r="713">
      <c r="B713" s="293"/>
      <c r="D713" s="293"/>
      <c r="E713" s="293"/>
      <c r="G713" s="505"/>
      <c r="H713" s="293"/>
      <c r="I713" s="293"/>
      <c r="J713" s="417"/>
      <c r="L713" s="506"/>
      <c r="M713" s="506"/>
      <c r="N713" s="505"/>
      <c r="P713" s="293"/>
      <c r="S713" s="293"/>
      <c r="X713" s="293"/>
    </row>
    <row r="714">
      <c r="B714" s="293"/>
      <c r="D714" s="293"/>
      <c r="E714" s="293"/>
      <c r="G714" s="505"/>
      <c r="H714" s="293"/>
      <c r="I714" s="293"/>
      <c r="J714" s="417"/>
      <c r="L714" s="506"/>
      <c r="M714" s="506"/>
      <c r="N714" s="505"/>
      <c r="P714" s="293"/>
      <c r="S714" s="293"/>
      <c r="X714" s="293"/>
    </row>
    <row r="715">
      <c r="B715" s="293"/>
      <c r="D715" s="293"/>
      <c r="E715" s="293"/>
      <c r="G715" s="505"/>
      <c r="H715" s="293"/>
      <c r="I715" s="293"/>
      <c r="J715" s="417"/>
      <c r="L715" s="506"/>
      <c r="M715" s="506"/>
      <c r="N715" s="505"/>
      <c r="P715" s="293"/>
      <c r="S715" s="293"/>
      <c r="X715" s="293"/>
    </row>
    <row r="716">
      <c r="B716" s="293"/>
      <c r="D716" s="293"/>
      <c r="E716" s="293"/>
      <c r="G716" s="505"/>
      <c r="H716" s="293"/>
      <c r="I716" s="293"/>
      <c r="J716" s="417"/>
      <c r="L716" s="506"/>
      <c r="M716" s="506"/>
      <c r="N716" s="505"/>
      <c r="P716" s="293"/>
      <c r="S716" s="293"/>
      <c r="X716" s="293"/>
    </row>
    <row r="717">
      <c r="B717" s="293"/>
      <c r="D717" s="293"/>
      <c r="E717" s="293"/>
      <c r="G717" s="505"/>
      <c r="H717" s="293"/>
      <c r="I717" s="293"/>
      <c r="J717" s="417"/>
      <c r="L717" s="506"/>
      <c r="M717" s="506"/>
      <c r="N717" s="505"/>
      <c r="P717" s="293"/>
      <c r="S717" s="293"/>
      <c r="X717" s="293"/>
    </row>
    <row r="718">
      <c r="B718" s="293"/>
      <c r="D718" s="293"/>
      <c r="E718" s="293"/>
      <c r="G718" s="505"/>
      <c r="H718" s="293"/>
      <c r="I718" s="293"/>
      <c r="J718" s="417"/>
      <c r="L718" s="506"/>
      <c r="M718" s="506"/>
      <c r="N718" s="505"/>
      <c r="P718" s="293"/>
      <c r="S718" s="293"/>
      <c r="X718" s="293"/>
    </row>
    <row r="719">
      <c r="B719" s="293"/>
      <c r="D719" s="293"/>
      <c r="E719" s="293"/>
      <c r="G719" s="505"/>
      <c r="H719" s="293"/>
      <c r="I719" s="293"/>
      <c r="J719" s="417"/>
      <c r="L719" s="506"/>
      <c r="M719" s="506"/>
      <c r="N719" s="505"/>
      <c r="P719" s="293"/>
      <c r="S719" s="293"/>
      <c r="X719" s="293"/>
    </row>
    <row r="720">
      <c r="B720" s="293"/>
      <c r="D720" s="293"/>
      <c r="E720" s="293"/>
      <c r="G720" s="505"/>
      <c r="H720" s="293"/>
      <c r="I720" s="293"/>
      <c r="J720" s="417"/>
      <c r="L720" s="506"/>
      <c r="M720" s="506"/>
      <c r="N720" s="505"/>
      <c r="P720" s="293"/>
      <c r="S720" s="293"/>
      <c r="X720" s="293"/>
    </row>
    <row r="721">
      <c r="B721" s="293"/>
      <c r="D721" s="293"/>
      <c r="E721" s="293"/>
      <c r="G721" s="505"/>
      <c r="H721" s="293"/>
      <c r="I721" s="293"/>
      <c r="J721" s="417"/>
      <c r="L721" s="506"/>
      <c r="M721" s="506"/>
      <c r="N721" s="505"/>
      <c r="P721" s="293"/>
      <c r="S721" s="293"/>
      <c r="X721" s="293"/>
    </row>
    <row r="722">
      <c r="B722" s="293"/>
      <c r="D722" s="293"/>
      <c r="E722" s="293"/>
      <c r="G722" s="505"/>
      <c r="H722" s="293"/>
      <c r="I722" s="293"/>
      <c r="J722" s="417"/>
      <c r="L722" s="506"/>
      <c r="M722" s="506"/>
      <c r="N722" s="505"/>
      <c r="P722" s="293"/>
      <c r="S722" s="293"/>
      <c r="X722" s="293"/>
    </row>
    <row r="723">
      <c r="B723" s="293"/>
      <c r="D723" s="293"/>
      <c r="E723" s="293"/>
      <c r="G723" s="505"/>
      <c r="H723" s="293"/>
      <c r="I723" s="293"/>
      <c r="J723" s="417"/>
      <c r="L723" s="506"/>
      <c r="M723" s="506"/>
      <c r="N723" s="505"/>
      <c r="P723" s="293"/>
      <c r="S723" s="293"/>
      <c r="X723" s="293"/>
    </row>
    <row r="724">
      <c r="B724" s="293"/>
      <c r="D724" s="293"/>
      <c r="E724" s="293"/>
      <c r="G724" s="505"/>
      <c r="H724" s="293"/>
      <c r="I724" s="293"/>
      <c r="J724" s="417"/>
      <c r="L724" s="506"/>
      <c r="M724" s="506"/>
      <c r="N724" s="505"/>
      <c r="P724" s="293"/>
      <c r="S724" s="293"/>
      <c r="X724" s="293"/>
    </row>
    <row r="725">
      <c r="B725" s="293"/>
      <c r="D725" s="293"/>
      <c r="E725" s="293"/>
      <c r="G725" s="505"/>
      <c r="H725" s="293"/>
      <c r="I725" s="293"/>
      <c r="J725" s="417"/>
      <c r="L725" s="506"/>
      <c r="M725" s="506"/>
      <c r="N725" s="505"/>
      <c r="P725" s="293"/>
      <c r="S725" s="293"/>
      <c r="X725" s="293"/>
    </row>
    <row r="726">
      <c r="B726" s="293"/>
      <c r="D726" s="293"/>
      <c r="E726" s="293"/>
      <c r="G726" s="505"/>
      <c r="H726" s="293"/>
      <c r="I726" s="293"/>
      <c r="J726" s="417"/>
      <c r="L726" s="506"/>
      <c r="M726" s="506"/>
      <c r="N726" s="505"/>
      <c r="P726" s="293"/>
      <c r="S726" s="293"/>
      <c r="X726" s="293"/>
    </row>
    <row r="727">
      <c r="B727" s="293"/>
      <c r="D727" s="293"/>
      <c r="E727" s="293"/>
      <c r="G727" s="505"/>
      <c r="H727" s="293"/>
      <c r="I727" s="293"/>
      <c r="J727" s="417"/>
      <c r="L727" s="506"/>
      <c r="M727" s="506"/>
      <c r="N727" s="505"/>
      <c r="P727" s="293"/>
      <c r="S727" s="293"/>
      <c r="X727" s="293"/>
    </row>
    <row r="728">
      <c r="B728" s="293"/>
      <c r="D728" s="293"/>
      <c r="E728" s="293"/>
      <c r="G728" s="505"/>
      <c r="H728" s="293"/>
      <c r="I728" s="293"/>
      <c r="J728" s="417"/>
      <c r="L728" s="506"/>
      <c r="M728" s="506"/>
      <c r="N728" s="505"/>
      <c r="P728" s="293"/>
      <c r="S728" s="293"/>
      <c r="X728" s="293"/>
    </row>
    <row r="729">
      <c r="B729" s="293"/>
      <c r="D729" s="293"/>
      <c r="E729" s="293"/>
      <c r="G729" s="505"/>
      <c r="H729" s="293"/>
      <c r="I729" s="293"/>
      <c r="J729" s="417"/>
      <c r="L729" s="506"/>
      <c r="M729" s="506"/>
      <c r="N729" s="505"/>
      <c r="P729" s="293"/>
      <c r="S729" s="293"/>
      <c r="X729" s="293"/>
    </row>
    <row r="730">
      <c r="B730" s="293"/>
      <c r="D730" s="293"/>
      <c r="E730" s="293"/>
      <c r="G730" s="505"/>
      <c r="H730" s="293"/>
      <c r="I730" s="293"/>
      <c r="J730" s="417"/>
      <c r="L730" s="506"/>
      <c r="M730" s="506"/>
      <c r="N730" s="505"/>
      <c r="P730" s="293"/>
      <c r="S730" s="293"/>
      <c r="X730" s="293"/>
    </row>
    <row r="731">
      <c r="B731" s="293"/>
      <c r="D731" s="293"/>
      <c r="E731" s="293"/>
      <c r="G731" s="505"/>
      <c r="H731" s="293"/>
      <c r="I731" s="293"/>
      <c r="J731" s="417"/>
      <c r="L731" s="506"/>
      <c r="M731" s="506"/>
      <c r="N731" s="505"/>
      <c r="P731" s="293"/>
      <c r="S731" s="293"/>
      <c r="X731" s="293"/>
    </row>
    <row r="732">
      <c r="B732" s="293"/>
      <c r="D732" s="293"/>
      <c r="E732" s="293"/>
      <c r="G732" s="505"/>
      <c r="H732" s="293"/>
      <c r="I732" s="293"/>
      <c r="J732" s="417"/>
      <c r="L732" s="506"/>
      <c r="M732" s="506"/>
      <c r="N732" s="505"/>
      <c r="P732" s="293"/>
      <c r="S732" s="293"/>
      <c r="X732" s="293"/>
    </row>
    <row r="733">
      <c r="B733" s="293"/>
      <c r="D733" s="293"/>
      <c r="E733" s="293"/>
      <c r="G733" s="505"/>
      <c r="H733" s="293"/>
      <c r="I733" s="293"/>
      <c r="J733" s="417"/>
      <c r="L733" s="506"/>
      <c r="M733" s="506"/>
      <c r="N733" s="505"/>
      <c r="P733" s="293"/>
      <c r="S733" s="293"/>
      <c r="X733" s="293"/>
    </row>
    <row r="734">
      <c r="B734" s="293"/>
      <c r="D734" s="293"/>
      <c r="E734" s="293"/>
      <c r="G734" s="505"/>
      <c r="H734" s="293"/>
      <c r="I734" s="293"/>
      <c r="J734" s="417"/>
      <c r="L734" s="506"/>
      <c r="M734" s="506"/>
      <c r="N734" s="505"/>
      <c r="P734" s="293"/>
      <c r="S734" s="293"/>
      <c r="X734" s="293"/>
    </row>
    <row r="735">
      <c r="B735" s="293"/>
      <c r="D735" s="293"/>
      <c r="E735" s="293"/>
      <c r="G735" s="505"/>
      <c r="H735" s="293"/>
      <c r="I735" s="293"/>
      <c r="J735" s="417"/>
      <c r="L735" s="506"/>
      <c r="M735" s="506"/>
      <c r="N735" s="505"/>
      <c r="P735" s="293"/>
      <c r="S735" s="293"/>
      <c r="X735" s="293"/>
    </row>
    <row r="736">
      <c r="B736" s="293"/>
      <c r="D736" s="293"/>
      <c r="E736" s="293"/>
      <c r="G736" s="505"/>
      <c r="H736" s="293"/>
      <c r="I736" s="293"/>
      <c r="J736" s="417"/>
      <c r="L736" s="506"/>
      <c r="M736" s="506"/>
      <c r="N736" s="505"/>
      <c r="P736" s="293"/>
      <c r="S736" s="293"/>
      <c r="X736" s="293"/>
    </row>
    <row r="737">
      <c r="B737" s="293"/>
      <c r="D737" s="293"/>
      <c r="E737" s="293"/>
      <c r="G737" s="505"/>
      <c r="H737" s="293"/>
      <c r="I737" s="293"/>
      <c r="J737" s="417"/>
      <c r="L737" s="506"/>
      <c r="M737" s="506"/>
      <c r="N737" s="505"/>
      <c r="P737" s="293"/>
      <c r="S737" s="293"/>
      <c r="X737" s="293"/>
    </row>
    <row r="738">
      <c r="B738" s="293"/>
      <c r="D738" s="293"/>
      <c r="E738" s="293"/>
      <c r="G738" s="505"/>
      <c r="H738" s="293"/>
      <c r="I738" s="293"/>
      <c r="J738" s="417"/>
      <c r="L738" s="506"/>
      <c r="M738" s="506"/>
      <c r="N738" s="505"/>
      <c r="P738" s="293"/>
      <c r="S738" s="293"/>
      <c r="X738" s="293"/>
    </row>
    <row r="739">
      <c r="B739" s="293"/>
      <c r="D739" s="293"/>
      <c r="E739" s="293"/>
      <c r="G739" s="505"/>
      <c r="H739" s="293"/>
      <c r="I739" s="293"/>
      <c r="J739" s="417"/>
      <c r="L739" s="506"/>
      <c r="M739" s="506"/>
      <c r="N739" s="505"/>
      <c r="P739" s="293"/>
      <c r="S739" s="293"/>
      <c r="X739" s="293"/>
    </row>
    <row r="740">
      <c r="B740" s="293"/>
      <c r="D740" s="293"/>
      <c r="E740" s="293"/>
      <c r="G740" s="505"/>
      <c r="H740" s="293"/>
      <c r="I740" s="293"/>
      <c r="J740" s="417"/>
      <c r="L740" s="506"/>
      <c r="M740" s="506"/>
      <c r="N740" s="505"/>
      <c r="P740" s="293"/>
      <c r="S740" s="293"/>
      <c r="X740" s="293"/>
    </row>
    <row r="741">
      <c r="B741" s="293"/>
      <c r="D741" s="293"/>
      <c r="E741" s="293"/>
      <c r="G741" s="505"/>
      <c r="H741" s="293"/>
      <c r="I741" s="293"/>
      <c r="J741" s="417"/>
      <c r="L741" s="506"/>
      <c r="M741" s="506"/>
      <c r="N741" s="505"/>
      <c r="P741" s="293"/>
      <c r="S741" s="293"/>
      <c r="X741" s="293"/>
    </row>
    <row r="742">
      <c r="B742" s="293"/>
      <c r="D742" s="293"/>
      <c r="E742" s="293"/>
      <c r="G742" s="505"/>
      <c r="H742" s="293"/>
      <c r="I742" s="293"/>
      <c r="J742" s="417"/>
      <c r="L742" s="506"/>
      <c r="M742" s="506"/>
      <c r="N742" s="505"/>
      <c r="P742" s="293"/>
      <c r="S742" s="293"/>
      <c r="X742" s="293"/>
    </row>
    <row r="743">
      <c r="B743" s="293"/>
      <c r="D743" s="293"/>
      <c r="E743" s="293"/>
      <c r="G743" s="505"/>
      <c r="H743" s="293"/>
      <c r="I743" s="293"/>
      <c r="J743" s="417"/>
      <c r="L743" s="506"/>
      <c r="M743" s="506"/>
      <c r="N743" s="505"/>
      <c r="P743" s="293"/>
      <c r="S743" s="293"/>
      <c r="X743" s="293"/>
    </row>
    <row r="744">
      <c r="B744" s="293"/>
      <c r="D744" s="293"/>
      <c r="E744" s="293"/>
      <c r="G744" s="505"/>
      <c r="H744" s="293"/>
      <c r="I744" s="293"/>
      <c r="J744" s="417"/>
      <c r="L744" s="506"/>
      <c r="M744" s="506"/>
      <c r="N744" s="505"/>
      <c r="P744" s="293"/>
      <c r="S744" s="293"/>
      <c r="X744" s="293"/>
    </row>
    <row r="745">
      <c r="B745" s="293"/>
      <c r="D745" s="293"/>
      <c r="E745" s="293"/>
      <c r="G745" s="505"/>
      <c r="H745" s="293"/>
      <c r="I745" s="293"/>
      <c r="J745" s="417"/>
      <c r="L745" s="506"/>
      <c r="M745" s="506"/>
      <c r="N745" s="505"/>
      <c r="P745" s="293"/>
      <c r="S745" s="293"/>
      <c r="X745" s="293"/>
    </row>
    <row r="746">
      <c r="B746" s="293"/>
      <c r="D746" s="293"/>
      <c r="E746" s="293"/>
      <c r="G746" s="505"/>
      <c r="H746" s="293"/>
      <c r="I746" s="293"/>
      <c r="J746" s="417"/>
      <c r="L746" s="506"/>
      <c r="M746" s="506"/>
      <c r="N746" s="505"/>
      <c r="P746" s="293"/>
      <c r="S746" s="293"/>
      <c r="X746" s="293"/>
    </row>
    <row r="747">
      <c r="B747" s="293"/>
      <c r="D747" s="293"/>
      <c r="E747" s="293"/>
      <c r="G747" s="505"/>
      <c r="H747" s="293"/>
      <c r="I747" s="293"/>
      <c r="J747" s="417"/>
      <c r="L747" s="506"/>
      <c r="M747" s="506"/>
      <c r="N747" s="505"/>
      <c r="P747" s="293"/>
      <c r="S747" s="293"/>
      <c r="X747" s="293"/>
    </row>
    <row r="748">
      <c r="B748" s="293"/>
      <c r="D748" s="293"/>
      <c r="E748" s="293"/>
      <c r="G748" s="505"/>
      <c r="H748" s="293"/>
      <c r="I748" s="293"/>
      <c r="J748" s="417"/>
      <c r="L748" s="506"/>
      <c r="M748" s="506"/>
      <c r="N748" s="505"/>
      <c r="P748" s="293"/>
      <c r="S748" s="293"/>
      <c r="X748" s="293"/>
    </row>
    <row r="749">
      <c r="B749" s="293"/>
      <c r="D749" s="293"/>
      <c r="E749" s="293"/>
      <c r="G749" s="505"/>
      <c r="H749" s="293"/>
      <c r="I749" s="293"/>
      <c r="J749" s="417"/>
      <c r="L749" s="506"/>
      <c r="M749" s="506"/>
      <c r="N749" s="505"/>
      <c r="P749" s="293"/>
      <c r="S749" s="293"/>
      <c r="X749" s="293"/>
    </row>
    <row r="750">
      <c r="B750" s="293"/>
      <c r="D750" s="293"/>
      <c r="E750" s="293"/>
      <c r="G750" s="505"/>
      <c r="H750" s="293"/>
      <c r="I750" s="293"/>
      <c r="J750" s="417"/>
      <c r="L750" s="506"/>
      <c r="M750" s="506"/>
      <c r="N750" s="505"/>
      <c r="P750" s="293"/>
      <c r="S750" s="293"/>
      <c r="X750" s="293"/>
    </row>
    <row r="751">
      <c r="B751" s="293"/>
      <c r="D751" s="293"/>
      <c r="E751" s="293"/>
      <c r="G751" s="505"/>
      <c r="H751" s="293"/>
      <c r="I751" s="293"/>
      <c r="J751" s="417"/>
      <c r="L751" s="506"/>
      <c r="M751" s="506"/>
      <c r="N751" s="505"/>
      <c r="P751" s="293"/>
      <c r="S751" s="293"/>
      <c r="X751" s="293"/>
    </row>
    <row r="752">
      <c r="B752" s="293"/>
      <c r="D752" s="293"/>
      <c r="E752" s="293"/>
      <c r="G752" s="505"/>
      <c r="H752" s="293"/>
      <c r="I752" s="293"/>
      <c r="J752" s="417"/>
      <c r="L752" s="506"/>
      <c r="M752" s="506"/>
      <c r="N752" s="505"/>
      <c r="P752" s="293"/>
      <c r="S752" s="293"/>
      <c r="X752" s="293"/>
    </row>
    <row r="753">
      <c r="B753" s="293"/>
      <c r="D753" s="293"/>
      <c r="E753" s="293"/>
      <c r="G753" s="505"/>
      <c r="H753" s="293"/>
      <c r="I753" s="293"/>
      <c r="J753" s="417"/>
      <c r="L753" s="506"/>
      <c r="M753" s="506"/>
      <c r="N753" s="505"/>
      <c r="P753" s="293"/>
      <c r="S753" s="293"/>
      <c r="X753" s="293"/>
    </row>
    <row r="754">
      <c r="B754" s="293"/>
      <c r="D754" s="293"/>
      <c r="E754" s="293"/>
      <c r="G754" s="505"/>
      <c r="H754" s="293"/>
      <c r="I754" s="293"/>
      <c r="J754" s="417"/>
      <c r="L754" s="506"/>
      <c r="M754" s="506"/>
      <c r="N754" s="505"/>
      <c r="P754" s="293"/>
      <c r="S754" s="293"/>
      <c r="X754" s="293"/>
    </row>
    <row r="755">
      <c r="B755" s="293"/>
      <c r="D755" s="293"/>
      <c r="E755" s="293"/>
      <c r="G755" s="505"/>
      <c r="H755" s="293"/>
      <c r="I755" s="293"/>
      <c r="J755" s="417"/>
      <c r="L755" s="506"/>
      <c r="M755" s="506"/>
      <c r="N755" s="505"/>
      <c r="P755" s="293"/>
      <c r="S755" s="293"/>
      <c r="X755" s="293"/>
    </row>
    <row r="756">
      <c r="B756" s="293"/>
      <c r="D756" s="293"/>
      <c r="E756" s="293"/>
      <c r="G756" s="505"/>
      <c r="H756" s="293"/>
      <c r="I756" s="293"/>
      <c r="J756" s="417"/>
      <c r="L756" s="506"/>
      <c r="M756" s="506"/>
      <c r="N756" s="505"/>
      <c r="P756" s="293"/>
      <c r="S756" s="293"/>
      <c r="X756" s="293"/>
    </row>
    <row r="757">
      <c r="B757" s="293"/>
      <c r="D757" s="293"/>
      <c r="E757" s="293"/>
      <c r="G757" s="505"/>
      <c r="H757" s="293"/>
      <c r="I757" s="293"/>
      <c r="J757" s="417"/>
      <c r="L757" s="506"/>
      <c r="M757" s="506"/>
      <c r="N757" s="505"/>
      <c r="P757" s="293"/>
      <c r="S757" s="293"/>
      <c r="X757" s="293"/>
    </row>
    <row r="758">
      <c r="B758" s="293"/>
      <c r="D758" s="293"/>
      <c r="E758" s="293"/>
      <c r="G758" s="505"/>
      <c r="H758" s="293"/>
      <c r="I758" s="293"/>
      <c r="J758" s="417"/>
      <c r="L758" s="506"/>
      <c r="M758" s="506"/>
      <c r="N758" s="505"/>
      <c r="P758" s="293"/>
      <c r="S758" s="293"/>
      <c r="X758" s="293"/>
    </row>
    <row r="759">
      <c r="B759" s="293"/>
      <c r="D759" s="293"/>
      <c r="E759" s="293"/>
      <c r="G759" s="505"/>
      <c r="H759" s="293"/>
      <c r="I759" s="293"/>
      <c r="J759" s="417"/>
      <c r="L759" s="506"/>
      <c r="M759" s="506"/>
      <c r="N759" s="505"/>
      <c r="P759" s="293"/>
      <c r="S759" s="293"/>
      <c r="X759" s="293"/>
    </row>
    <row r="760">
      <c r="B760" s="293"/>
      <c r="D760" s="293"/>
      <c r="E760" s="293"/>
      <c r="G760" s="505"/>
      <c r="H760" s="293"/>
      <c r="I760" s="293"/>
      <c r="J760" s="417"/>
      <c r="L760" s="506"/>
      <c r="M760" s="506"/>
      <c r="N760" s="505"/>
      <c r="P760" s="293"/>
      <c r="S760" s="293"/>
      <c r="X760" s="293"/>
    </row>
    <row r="761">
      <c r="B761" s="293"/>
      <c r="D761" s="293"/>
      <c r="E761" s="293"/>
      <c r="G761" s="505"/>
      <c r="H761" s="293"/>
      <c r="I761" s="293"/>
      <c r="J761" s="417"/>
      <c r="L761" s="506"/>
      <c r="M761" s="506"/>
      <c r="N761" s="505"/>
      <c r="P761" s="293"/>
      <c r="S761" s="293"/>
      <c r="X761" s="293"/>
    </row>
    <row r="762">
      <c r="B762" s="293"/>
      <c r="D762" s="293"/>
      <c r="E762" s="293"/>
      <c r="G762" s="505"/>
      <c r="H762" s="293"/>
      <c r="I762" s="293"/>
      <c r="J762" s="417"/>
      <c r="L762" s="506"/>
      <c r="M762" s="506"/>
      <c r="N762" s="505"/>
      <c r="P762" s="293"/>
      <c r="S762" s="293"/>
      <c r="X762" s="293"/>
    </row>
    <row r="763">
      <c r="B763" s="293"/>
      <c r="D763" s="293"/>
      <c r="E763" s="293"/>
      <c r="G763" s="505"/>
      <c r="H763" s="293"/>
      <c r="I763" s="293"/>
      <c r="J763" s="417"/>
      <c r="L763" s="506"/>
      <c r="M763" s="506"/>
      <c r="N763" s="505"/>
      <c r="P763" s="293"/>
      <c r="S763" s="293"/>
      <c r="X763" s="293"/>
    </row>
    <row r="764">
      <c r="B764" s="293"/>
      <c r="D764" s="293"/>
      <c r="E764" s="293"/>
      <c r="G764" s="505"/>
      <c r="H764" s="293"/>
      <c r="I764" s="293"/>
      <c r="J764" s="417"/>
      <c r="L764" s="506"/>
      <c r="M764" s="506"/>
      <c r="N764" s="505"/>
      <c r="P764" s="293"/>
      <c r="S764" s="293"/>
      <c r="X764" s="293"/>
    </row>
    <row r="765">
      <c r="B765" s="293"/>
      <c r="D765" s="293"/>
      <c r="E765" s="293"/>
      <c r="G765" s="505"/>
      <c r="H765" s="293"/>
      <c r="I765" s="293"/>
      <c r="J765" s="417"/>
      <c r="L765" s="506"/>
      <c r="M765" s="506"/>
      <c r="N765" s="505"/>
      <c r="P765" s="293"/>
      <c r="S765" s="293"/>
      <c r="X765" s="293"/>
    </row>
    <row r="766">
      <c r="B766" s="293"/>
      <c r="D766" s="293"/>
      <c r="E766" s="293"/>
      <c r="G766" s="505"/>
      <c r="H766" s="293"/>
      <c r="I766" s="293"/>
      <c r="J766" s="417"/>
      <c r="L766" s="506"/>
      <c r="M766" s="506"/>
      <c r="N766" s="505"/>
      <c r="P766" s="293"/>
      <c r="S766" s="293"/>
      <c r="X766" s="293"/>
    </row>
    <row r="767">
      <c r="B767" s="293"/>
      <c r="D767" s="293"/>
      <c r="E767" s="293"/>
      <c r="G767" s="505"/>
      <c r="H767" s="293"/>
      <c r="I767" s="293"/>
      <c r="J767" s="417"/>
      <c r="L767" s="506"/>
      <c r="M767" s="506"/>
      <c r="N767" s="505"/>
      <c r="P767" s="293"/>
      <c r="S767" s="293"/>
      <c r="X767" s="293"/>
    </row>
    <row r="768">
      <c r="B768" s="293"/>
      <c r="D768" s="293"/>
      <c r="E768" s="293"/>
      <c r="G768" s="505"/>
      <c r="H768" s="293"/>
      <c r="I768" s="293"/>
      <c r="J768" s="417"/>
      <c r="L768" s="506"/>
      <c r="M768" s="506"/>
      <c r="N768" s="505"/>
      <c r="P768" s="293"/>
      <c r="S768" s="293"/>
      <c r="X768" s="293"/>
    </row>
    <row r="769">
      <c r="B769" s="293"/>
      <c r="D769" s="293"/>
      <c r="E769" s="293"/>
      <c r="G769" s="505"/>
      <c r="H769" s="293"/>
      <c r="I769" s="293"/>
      <c r="J769" s="417"/>
      <c r="L769" s="506"/>
      <c r="M769" s="506"/>
      <c r="N769" s="505"/>
      <c r="P769" s="293"/>
      <c r="S769" s="293"/>
      <c r="X769" s="293"/>
    </row>
    <row r="770">
      <c r="B770" s="293"/>
      <c r="D770" s="293"/>
      <c r="E770" s="293"/>
      <c r="G770" s="505"/>
      <c r="H770" s="293"/>
      <c r="I770" s="293"/>
      <c r="J770" s="417"/>
      <c r="L770" s="506"/>
      <c r="M770" s="506"/>
      <c r="N770" s="505"/>
      <c r="P770" s="293"/>
      <c r="S770" s="293"/>
      <c r="X770" s="293"/>
    </row>
    <row r="771">
      <c r="B771" s="293"/>
      <c r="D771" s="293"/>
      <c r="E771" s="293"/>
      <c r="G771" s="505"/>
      <c r="H771" s="293"/>
      <c r="I771" s="293"/>
      <c r="J771" s="417"/>
      <c r="L771" s="506"/>
      <c r="M771" s="506"/>
      <c r="N771" s="505"/>
      <c r="P771" s="293"/>
      <c r="S771" s="293"/>
      <c r="X771" s="293"/>
    </row>
    <row r="772">
      <c r="B772" s="293"/>
      <c r="D772" s="293"/>
      <c r="E772" s="293"/>
      <c r="G772" s="505"/>
      <c r="H772" s="293"/>
      <c r="I772" s="293"/>
      <c r="J772" s="417"/>
      <c r="L772" s="506"/>
      <c r="M772" s="506"/>
      <c r="N772" s="505"/>
      <c r="P772" s="293"/>
      <c r="S772" s="293"/>
      <c r="X772" s="293"/>
    </row>
    <row r="773">
      <c r="B773" s="293"/>
      <c r="D773" s="293"/>
      <c r="E773" s="293"/>
      <c r="G773" s="505"/>
      <c r="H773" s="293"/>
      <c r="I773" s="293"/>
      <c r="J773" s="417"/>
      <c r="L773" s="506"/>
      <c r="M773" s="506"/>
      <c r="N773" s="505"/>
      <c r="P773" s="293"/>
      <c r="S773" s="293"/>
      <c r="X773" s="293"/>
    </row>
    <row r="774">
      <c r="B774" s="293"/>
      <c r="D774" s="293"/>
      <c r="E774" s="293"/>
      <c r="G774" s="505"/>
      <c r="H774" s="293"/>
      <c r="I774" s="293"/>
      <c r="J774" s="417"/>
      <c r="L774" s="506"/>
      <c r="M774" s="506"/>
      <c r="N774" s="505"/>
      <c r="P774" s="293"/>
      <c r="S774" s="293"/>
      <c r="X774" s="293"/>
    </row>
    <row r="775">
      <c r="B775" s="293"/>
      <c r="D775" s="293"/>
      <c r="E775" s="293"/>
      <c r="G775" s="505"/>
      <c r="H775" s="293"/>
      <c r="I775" s="293"/>
      <c r="J775" s="417"/>
      <c r="L775" s="506"/>
      <c r="M775" s="506"/>
      <c r="N775" s="505"/>
      <c r="P775" s="293"/>
      <c r="S775" s="293"/>
      <c r="X775" s="293"/>
    </row>
    <row r="776">
      <c r="B776" s="293"/>
      <c r="D776" s="293"/>
      <c r="E776" s="293"/>
      <c r="G776" s="505"/>
      <c r="H776" s="293"/>
      <c r="I776" s="293"/>
      <c r="J776" s="417"/>
      <c r="L776" s="506"/>
      <c r="M776" s="506"/>
      <c r="N776" s="505"/>
      <c r="P776" s="293"/>
      <c r="S776" s="293"/>
      <c r="X776" s="293"/>
    </row>
    <row r="777">
      <c r="B777" s="293"/>
      <c r="D777" s="293"/>
      <c r="E777" s="293"/>
      <c r="G777" s="505"/>
      <c r="H777" s="293"/>
      <c r="I777" s="293"/>
      <c r="J777" s="417"/>
      <c r="L777" s="506"/>
      <c r="M777" s="506"/>
      <c r="N777" s="505"/>
      <c r="P777" s="293"/>
      <c r="S777" s="293"/>
      <c r="X777" s="293"/>
    </row>
    <row r="778">
      <c r="B778" s="293"/>
      <c r="D778" s="293"/>
      <c r="E778" s="293"/>
      <c r="G778" s="505"/>
      <c r="H778" s="293"/>
      <c r="I778" s="293"/>
      <c r="J778" s="417"/>
      <c r="L778" s="506"/>
      <c r="M778" s="506"/>
      <c r="N778" s="505"/>
      <c r="P778" s="293"/>
      <c r="S778" s="293"/>
      <c r="X778" s="293"/>
    </row>
    <row r="779">
      <c r="B779" s="293"/>
      <c r="D779" s="293"/>
      <c r="E779" s="293"/>
      <c r="G779" s="505"/>
      <c r="H779" s="293"/>
      <c r="I779" s="293"/>
      <c r="J779" s="417"/>
      <c r="L779" s="506"/>
      <c r="M779" s="506"/>
      <c r="N779" s="505"/>
      <c r="P779" s="293"/>
      <c r="S779" s="293"/>
      <c r="X779" s="293"/>
    </row>
    <row r="780">
      <c r="B780" s="293"/>
      <c r="D780" s="293"/>
      <c r="E780" s="293"/>
      <c r="G780" s="505"/>
      <c r="H780" s="293"/>
      <c r="I780" s="293"/>
      <c r="J780" s="417"/>
      <c r="L780" s="506"/>
      <c r="M780" s="506"/>
      <c r="N780" s="505"/>
      <c r="P780" s="293"/>
      <c r="S780" s="293"/>
      <c r="X780" s="293"/>
    </row>
    <row r="781">
      <c r="B781" s="293"/>
      <c r="D781" s="293"/>
      <c r="E781" s="293"/>
      <c r="G781" s="505"/>
      <c r="H781" s="293"/>
      <c r="I781" s="293"/>
      <c r="J781" s="417"/>
      <c r="L781" s="506"/>
      <c r="M781" s="506"/>
      <c r="N781" s="505"/>
      <c r="P781" s="293"/>
      <c r="S781" s="293"/>
      <c r="X781" s="293"/>
    </row>
    <row r="782">
      <c r="B782" s="293"/>
      <c r="D782" s="293"/>
      <c r="E782" s="293"/>
      <c r="G782" s="505"/>
      <c r="H782" s="293"/>
      <c r="I782" s="293"/>
      <c r="J782" s="417"/>
      <c r="L782" s="506"/>
      <c r="M782" s="506"/>
      <c r="N782" s="505"/>
      <c r="P782" s="293"/>
      <c r="S782" s="293"/>
      <c r="X782" s="293"/>
    </row>
    <row r="783">
      <c r="B783" s="293"/>
      <c r="D783" s="293"/>
      <c r="E783" s="293"/>
      <c r="G783" s="505"/>
      <c r="H783" s="293"/>
      <c r="I783" s="293"/>
      <c r="J783" s="417"/>
      <c r="L783" s="506"/>
      <c r="M783" s="506"/>
      <c r="N783" s="505"/>
      <c r="P783" s="293"/>
      <c r="S783" s="293"/>
      <c r="X783" s="293"/>
    </row>
    <row r="784">
      <c r="B784" s="293"/>
      <c r="D784" s="293"/>
      <c r="E784" s="293"/>
      <c r="G784" s="505"/>
      <c r="H784" s="293"/>
      <c r="I784" s="293"/>
      <c r="J784" s="417"/>
      <c r="L784" s="506"/>
      <c r="M784" s="506"/>
      <c r="N784" s="505"/>
      <c r="P784" s="293"/>
      <c r="S784" s="293"/>
      <c r="X784" s="293"/>
    </row>
    <row r="785">
      <c r="B785" s="293"/>
      <c r="D785" s="293"/>
      <c r="E785" s="293"/>
      <c r="G785" s="505"/>
      <c r="H785" s="293"/>
      <c r="I785" s="293"/>
      <c r="J785" s="417"/>
      <c r="L785" s="506"/>
      <c r="M785" s="506"/>
      <c r="N785" s="505"/>
      <c r="P785" s="293"/>
      <c r="S785" s="293"/>
      <c r="X785" s="293"/>
    </row>
    <row r="786">
      <c r="B786" s="293"/>
      <c r="D786" s="293"/>
      <c r="E786" s="293"/>
      <c r="G786" s="505"/>
      <c r="H786" s="293"/>
      <c r="I786" s="293"/>
      <c r="J786" s="417"/>
      <c r="L786" s="506"/>
      <c r="M786" s="506"/>
      <c r="N786" s="505"/>
      <c r="P786" s="293"/>
      <c r="S786" s="293"/>
      <c r="X786" s="293"/>
    </row>
    <row r="787">
      <c r="B787" s="293"/>
      <c r="D787" s="293"/>
      <c r="E787" s="293"/>
      <c r="G787" s="505"/>
      <c r="H787" s="293"/>
      <c r="I787" s="293"/>
      <c r="J787" s="417"/>
      <c r="L787" s="506"/>
      <c r="M787" s="506"/>
      <c r="N787" s="505"/>
      <c r="P787" s="293"/>
      <c r="S787" s="293"/>
      <c r="X787" s="293"/>
    </row>
    <row r="788">
      <c r="B788" s="293"/>
      <c r="D788" s="293"/>
      <c r="E788" s="293"/>
      <c r="G788" s="505"/>
      <c r="H788" s="293"/>
      <c r="I788" s="293"/>
      <c r="J788" s="417"/>
      <c r="L788" s="506"/>
      <c r="M788" s="506"/>
      <c r="N788" s="505"/>
      <c r="P788" s="293"/>
      <c r="S788" s="293"/>
      <c r="X788" s="293"/>
    </row>
    <row r="789">
      <c r="B789" s="293"/>
      <c r="D789" s="293"/>
      <c r="E789" s="293"/>
      <c r="G789" s="505"/>
      <c r="H789" s="293"/>
      <c r="I789" s="293"/>
      <c r="J789" s="417"/>
      <c r="L789" s="506"/>
      <c r="M789" s="506"/>
      <c r="N789" s="505"/>
      <c r="P789" s="293"/>
      <c r="S789" s="293"/>
      <c r="X789" s="293"/>
    </row>
    <row r="790">
      <c r="B790" s="293"/>
      <c r="D790" s="293"/>
      <c r="E790" s="293"/>
      <c r="G790" s="505"/>
      <c r="H790" s="293"/>
      <c r="I790" s="293"/>
      <c r="J790" s="417"/>
      <c r="L790" s="506"/>
      <c r="M790" s="506"/>
      <c r="N790" s="505"/>
      <c r="P790" s="293"/>
      <c r="S790" s="293"/>
      <c r="X790" s="293"/>
    </row>
    <row r="791">
      <c r="B791" s="293"/>
      <c r="D791" s="293"/>
      <c r="E791" s="293"/>
      <c r="G791" s="505"/>
      <c r="H791" s="293"/>
      <c r="I791" s="293"/>
      <c r="J791" s="417"/>
      <c r="L791" s="506"/>
      <c r="M791" s="506"/>
      <c r="N791" s="505"/>
      <c r="P791" s="293"/>
      <c r="S791" s="293"/>
      <c r="X791" s="293"/>
    </row>
    <row r="792">
      <c r="B792" s="293"/>
      <c r="D792" s="293"/>
      <c r="E792" s="293"/>
      <c r="G792" s="505"/>
      <c r="H792" s="293"/>
      <c r="I792" s="293"/>
      <c r="J792" s="417"/>
      <c r="L792" s="506"/>
      <c r="M792" s="506"/>
      <c r="N792" s="505"/>
      <c r="P792" s="293"/>
      <c r="S792" s="293"/>
      <c r="X792" s="293"/>
    </row>
    <row r="793">
      <c r="B793" s="293"/>
      <c r="D793" s="293"/>
      <c r="E793" s="293"/>
      <c r="G793" s="505"/>
      <c r="H793" s="293"/>
      <c r="I793" s="293"/>
      <c r="J793" s="417"/>
      <c r="L793" s="506"/>
      <c r="M793" s="506"/>
      <c r="N793" s="505"/>
      <c r="P793" s="293"/>
      <c r="S793" s="293"/>
      <c r="X793" s="293"/>
    </row>
    <row r="794">
      <c r="B794" s="293"/>
      <c r="D794" s="293"/>
      <c r="E794" s="293"/>
      <c r="G794" s="505"/>
      <c r="H794" s="293"/>
      <c r="I794" s="293"/>
      <c r="J794" s="417"/>
      <c r="L794" s="506"/>
      <c r="M794" s="506"/>
      <c r="N794" s="505"/>
      <c r="P794" s="293"/>
      <c r="S794" s="293"/>
      <c r="X794" s="293"/>
    </row>
    <row r="795">
      <c r="B795" s="293"/>
      <c r="D795" s="293"/>
      <c r="E795" s="293"/>
      <c r="G795" s="505"/>
      <c r="H795" s="293"/>
      <c r="I795" s="293"/>
      <c r="J795" s="417"/>
      <c r="L795" s="506"/>
      <c r="M795" s="506"/>
      <c r="N795" s="505"/>
      <c r="P795" s="293"/>
      <c r="S795" s="293"/>
      <c r="X795" s="293"/>
    </row>
    <row r="796">
      <c r="B796" s="293"/>
      <c r="D796" s="293"/>
      <c r="E796" s="293"/>
      <c r="G796" s="505"/>
      <c r="H796" s="293"/>
      <c r="I796" s="293"/>
      <c r="J796" s="417"/>
      <c r="L796" s="506"/>
      <c r="M796" s="506"/>
      <c r="N796" s="505"/>
      <c r="P796" s="293"/>
      <c r="S796" s="293"/>
      <c r="X796" s="293"/>
    </row>
    <row r="797">
      <c r="B797" s="293"/>
      <c r="D797" s="293"/>
      <c r="E797" s="293"/>
      <c r="G797" s="505"/>
      <c r="H797" s="293"/>
      <c r="I797" s="293"/>
      <c r="J797" s="417"/>
      <c r="L797" s="506"/>
      <c r="M797" s="506"/>
      <c r="N797" s="505"/>
      <c r="P797" s="293"/>
      <c r="S797" s="293"/>
      <c r="X797" s="293"/>
    </row>
    <row r="798">
      <c r="B798" s="293"/>
      <c r="D798" s="293"/>
      <c r="E798" s="293"/>
      <c r="G798" s="505"/>
      <c r="H798" s="293"/>
      <c r="I798" s="293"/>
      <c r="J798" s="417"/>
      <c r="L798" s="506"/>
      <c r="M798" s="506"/>
      <c r="N798" s="505"/>
      <c r="P798" s="293"/>
      <c r="S798" s="293"/>
      <c r="X798" s="293"/>
    </row>
    <row r="799">
      <c r="B799" s="293"/>
      <c r="D799" s="293"/>
      <c r="E799" s="293"/>
      <c r="G799" s="505"/>
      <c r="H799" s="293"/>
      <c r="I799" s="293"/>
      <c r="J799" s="417"/>
      <c r="L799" s="506"/>
      <c r="M799" s="506"/>
      <c r="N799" s="505"/>
      <c r="P799" s="293"/>
      <c r="S799" s="293"/>
      <c r="X799" s="293"/>
    </row>
    <row r="800">
      <c r="B800" s="293"/>
      <c r="D800" s="293"/>
      <c r="E800" s="293"/>
      <c r="G800" s="505"/>
      <c r="H800" s="293"/>
      <c r="I800" s="293"/>
      <c r="J800" s="417"/>
      <c r="L800" s="506"/>
      <c r="M800" s="506"/>
      <c r="N800" s="505"/>
      <c r="P800" s="293"/>
      <c r="S800" s="293"/>
      <c r="X800" s="293"/>
    </row>
    <row r="801">
      <c r="B801" s="293"/>
      <c r="D801" s="293"/>
      <c r="E801" s="293"/>
      <c r="G801" s="505"/>
      <c r="H801" s="293"/>
      <c r="I801" s="293"/>
      <c r="J801" s="417"/>
      <c r="L801" s="506"/>
      <c r="M801" s="506"/>
      <c r="N801" s="505"/>
      <c r="P801" s="293"/>
      <c r="S801" s="293"/>
      <c r="X801" s="293"/>
    </row>
    <row r="802">
      <c r="B802" s="293"/>
      <c r="D802" s="293"/>
      <c r="E802" s="293"/>
      <c r="G802" s="505"/>
      <c r="H802" s="293"/>
      <c r="I802" s="293"/>
      <c r="J802" s="417"/>
      <c r="L802" s="506"/>
      <c r="M802" s="506"/>
      <c r="N802" s="505"/>
      <c r="P802" s="293"/>
      <c r="S802" s="293"/>
      <c r="X802" s="293"/>
    </row>
    <row r="803">
      <c r="B803" s="293"/>
      <c r="D803" s="293"/>
      <c r="E803" s="293"/>
      <c r="G803" s="505"/>
      <c r="H803" s="293"/>
      <c r="I803" s="293"/>
      <c r="J803" s="417"/>
      <c r="L803" s="506"/>
      <c r="M803" s="506"/>
      <c r="N803" s="505"/>
      <c r="P803" s="293"/>
      <c r="S803" s="293"/>
      <c r="X803" s="293"/>
    </row>
    <row r="804">
      <c r="B804" s="293"/>
      <c r="D804" s="293"/>
      <c r="E804" s="293"/>
      <c r="G804" s="505"/>
      <c r="H804" s="293"/>
      <c r="I804" s="293"/>
      <c r="J804" s="417"/>
      <c r="L804" s="506"/>
      <c r="M804" s="506"/>
      <c r="N804" s="505"/>
      <c r="P804" s="293"/>
      <c r="S804" s="293"/>
      <c r="X804" s="293"/>
    </row>
    <row r="805">
      <c r="B805" s="293"/>
      <c r="D805" s="293"/>
      <c r="E805" s="293"/>
      <c r="G805" s="505"/>
      <c r="H805" s="293"/>
      <c r="I805" s="293"/>
      <c r="J805" s="417"/>
      <c r="L805" s="506"/>
      <c r="M805" s="506"/>
      <c r="N805" s="505"/>
      <c r="P805" s="293"/>
      <c r="S805" s="293"/>
      <c r="X805" s="293"/>
    </row>
    <row r="806">
      <c r="B806" s="293"/>
      <c r="D806" s="293"/>
      <c r="E806" s="293"/>
      <c r="G806" s="505"/>
      <c r="H806" s="293"/>
      <c r="I806" s="293"/>
      <c r="J806" s="417"/>
      <c r="L806" s="506"/>
      <c r="M806" s="506"/>
      <c r="N806" s="505"/>
      <c r="P806" s="293"/>
      <c r="S806" s="293"/>
      <c r="X806" s="293"/>
    </row>
    <row r="807">
      <c r="B807" s="293"/>
      <c r="D807" s="293"/>
      <c r="E807" s="293"/>
      <c r="G807" s="505"/>
      <c r="H807" s="293"/>
      <c r="I807" s="293"/>
      <c r="J807" s="417"/>
      <c r="L807" s="506"/>
      <c r="M807" s="506"/>
      <c r="N807" s="505"/>
      <c r="P807" s="293"/>
      <c r="S807" s="293"/>
      <c r="X807" s="293"/>
    </row>
    <row r="808">
      <c r="B808" s="293"/>
      <c r="D808" s="293"/>
      <c r="E808" s="293"/>
      <c r="G808" s="505"/>
      <c r="H808" s="293"/>
      <c r="I808" s="293"/>
      <c r="J808" s="417"/>
      <c r="L808" s="506"/>
      <c r="M808" s="506"/>
      <c r="N808" s="505"/>
      <c r="P808" s="293"/>
      <c r="S808" s="293"/>
      <c r="X808" s="293"/>
    </row>
    <row r="809">
      <c r="B809" s="293"/>
      <c r="D809" s="293"/>
      <c r="E809" s="293"/>
      <c r="G809" s="505"/>
      <c r="H809" s="293"/>
      <c r="I809" s="293"/>
      <c r="J809" s="417"/>
      <c r="L809" s="506"/>
      <c r="M809" s="506"/>
      <c r="N809" s="505"/>
      <c r="P809" s="293"/>
      <c r="S809" s="293"/>
      <c r="X809" s="293"/>
    </row>
    <row r="810">
      <c r="B810" s="293"/>
      <c r="D810" s="293"/>
      <c r="E810" s="293"/>
      <c r="G810" s="505"/>
      <c r="H810" s="293"/>
      <c r="I810" s="293"/>
      <c r="J810" s="417"/>
      <c r="L810" s="506"/>
      <c r="M810" s="506"/>
      <c r="N810" s="505"/>
      <c r="P810" s="293"/>
      <c r="S810" s="293"/>
      <c r="X810" s="293"/>
    </row>
    <row r="811">
      <c r="B811" s="293"/>
      <c r="D811" s="293"/>
      <c r="E811" s="293"/>
      <c r="G811" s="505"/>
      <c r="H811" s="293"/>
      <c r="I811" s="293"/>
      <c r="J811" s="417"/>
      <c r="L811" s="506"/>
      <c r="M811" s="506"/>
      <c r="N811" s="505"/>
      <c r="P811" s="293"/>
      <c r="S811" s="293"/>
      <c r="X811" s="293"/>
    </row>
    <row r="812">
      <c r="B812" s="293"/>
      <c r="D812" s="293"/>
      <c r="E812" s="293"/>
      <c r="G812" s="505"/>
      <c r="H812" s="293"/>
      <c r="I812" s="293"/>
      <c r="J812" s="417"/>
      <c r="L812" s="506"/>
      <c r="M812" s="506"/>
      <c r="N812" s="505"/>
      <c r="P812" s="293"/>
      <c r="S812" s="293"/>
      <c r="X812" s="293"/>
    </row>
    <row r="813">
      <c r="B813" s="293"/>
      <c r="D813" s="293"/>
      <c r="E813" s="293"/>
      <c r="G813" s="505"/>
      <c r="H813" s="293"/>
      <c r="I813" s="293"/>
      <c r="J813" s="417"/>
      <c r="L813" s="506"/>
      <c r="M813" s="506"/>
      <c r="N813" s="505"/>
      <c r="P813" s="293"/>
      <c r="S813" s="293"/>
      <c r="X813" s="293"/>
    </row>
    <row r="814">
      <c r="B814" s="293"/>
      <c r="D814" s="293"/>
      <c r="E814" s="293"/>
      <c r="G814" s="505"/>
      <c r="H814" s="293"/>
      <c r="I814" s="293"/>
      <c r="J814" s="417"/>
      <c r="L814" s="506"/>
      <c r="M814" s="506"/>
      <c r="N814" s="505"/>
      <c r="P814" s="293"/>
      <c r="S814" s="293"/>
      <c r="X814" s="293"/>
    </row>
    <row r="815">
      <c r="B815" s="293"/>
      <c r="D815" s="293"/>
      <c r="E815" s="293"/>
      <c r="G815" s="505"/>
      <c r="H815" s="293"/>
      <c r="I815" s="293"/>
      <c r="J815" s="417"/>
      <c r="L815" s="506"/>
      <c r="M815" s="506"/>
      <c r="N815" s="505"/>
      <c r="P815" s="293"/>
      <c r="S815" s="293"/>
      <c r="X815" s="293"/>
    </row>
    <row r="816">
      <c r="B816" s="293"/>
      <c r="D816" s="293"/>
      <c r="E816" s="293"/>
      <c r="G816" s="505"/>
      <c r="H816" s="293"/>
      <c r="I816" s="293"/>
      <c r="J816" s="417"/>
      <c r="L816" s="506"/>
      <c r="M816" s="506"/>
      <c r="N816" s="505"/>
      <c r="P816" s="293"/>
      <c r="S816" s="293"/>
      <c r="X816" s="293"/>
    </row>
    <row r="817">
      <c r="B817" s="293"/>
      <c r="D817" s="293"/>
      <c r="E817" s="293"/>
      <c r="G817" s="505"/>
      <c r="H817" s="293"/>
      <c r="I817" s="293"/>
      <c r="J817" s="417"/>
      <c r="L817" s="506"/>
      <c r="M817" s="506"/>
      <c r="N817" s="505"/>
      <c r="P817" s="293"/>
      <c r="S817" s="293"/>
      <c r="X817" s="293"/>
    </row>
    <row r="818">
      <c r="B818" s="293"/>
      <c r="D818" s="293"/>
      <c r="E818" s="293"/>
      <c r="G818" s="505"/>
      <c r="H818" s="293"/>
      <c r="I818" s="293"/>
      <c r="J818" s="417"/>
      <c r="L818" s="506"/>
      <c r="M818" s="506"/>
      <c r="N818" s="505"/>
      <c r="P818" s="293"/>
      <c r="S818" s="293"/>
      <c r="X818" s="293"/>
    </row>
    <row r="819">
      <c r="B819" s="293"/>
      <c r="D819" s="293"/>
      <c r="E819" s="293"/>
      <c r="G819" s="505"/>
      <c r="H819" s="293"/>
      <c r="I819" s="293"/>
      <c r="J819" s="417"/>
      <c r="L819" s="506"/>
      <c r="M819" s="506"/>
      <c r="N819" s="505"/>
      <c r="P819" s="293"/>
      <c r="S819" s="293"/>
      <c r="X819" s="293"/>
    </row>
    <row r="820">
      <c r="B820" s="293"/>
      <c r="D820" s="293"/>
      <c r="E820" s="293"/>
      <c r="G820" s="505"/>
      <c r="H820" s="293"/>
      <c r="I820" s="293"/>
      <c r="J820" s="417"/>
      <c r="L820" s="506"/>
      <c r="M820" s="506"/>
      <c r="N820" s="505"/>
      <c r="P820" s="293"/>
      <c r="S820" s="293"/>
      <c r="X820" s="293"/>
    </row>
    <row r="821">
      <c r="B821" s="293"/>
      <c r="D821" s="293"/>
      <c r="E821" s="293"/>
      <c r="G821" s="505"/>
      <c r="H821" s="293"/>
      <c r="I821" s="293"/>
      <c r="J821" s="417"/>
      <c r="L821" s="506"/>
      <c r="M821" s="506"/>
      <c r="N821" s="505"/>
      <c r="P821" s="293"/>
      <c r="S821" s="293"/>
      <c r="X821" s="293"/>
    </row>
    <row r="822">
      <c r="B822" s="293"/>
      <c r="D822" s="293"/>
      <c r="E822" s="293"/>
      <c r="G822" s="505"/>
      <c r="H822" s="293"/>
      <c r="I822" s="293"/>
      <c r="J822" s="417"/>
      <c r="L822" s="506"/>
      <c r="M822" s="506"/>
      <c r="N822" s="505"/>
      <c r="P822" s="293"/>
      <c r="S822" s="293"/>
      <c r="X822" s="293"/>
    </row>
    <row r="823">
      <c r="B823" s="293"/>
      <c r="D823" s="293"/>
      <c r="E823" s="293"/>
      <c r="G823" s="505"/>
      <c r="H823" s="293"/>
      <c r="I823" s="293"/>
      <c r="J823" s="417"/>
      <c r="L823" s="506"/>
      <c r="M823" s="506"/>
      <c r="N823" s="505"/>
      <c r="P823" s="293"/>
      <c r="S823" s="293"/>
      <c r="X823" s="293"/>
    </row>
    <row r="824">
      <c r="B824" s="293"/>
      <c r="D824" s="293"/>
      <c r="E824" s="293"/>
      <c r="G824" s="505"/>
      <c r="H824" s="293"/>
      <c r="I824" s="293"/>
      <c r="J824" s="417"/>
      <c r="L824" s="506"/>
      <c r="M824" s="506"/>
      <c r="N824" s="505"/>
      <c r="P824" s="293"/>
      <c r="S824" s="293"/>
      <c r="X824" s="293"/>
    </row>
    <row r="825">
      <c r="B825" s="293"/>
      <c r="D825" s="293"/>
      <c r="E825" s="293"/>
      <c r="G825" s="505"/>
      <c r="H825" s="293"/>
      <c r="I825" s="293"/>
      <c r="J825" s="417"/>
      <c r="L825" s="506"/>
      <c r="M825" s="506"/>
      <c r="N825" s="505"/>
      <c r="P825" s="293"/>
      <c r="S825" s="293"/>
      <c r="X825" s="293"/>
    </row>
    <row r="826">
      <c r="B826" s="293"/>
      <c r="D826" s="293"/>
      <c r="E826" s="293"/>
      <c r="G826" s="505"/>
      <c r="H826" s="293"/>
      <c r="I826" s="293"/>
      <c r="J826" s="417"/>
      <c r="L826" s="506"/>
      <c r="M826" s="506"/>
      <c r="N826" s="505"/>
      <c r="P826" s="293"/>
      <c r="S826" s="293"/>
      <c r="X826" s="293"/>
    </row>
    <row r="827">
      <c r="B827" s="293"/>
      <c r="D827" s="293"/>
      <c r="E827" s="293"/>
      <c r="G827" s="505"/>
      <c r="H827" s="293"/>
      <c r="I827" s="293"/>
      <c r="J827" s="417"/>
      <c r="L827" s="506"/>
      <c r="M827" s="506"/>
      <c r="N827" s="505"/>
      <c r="P827" s="293"/>
      <c r="S827" s="293"/>
      <c r="X827" s="293"/>
    </row>
    <row r="828">
      <c r="B828" s="293"/>
      <c r="D828" s="293"/>
      <c r="E828" s="293"/>
      <c r="G828" s="505"/>
      <c r="H828" s="293"/>
      <c r="I828" s="293"/>
      <c r="J828" s="417"/>
      <c r="L828" s="506"/>
      <c r="M828" s="506"/>
      <c r="N828" s="505"/>
      <c r="P828" s="293"/>
      <c r="S828" s="293"/>
      <c r="X828" s="293"/>
    </row>
    <row r="829">
      <c r="B829" s="293"/>
      <c r="D829" s="293"/>
      <c r="E829" s="293"/>
      <c r="G829" s="505"/>
      <c r="H829" s="293"/>
      <c r="I829" s="293"/>
      <c r="J829" s="417"/>
      <c r="L829" s="506"/>
      <c r="M829" s="506"/>
      <c r="N829" s="505"/>
      <c r="P829" s="293"/>
      <c r="S829" s="293"/>
      <c r="X829" s="293"/>
    </row>
    <row r="830">
      <c r="B830" s="293"/>
      <c r="D830" s="293"/>
      <c r="E830" s="293"/>
      <c r="G830" s="505"/>
      <c r="H830" s="293"/>
      <c r="I830" s="293"/>
      <c r="J830" s="417"/>
      <c r="L830" s="506"/>
      <c r="M830" s="506"/>
      <c r="N830" s="505"/>
      <c r="P830" s="293"/>
      <c r="S830" s="293"/>
      <c r="X830" s="293"/>
    </row>
    <row r="831">
      <c r="B831" s="293"/>
      <c r="D831" s="293"/>
      <c r="E831" s="293"/>
      <c r="G831" s="505"/>
      <c r="H831" s="293"/>
      <c r="I831" s="293"/>
      <c r="J831" s="417"/>
      <c r="L831" s="506"/>
      <c r="M831" s="506"/>
      <c r="N831" s="505"/>
      <c r="P831" s="293"/>
      <c r="S831" s="293"/>
      <c r="X831" s="293"/>
    </row>
    <row r="832">
      <c r="B832" s="293"/>
      <c r="D832" s="293"/>
      <c r="E832" s="293"/>
      <c r="G832" s="505"/>
      <c r="H832" s="293"/>
      <c r="I832" s="293"/>
      <c r="J832" s="417"/>
      <c r="L832" s="506"/>
      <c r="M832" s="506"/>
      <c r="N832" s="505"/>
      <c r="P832" s="293"/>
      <c r="S832" s="293"/>
      <c r="X832" s="293"/>
    </row>
    <row r="833">
      <c r="B833" s="293"/>
      <c r="D833" s="293"/>
      <c r="E833" s="293"/>
      <c r="G833" s="505"/>
      <c r="H833" s="293"/>
      <c r="I833" s="293"/>
      <c r="J833" s="417"/>
      <c r="L833" s="506"/>
      <c r="M833" s="506"/>
      <c r="N833" s="505"/>
      <c r="P833" s="293"/>
      <c r="S833" s="293"/>
      <c r="X833" s="293"/>
    </row>
    <row r="834">
      <c r="B834" s="293"/>
      <c r="D834" s="293"/>
      <c r="E834" s="293"/>
      <c r="G834" s="505"/>
      <c r="H834" s="293"/>
      <c r="I834" s="293"/>
      <c r="J834" s="417"/>
      <c r="L834" s="506"/>
      <c r="M834" s="506"/>
      <c r="N834" s="505"/>
      <c r="P834" s="293"/>
      <c r="S834" s="293"/>
      <c r="X834" s="293"/>
    </row>
    <row r="835">
      <c r="B835" s="293"/>
      <c r="D835" s="293"/>
      <c r="E835" s="293"/>
      <c r="G835" s="505"/>
      <c r="H835" s="293"/>
      <c r="I835" s="293"/>
      <c r="J835" s="417"/>
      <c r="L835" s="506"/>
      <c r="M835" s="506"/>
      <c r="N835" s="505"/>
      <c r="P835" s="293"/>
      <c r="S835" s="293"/>
      <c r="X835" s="293"/>
    </row>
    <row r="836">
      <c r="B836" s="293"/>
      <c r="D836" s="293"/>
      <c r="E836" s="293"/>
      <c r="G836" s="505"/>
      <c r="H836" s="293"/>
      <c r="I836" s="293"/>
      <c r="J836" s="417"/>
      <c r="L836" s="506"/>
      <c r="M836" s="506"/>
      <c r="N836" s="505"/>
      <c r="P836" s="293"/>
      <c r="S836" s="293"/>
      <c r="X836" s="293"/>
    </row>
    <row r="837">
      <c r="B837" s="293"/>
      <c r="D837" s="293"/>
      <c r="E837" s="293"/>
      <c r="G837" s="505"/>
      <c r="H837" s="293"/>
      <c r="I837" s="293"/>
      <c r="J837" s="417"/>
      <c r="L837" s="506"/>
      <c r="M837" s="506"/>
      <c r="N837" s="505"/>
      <c r="P837" s="293"/>
      <c r="S837" s="293"/>
      <c r="X837" s="293"/>
    </row>
    <row r="838">
      <c r="B838" s="293"/>
      <c r="D838" s="293"/>
      <c r="E838" s="293"/>
      <c r="G838" s="505"/>
      <c r="H838" s="293"/>
      <c r="I838" s="293"/>
      <c r="J838" s="417"/>
      <c r="L838" s="506"/>
      <c r="M838" s="506"/>
      <c r="N838" s="505"/>
      <c r="P838" s="293"/>
      <c r="S838" s="293"/>
      <c r="X838" s="293"/>
    </row>
    <row r="839">
      <c r="B839" s="293"/>
      <c r="D839" s="293"/>
      <c r="E839" s="293"/>
      <c r="G839" s="505"/>
      <c r="H839" s="293"/>
      <c r="I839" s="293"/>
      <c r="J839" s="417"/>
      <c r="L839" s="506"/>
      <c r="M839" s="506"/>
      <c r="N839" s="505"/>
      <c r="P839" s="293"/>
      <c r="S839" s="293"/>
      <c r="X839" s="293"/>
    </row>
    <row r="840">
      <c r="B840" s="293"/>
      <c r="D840" s="293"/>
      <c r="E840" s="293"/>
      <c r="G840" s="505"/>
      <c r="H840" s="293"/>
      <c r="I840" s="293"/>
      <c r="J840" s="417"/>
      <c r="L840" s="506"/>
      <c r="M840" s="506"/>
      <c r="N840" s="505"/>
      <c r="P840" s="293"/>
      <c r="S840" s="293"/>
      <c r="X840" s="293"/>
    </row>
    <row r="841">
      <c r="B841" s="293"/>
      <c r="D841" s="293"/>
      <c r="E841" s="293"/>
      <c r="G841" s="505"/>
      <c r="H841" s="293"/>
      <c r="I841" s="293"/>
      <c r="J841" s="417"/>
      <c r="L841" s="506"/>
      <c r="M841" s="506"/>
      <c r="N841" s="505"/>
      <c r="P841" s="293"/>
      <c r="S841" s="293"/>
      <c r="X841" s="293"/>
    </row>
    <row r="842">
      <c r="B842" s="293"/>
      <c r="D842" s="293"/>
      <c r="E842" s="293"/>
      <c r="G842" s="505"/>
      <c r="H842" s="293"/>
      <c r="I842" s="293"/>
      <c r="J842" s="417"/>
      <c r="L842" s="506"/>
      <c r="M842" s="506"/>
      <c r="N842" s="505"/>
      <c r="P842" s="293"/>
      <c r="S842" s="293"/>
      <c r="X842" s="293"/>
    </row>
    <row r="843">
      <c r="B843" s="293"/>
      <c r="D843" s="293"/>
      <c r="E843" s="293"/>
      <c r="G843" s="505"/>
      <c r="H843" s="293"/>
      <c r="I843" s="293"/>
      <c r="J843" s="417"/>
      <c r="L843" s="506"/>
      <c r="M843" s="506"/>
      <c r="N843" s="505"/>
      <c r="P843" s="293"/>
      <c r="S843" s="293"/>
      <c r="X843" s="293"/>
    </row>
    <row r="844">
      <c r="B844" s="293"/>
      <c r="D844" s="293"/>
      <c r="E844" s="293"/>
      <c r="G844" s="505"/>
      <c r="H844" s="293"/>
      <c r="I844" s="293"/>
      <c r="J844" s="417"/>
      <c r="L844" s="506"/>
      <c r="M844" s="506"/>
      <c r="N844" s="505"/>
      <c r="P844" s="293"/>
      <c r="S844" s="293"/>
      <c r="X844" s="293"/>
    </row>
    <row r="845">
      <c r="B845" s="293"/>
      <c r="D845" s="293"/>
      <c r="E845" s="293"/>
      <c r="G845" s="505"/>
      <c r="H845" s="293"/>
      <c r="I845" s="293"/>
      <c r="J845" s="417"/>
      <c r="L845" s="506"/>
      <c r="M845" s="506"/>
      <c r="N845" s="505"/>
      <c r="P845" s="293"/>
      <c r="S845" s="293"/>
      <c r="X845" s="293"/>
    </row>
    <row r="846">
      <c r="B846" s="293"/>
      <c r="D846" s="293"/>
      <c r="E846" s="293"/>
      <c r="G846" s="505"/>
      <c r="H846" s="293"/>
      <c r="I846" s="293"/>
      <c r="J846" s="417"/>
      <c r="L846" s="506"/>
      <c r="M846" s="506"/>
      <c r="N846" s="505"/>
      <c r="P846" s="293"/>
      <c r="S846" s="293"/>
      <c r="X846" s="293"/>
    </row>
    <row r="847">
      <c r="B847" s="293"/>
      <c r="D847" s="293"/>
      <c r="E847" s="293"/>
      <c r="G847" s="505"/>
      <c r="H847" s="293"/>
      <c r="I847" s="293"/>
      <c r="J847" s="417"/>
      <c r="L847" s="506"/>
      <c r="M847" s="506"/>
      <c r="N847" s="505"/>
      <c r="P847" s="293"/>
      <c r="S847" s="293"/>
      <c r="X847" s="293"/>
    </row>
    <row r="848">
      <c r="B848" s="293"/>
      <c r="D848" s="293"/>
      <c r="E848" s="293"/>
      <c r="G848" s="505"/>
      <c r="H848" s="293"/>
      <c r="I848" s="293"/>
      <c r="J848" s="417"/>
      <c r="L848" s="506"/>
      <c r="M848" s="506"/>
      <c r="N848" s="505"/>
      <c r="P848" s="293"/>
      <c r="S848" s="293"/>
      <c r="X848" s="293"/>
    </row>
    <row r="849">
      <c r="B849" s="293"/>
      <c r="D849" s="293"/>
      <c r="E849" s="293"/>
      <c r="G849" s="505"/>
      <c r="H849" s="293"/>
      <c r="I849" s="293"/>
      <c r="J849" s="417"/>
      <c r="L849" s="506"/>
      <c r="M849" s="506"/>
      <c r="N849" s="505"/>
      <c r="P849" s="293"/>
      <c r="S849" s="293"/>
      <c r="X849" s="293"/>
    </row>
    <row r="850">
      <c r="B850" s="293"/>
      <c r="D850" s="293"/>
      <c r="E850" s="293"/>
      <c r="G850" s="505"/>
      <c r="H850" s="293"/>
      <c r="I850" s="293"/>
      <c r="J850" s="417"/>
      <c r="L850" s="506"/>
      <c r="M850" s="506"/>
      <c r="N850" s="505"/>
      <c r="P850" s="293"/>
      <c r="S850" s="293"/>
      <c r="X850" s="293"/>
    </row>
    <row r="851">
      <c r="B851" s="293"/>
      <c r="D851" s="293"/>
      <c r="E851" s="293"/>
      <c r="G851" s="505"/>
      <c r="H851" s="293"/>
      <c r="I851" s="293"/>
      <c r="J851" s="417"/>
      <c r="L851" s="506"/>
      <c r="M851" s="506"/>
      <c r="N851" s="505"/>
      <c r="P851" s="293"/>
      <c r="S851" s="293"/>
      <c r="X851" s="293"/>
    </row>
    <row r="852">
      <c r="B852" s="293"/>
      <c r="D852" s="293"/>
      <c r="E852" s="293"/>
      <c r="G852" s="505"/>
      <c r="H852" s="293"/>
      <c r="I852" s="293"/>
      <c r="J852" s="417"/>
      <c r="L852" s="506"/>
      <c r="M852" s="506"/>
      <c r="N852" s="505"/>
      <c r="P852" s="293"/>
      <c r="S852" s="293"/>
      <c r="X852" s="293"/>
    </row>
    <row r="853">
      <c r="B853" s="293"/>
      <c r="D853" s="293"/>
      <c r="E853" s="293"/>
      <c r="G853" s="505"/>
      <c r="H853" s="293"/>
      <c r="I853" s="293"/>
      <c r="J853" s="417"/>
      <c r="L853" s="506"/>
      <c r="M853" s="506"/>
      <c r="N853" s="505"/>
      <c r="P853" s="293"/>
      <c r="S853" s="293"/>
      <c r="X853" s="293"/>
    </row>
    <row r="854">
      <c r="B854" s="293"/>
      <c r="D854" s="293"/>
      <c r="E854" s="293"/>
      <c r="G854" s="505"/>
      <c r="H854" s="293"/>
      <c r="I854" s="293"/>
      <c r="J854" s="417"/>
      <c r="L854" s="506"/>
      <c r="M854" s="506"/>
      <c r="N854" s="505"/>
      <c r="P854" s="293"/>
      <c r="S854" s="293"/>
      <c r="X854" s="293"/>
    </row>
    <row r="855">
      <c r="B855" s="293"/>
      <c r="D855" s="293"/>
      <c r="E855" s="293"/>
      <c r="G855" s="505"/>
      <c r="H855" s="293"/>
      <c r="I855" s="293"/>
      <c r="J855" s="417"/>
      <c r="L855" s="506"/>
      <c r="M855" s="506"/>
      <c r="N855" s="505"/>
      <c r="P855" s="293"/>
      <c r="S855" s="293"/>
      <c r="X855" s="293"/>
    </row>
    <row r="856">
      <c r="B856" s="293"/>
      <c r="D856" s="293"/>
      <c r="E856" s="293"/>
      <c r="G856" s="505"/>
      <c r="H856" s="293"/>
      <c r="I856" s="293"/>
      <c r="J856" s="417"/>
      <c r="L856" s="506"/>
      <c r="M856" s="506"/>
      <c r="N856" s="505"/>
      <c r="P856" s="293"/>
      <c r="S856" s="293"/>
      <c r="X856" s="293"/>
    </row>
    <row r="857">
      <c r="B857" s="293"/>
      <c r="D857" s="293"/>
      <c r="E857" s="293"/>
      <c r="G857" s="505"/>
      <c r="H857" s="293"/>
      <c r="I857" s="293"/>
      <c r="J857" s="417"/>
      <c r="L857" s="506"/>
      <c r="M857" s="506"/>
      <c r="N857" s="505"/>
      <c r="P857" s="293"/>
      <c r="S857" s="293"/>
      <c r="X857" s="293"/>
    </row>
    <row r="858">
      <c r="B858" s="293"/>
      <c r="D858" s="293"/>
      <c r="E858" s="293"/>
      <c r="G858" s="505"/>
      <c r="H858" s="293"/>
      <c r="I858" s="293"/>
      <c r="J858" s="417"/>
      <c r="L858" s="506"/>
      <c r="M858" s="506"/>
      <c r="N858" s="505"/>
      <c r="P858" s="293"/>
      <c r="S858" s="293"/>
      <c r="X858" s="293"/>
    </row>
    <row r="859">
      <c r="B859" s="293"/>
      <c r="D859" s="293"/>
      <c r="E859" s="293"/>
      <c r="G859" s="505"/>
      <c r="H859" s="293"/>
      <c r="I859" s="293"/>
      <c r="J859" s="417"/>
      <c r="L859" s="506"/>
      <c r="M859" s="506"/>
      <c r="N859" s="505"/>
      <c r="P859" s="293"/>
      <c r="S859" s="293"/>
      <c r="X859" s="293"/>
    </row>
    <row r="860">
      <c r="B860" s="293"/>
      <c r="D860" s="293"/>
      <c r="E860" s="293"/>
      <c r="G860" s="505"/>
      <c r="H860" s="293"/>
      <c r="I860" s="293"/>
      <c r="J860" s="417"/>
      <c r="L860" s="506"/>
      <c r="M860" s="506"/>
      <c r="N860" s="505"/>
      <c r="P860" s="293"/>
      <c r="S860" s="293"/>
      <c r="X860" s="293"/>
    </row>
    <row r="861">
      <c r="B861" s="293"/>
      <c r="D861" s="293"/>
      <c r="E861" s="293"/>
      <c r="G861" s="505"/>
      <c r="H861" s="293"/>
      <c r="I861" s="293"/>
      <c r="J861" s="417"/>
      <c r="L861" s="506"/>
      <c r="M861" s="506"/>
      <c r="N861" s="505"/>
      <c r="P861" s="293"/>
      <c r="S861" s="293"/>
      <c r="X861" s="293"/>
    </row>
    <row r="862">
      <c r="B862" s="293"/>
      <c r="D862" s="293"/>
      <c r="E862" s="293"/>
      <c r="G862" s="505"/>
      <c r="H862" s="293"/>
      <c r="I862" s="293"/>
      <c r="J862" s="417"/>
      <c r="L862" s="506"/>
      <c r="M862" s="506"/>
      <c r="N862" s="505"/>
      <c r="P862" s="293"/>
      <c r="S862" s="293"/>
      <c r="X862" s="293"/>
    </row>
    <row r="863">
      <c r="B863" s="293"/>
      <c r="D863" s="293"/>
      <c r="E863" s="293"/>
      <c r="G863" s="505"/>
      <c r="H863" s="293"/>
      <c r="I863" s="293"/>
      <c r="J863" s="417"/>
      <c r="L863" s="506"/>
      <c r="M863" s="506"/>
      <c r="N863" s="505"/>
      <c r="P863" s="293"/>
      <c r="S863" s="293"/>
      <c r="X863" s="293"/>
    </row>
    <row r="864">
      <c r="B864" s="293"/>
      <c r="D864" s="293"/>
      <c r="E864" s="293"/>
      <c r="G864" s="505"/>
      <c r="H864" s="293"/>
      <c r="I864" s="293"/>
      <c r="J864" s="417"/>
      <c r="L864" s="506"/>
      <c r="M864" s="506"/>
      <c r="N864" s="505"/>
      <c r="P864" s="293"/>
      <c r="S864" s="293"/>
      <c r="X864" s="293"/>
    </row>
    <row r="865">
      <c r="B865" s="293"/>
      <c r="D865" s="293"/>
      <c r="E865" s="293"/>
      <c r="G865" s="505"/>
      <c r="H865" s="293"/>
      <c r="I865" s="293"/>
      <c r="J865" s="417"/>
      <c r="L865" s="506"/>
      <c r="M865" s="506"/>
      <c r="N865" s="505"/>
      <c r="P865" s="293"/>
      <c r="S865" s="293"/>
      <c r="X865" s="293"/>
    </row>
    <row r="866">
      <c r="B866" s="293"/>
      <c r="D866" s="293"/>
      <c r="E866" s="293"/>
      <c r="G866" s="505"/>
      <c r="H866" s="293"/>
      <c r="I866" s="293"/>
      <c r="J866" s="417"/>
      <c r="L866" s="506"/>
      <c r="M866" s="506"/>
      <c r="N866" s="505"/>
      <c r="P866" s="293"/>
      <c r="S866" s="293"/>
      <c r="X866" s="293"/>
    </row>
    <row r="867">
      <c r="B867" s="293"/>
      <c r="D867" s="293"/>
      <c r="E867" s="293"/>
      <c r="G867" s="505"/>
      <c r="H867" s="293"/>
      <c r="I867" s="293"/>
      <c r="J867" s="417"/>
      <c r="L867" s="506"/>
      <c r="M867" s="506"/>
      <c r="N867" s="505"/>
      <c r="P867" s="293"/>
      <c r="S867" s="293"/>
      <c r="X867" s="293"/>
    </row>
    <row r="868">
      <c r="B868" s="293"/>
      <c r="D868" s="293"/>
      <c r="E868" s="293"/>
      <c r="G868" s="505"/>
      <c r="H868" s="293"/>
      <c r="I868" s="293"/>
      <c r="J868" s="417"/>
      <c r="L868" s="506"/>
      <c r="M868" s="506"/>
      <c r="N868" s="505"/>
      <c r="P868" s="293"/>
      <c r="S868" s="293"/>
      <c r="X868" s="293"/>
    </row>
    <row r="869">
      <c r="B869" s="293"/>
      <c r="D869" s="293"/>
      <c r="E869" s="293"/>
      <c r="G869" s="505"/>
      <c r="H869" s="293"/>
      <c r="I869" s="293"/>
      <c r="J869" s="417"/>
      <c r="L869" s="506"/>
      <c r="M869" s="506"/>
      <c r="N869" s="505"/>
      <c r="P869" s="293"/>
      <c r="S869" s="293"/>
      <c r="X869" s="293"/>
    </row>
    <row r="870">
      <c r="B870" s="293"/>
      <c r="D870" s="293"/>
      <c r="E870" s="293"/>
      <c r="G870" s="505"/>
      <c r="H870" s="293"/>
      <c r="I870" s="293"/>
      <c r="J870" s="417"/>
      <c r="L870" s="506"/>
      <c r="M870" s="506"/>
      <c r="N870" s="505"/>
      <c r="P870" s="293"/>
      <c r="S870" s="293"/>
      <c r="X870" s="293"/>
    </row>
    <row r="871">
      <c r="B871" s="293"/>
      <c r="D871" s="293"/>
      <c r="E871" s="293"/>
      <c r="G871" s="505"/>
      <c r="H871" s="293"/>
      <c r="I871" s="293"/>
      <c r="J871" s="417"/>
      <c r="L871" s="506"/>
      <c r="M871" s="506"/>
      <c r="N871" s="505"/>
      <c r="P871" s="293"/>
      <c r="S871" s="293"/>
      <c r="X871" s="293"/>
    </row>
    <row r="872">
      <c r="B872" s="293"/>
      <c r="D872" s="293"/>
      <c r="E872" s="293"/>
      <c r="G872" s="505"/>
      <c r="H872" s="293"/>
      <c r="I872" s="293"/>
      <c r="J872" s="417"/>
      <c r="L872" s="506"/>
      <c r="M872" s="506"/>
      <c r="N872" s="505"/>
      <c r="P872" s="293"/>
      <c r="S872" s="293"/>
      <c r="X872" s="293"/>
    </row>
    <row r="873">
      <c r="B873" s="293"/>
      <c r="D873" s="293"/>
      <c r="E873" s="293"/>
      <c r="G873" s="505"/>
      <c r="H873" s="293"/>
      <c r="I873" s="293"/>
      <c r="J873" s="417"/>
      <c r="L873" s="506"/>
      <c r="M873" s="506"/>
      <c r="N873" s="505"/>
      <c r="P873" s="293"/>
      <c r="S873" s="293"/>
      <c r="X873" s="293"/>
    </row>
    <row r="874">
      <c r="B874" s="293"/>
      <c r="D874" s="293"/>
      <c r="E874" s="293"/>
      <c r="G874" s="505"/>
      <c r="H874" s="293"/>
      <c r="I874" s="293"/>
      <c r="J874" s="417"/>
      <c r="L874" s="506"/>
      <c r="M874" s="506"/>
      <c r="N874" s="505"/>
      <c r="P874" s="293"/>
      <c r="S874" s="293"/>
      <c r="X874" s="293"/>
    </row>
    <row r="875">
      <c r="B875" s="293"/>
      <c r="D875" s="293"/>
      <c r="E875" s="293"/>
      <c r="G875" s="505"/>
      <c r="H875" s="293"/>
      <c r="I875" s="293"/>
      <c r="J875" s="417"/>
      <c r="L875" s="506"/>
      <c r="M875" s="506"/>
      <c r="N875" s="505"/>
      <c r="P875" s="293"/>
      <c r="S875" s="293"/>
      <c r="X875" s="293"/>
    </row>
    <row r="876">
      <c r="B876" s="293"/>
      <c r="D876" s="293"/>
      <c r="E876" s="293"/>
      <c r="G876" s="505"/>
      <c r="H876" s="293"/>
      <c r="I876" s="293"/>
      <c r="J876" s="417"/>
      <c r="L876" s="506"/>
      <c r="M876" s="506"/>
      <c r="N876" s="505"/>
      <c r="P876" s="293"/>
      <c r="S876" s="293"/>
      <c r="X876" s="293"/>
    </row>
    <row r="877">
      <c r="B877" s="293"/>
      <c r="D877" s="293"/>
      <c r="E877" s="293"/>
      <c r="G877" s="505"/>
      <c r="H877" s="293"/>
      <c r="I877" s="293"/>
      <c r="J877" s="417"/>
      <c r="L877" s="506"/>
      <c r="M877" s="506"/>
      <c r="N877" s="505"/>
      <c r="P877" s="293"/>
      <c r="S877" s="293"/>
      <c r="X877" s="293"/>
    </row>
    <row r="878">
      <c r="B878" s="293"/>
      <c r="D878" s="293"/>
      <c r="E878" s="293"/>
      <c r="G878" s="505"/>
      <c r="H878" s="293"/>
      <c r="I878" s="293"/>
      <c r="J878" s="417"/>
      <c r="L878" s="506"/>
      <c r="M878" s="506"/>
      <c r="N878" s="505"/>
      <c r="P878" s="293"/>
      <c r="S878" s="293"/>
      <c r="X878" s="293"/>
    </row>
    <row r="879">
      <c r="B879" s="293"/>
      <c r="D879" s="293"/>
      <c r="E879" s="293"/>
      <c r="G879" s="505"/>
      <c r="H879" s="293"/>
      <c r="I879" s="293"/>
      <c r="J879" s="417"/>
      <c r="L879" s="506"/>
      <c r="M879" s="506"/>
      <c r="N879" s="505"/>
      <c r="P879" s="293"/>
      <c r="S879" s="293"/>
      <c r="X879" s="293"/>
    </row>
    <row r="880">
      <c r="B880" s="293"/>
      <c r="D880" s="293"/>
      <c r="E880" s="293"/>
      <c r="G880" s="505"/>
      <c r="H880" s="293"/>
      <c r="I880" s="293"/>
      <c r="J880" s="417"/>
      <c r="L880" s="506"/>
      <c r="M880" s="506"/>
      <c r="N880" s="505"/>
      <c r="P880" s="293"/>
      <c r="S880" s="293"/>
      <c r="X880" s="293"/>
    </row>
    <row r="881">
      <c r="B881" s="293"/>
      <c r="D881" s="293"/>
      <c r="E881" s="293"/>
      <c r="G881" s="505"/>
      <c r="H881" s="293"/>
      <c r="I881" s="293"/>
      <c r="J881" s="417"/>
      <c r="L881" s="506"/>
      <c r="M881" s="506"/>
      <c r="N881" s="505"/>
      <c r="P881" s="293"/>
      <c r="S881" s="293"/>
      <c r="X881" s="293"/>
    </row>
    <row r="882">
      <c r="B882" s="293"/>
      <c r="D882" s="293"/>
      <c r="E882" s="293"/>
      <c r="G882" s="505"/>
      <c r="H882" s="293"/>
      <c r="I882" s="293"/>
      <c r="J882" s="417"/>
      <c r="L882" s="506"/>
      <c r="M882" s="506"/>
      <c r="N882" s="505"/>
      <c r="P882" s="293"/>
      <c r="S882" s="293"/>
      <c r="X882" s="293"/>
    </row>
    <row r="883">
      <c r="B883" s="293"/>
      <c r="D883" s="293"/>
      <c r="E883" s="293"/>
      <c r="G883" s="505"/>
      <c r="H883" s="293"/>
      <c r="I883" s="293"/>
      <c r="J883" s="417"/>
      <c r="L883" s="506"/>
      <c r="M883" s="506"/>
      <c r="N883" s="505"/>
      <c r="P883" s="293"/>
      <c r="S883" s="293"/>
      <c r="X883" s="293"/>
    </row>
    <row r="884">
      <c r="B884" s="293"/>
      <c r="D884" s="293"/>
      <c r="E884" s="293"/>
      <c r="G884" s="505"/>
      <c r="H884" s="293"/>
      <c r="I884" s="293"/>
      <c r="J884" s="417"/>
      <c r="L884" s="506"/>
      <c r="M884" s="506"/>
      <c r="N884" s="505"/>
      <c r="P884" s="293"/>
      <c r="S884" s="293"/>
      <c r="X884" s="293"/>
    </row>
    <row r="885">
      <c r="B885" s="293"/>
      <c r="D885" s="293"/>
      <c r="E885" s="293"/>
      <c r="G885" s="505"/>
      <c r="H885" s="293"/>
      <c r="I885" s="293"/>
      <c r="J885" s="417"/>
      <c r="L885" s="506"/>
      <c r="M885" s="506"/>
      <c r="N885" s="505"/>
      <c r="P885" s="293"/>
      <c r="S885" s="293"/>
      <c r="X885" s="293"/>
    </row>
    <row r="886">
      <c r="B886" s="293"/>
      <c r="D886" s="293"/>
      <c r="E886" s="293"/>
      <c r="G886" s="505"/>
      <c r="H886" s="293"/>
      <c r="I886" s="293"/>
      <c r="J886" s="417"/>
      <c r="L886" s="506"/>
      <c r="M886" s="506"/>
      <c r="N886" s="505"/>
      <c r="P886" s="293"/>
      <c r="S886" s="293"/>
      <c r="X886" s="293"/>
    </row>
    <row r="887">
      <c r="B887" s="293"/>
      <c r="D887" s="293"/>
      <c r="E887" s="293"/>
      <c r="G887" s="505"/>
      <c r="H887" s="293"/>
      <c r="I887" s="293"/>
      <c r="J887" s="417"/>
      <c r="L887" s="506"/>
      <c r="M887" s="506"/>
      <c r="N887" s="505"/>
      <c r="P887" s="293"/>
      <c r="S887" s="293"/>
      <c r="X887" s="293"/>
    </row>
    <row r="888">
      <c r="B888" s="293"/>
      <c r="D888" s="293"/>
      <c r="E888" s="293"/>
      <c r="G888" s="505"/>
      <c r="H888" s="293"/>
      <c r="I888" s="293"/>
      <c r="J888" s="417"/>
      <c r="L888" s="506"/>
      <c r="M888" s="506"/>
      <c r="N888" s="505"/>
      <c r="P888" s="293"/>
      <c r="S888" s="293"/>
      <c r="X888" s="293"/>
    </row>
    <row r="889">
      <c r="B889" s="293"/>
      <c r="D889" s="293"/>
      <c r="E889" s="293"/>
      <c r="G889" s="505"/>
      <c r="H889" s="293"/>
      <c r="I889" s="293"/>
      <c r="J889" s="417"/>
      <c r="L889" s="506"/>
      <c r="M889" s="506"/>
      <c r="N889" s="505"/>
      <c r="P889" s="293"/>
      <c r="S889" s="293"/>
      <c r="X889" s="293"/>
    </row>
    <row r="890">
      <c r="B890" s="293"/>
      <c r="D890" s="293"/>
      <c r="E890" s="293"/>
      <c r="G890" s="505"/>
      <c r="H890" s="293"/>
      <c r="I890" s="293"/>
      <c r="J890" s="417"/>
      <c r="L890" s="506"/>
      <c r="M890" s="506"/>
      <c r="N890" s="505"/>
      <c r="P890" s="293"/>
      <c r="S890" s="293"/>
      <c r="X890" s="293"/>
    </row>
    <row r="891">
      <c r="B891" s="293"/>
      <c r="D891" s="293"/>
      <c r="E891" s="293"/>
      <c r="G891" s="505"/>
      <c r="H891" s="293"/>
      <c r="I891" s="293"/>
      <c r="J891" s="417"/>
      <c r="L891" s="506"/>
      <c r="M891" s="506"/>
      <c r="N891" s="505"/>
      <c r="P891" s="293"/>
      <c r="S891" s="293"/>
      <c r="X891" s="293"/>
    </row>
    <row r="892">
      <c r="B892" s="293"/>
      <c r="D892" s="293"/>
      <c r="E892" s="293"/>
      <c r="G892" s="505"/>
      <c r="H892" s="293"/>
      <c r="I892" s="293"/>
      <c r="J892" s="417"/>
      <c r="L892" s="506"/>
      <c r="M892" s="506"/>
      <c r="N892" s="505"/>
      <c r="P892" s="293"/>
      <c r="S892" s="293"/>
      <c r="X892" s="293"/>
    </row>
    <row r="893">
      <c r="B893" s="293"/>
      <c r="D893" s="293"/>
      <c r="E893" s="293"/>
      <c r="G893" s="505"/>
      <c r="H893" s="293"/>
      <c r="I893" s="293"/>
      <c r="J893" s="417"/>
      <c r="L893" s="506"/>
      <c r="M893" s="506"/>
      <c r="N893" s="505"/>
      <c r="P893" s="293"/>
      <c r="S893" s="293"/>
      <c r="X893" s="293"/>
    </row>
    <row r="894">
      <c r="B894" s="293"/>
      <c r="D894" s="293"/>
      <c r="E894" s="293"/>
      <c r="G894" s="505"/>
      <c r="H894" s="293"/>
      <c r="I894" s="293"/>
      <c r="J894" s="417"/>
      <c r="L894" s="506"/>
      <c r="M894" s="506"/>
      <c r="N894" s="505"/>
      <c r="P894" s="293"/>
      <c r="S894" s="293"/>
      <c r="X894" s="293"/>
    </row>
    <row r="895">
      <c r="B895" s="293"/>
      <c r="D895" s="293"/>
      <c r="E895" s="293"/>
      <c r="G895" s="505"/>
      <c r="H895" s="293"/>
      <c r="I895" s="293"/>
      <c r="J895" s="417"/>
      <c r="L895" s="506"/>
      <c r="M895" s="506"/>
      <c r="N895" s="505"/>
      <c r="P895" s="293"/>
      <c r="S895" s="293"/>
      <c r="X895" s="293"/>
    </row>
    <row r="896">
      <c r="B896" s="293"/>
      <c r="D896" s="293"/>
      <c r="E896" s="293"/>
      <c r="G896" s="505"/>
      <c r="H896" s="293"/>
      <c r="I896" s="293"/>
      <c r="J896" s="417"/>
      <c r="L896" s="506"/>
      <c r="M896" s="506"/>
      <c r="N896" s="505"/>
      <c r="P896" s="293"/>
      <c r="S896" s="293"/>
      <c r="X896" s="293"/>
    </row>
    <row r="897">
      <c r="B897" s="293"/>
      <c r="D897" s="293"/>
      <c r="E897" s="293"/>
      <c r="G897" s="505"/>
      <c r="H897" s="293"/>
      <c r="I897" s="293"/>
      <c r="J897" s="417"/>
      <c r="L897" s="506"/>
      <c r="M897" s="506"/>
      <c r="N897" s="505"/>
      <c r="P897" s="293"/>
      <c r="S897" s="293"/>
      <c r="X897" s="293"/>
    </row>
    <row r="898">
      <c r="B898" s="293"/>
      <c r="D898" s="293"/>
      <c r="E898" s="293"/>
      <c r="G898" s="505"/>
      <c r="H898" s="293"/>
      <c r="I898" s="293"/>
      <c r="J898" s="417"/>
      <c r="L898" s="506"/>
      <c r="M898" s="506"/>
      <c r="N898" s="505"/>
      <c r="P898" s="293"/>
      <c r="S898" s="293"/>
      <c r="X898" s="293"/>
    </row>
    <row r="899">
      <c r="B899" s="293"/>
      <c r="D899" s="293"/>
      <c r="E899" s="293"/>
      <c r="G899" s="505"/>
      <c r="H899" s="293"/>
      <c r="I899" s="293"/>
      <c r="J899" s="417"/>
      <c r="L899" s="506"/>
      <c r="M899" s="506"/>
      <c r="N899" s="505"/>
      <c r="P899" s="293"/>
      <c r="S899" s="293"/>
      <c r="X899" s="293"/>
    </row>
    <row r="900">
      <c r="B900" s="293"/>
      <c r="D900" s="293"/>
      <c r="E900" s="293"/>
      <c r="G900" s="505"/>
      <c r="H900" s="293"/>
      <c r="I900" s="293"/>
      <c r="J900" s="417"/>
      <c r="L900" s="506"/>
      <c r="M900" s="506"/>
      <c r="N900" s="505"/>
      <c r="P900" s="293"/>
      <c r="S900" s="293"/>
      <c r="X900" s="293"/>
    </row>
    <row r="901">
      <c r="B901" s="293"/>
      <c r="D901" s="293"/>
      <c r="E901" s="293"/>
      <c r="G901" s="505"/>
      <c r="H901" s="293"/>
      <c r="I901" s="293"/>
      <c r="J901" s="417"/>
      <c r="L901" s="506"/>
      <c r="M901" s="506"/>
      <c r="N901" s="505"/>
      <c r="P901" s="293"/>
      <c r="S901" s="293"/>
      <c r="X901" s="293"/>
    </row>
    <row r="902">
      <c r="B902" s="293"/>
      <c r="D902" s="293"/>
      <c r="E902" s="293"/>
      <c r="G902" s="505"/>
      <c r="H902" s="293"/>
      <c r="I902" s="293"/>
      <c r="J902" s="417"/>
      <c r="L902" s="506"/>
      <c r="M902" s="506"/>
      <c r="N902" s="505"/>
      <c r="P902" s="293"/>
      <c r="S902" s="293"/>
      <c r="X902" s="293"/>
    </row>
    <row r="903">
      <c r="B903" s="293"/>
      <c r="D903" s="293"/>
      <c r="E903" s="293"/>
      <c r="G903" s="505"/>
      <c r="H903" s="293"/>
      <c r="I903" s="293"/>
      <c r="J903" s="417"/>
      <c r="L903" s="506"/>
      <c r="M903" s="506"/>
      <c r="N903" s="505"/>
      <c r="P903" s="293"/>
      <c r="S903" s="293"/>
      <c r="X903" s="293"/>
    </row>
    <row r="904">
      <c r="B904" s="293"/>
      <c r="D904" s="293"/>
      <c r="E904" s="293"/>
      <c r="G904" s="505"/>
      <c r="H904" s="293"/>
      <c r="I904" s="293"/>
      <c r="J904" s="417"/>
      <c r="L904" s="506"/>
      <c r="M904" s="506"/>
      <c r="N904" s="505"/>
      <c r="P904" s="293"/>
      <c r="S904" s="293"/>
      <c r="X904" s="293"/>
    </row>
    <row r="905">
      <c r="B905" s="293"/>
      <c r="D905" s="293"/>
      <c r="E905" s="293"/>
      <c r="G905" s="505"/>
      <c r="H905" s="293"/>
      <c r="I905" s="293"/>
      <c r="J905" s="417"/>
      <c r="L905" s="506"/>
      <c r="M905" s="506"/>
      <c r="N905" s="505"/>
      <c r="P905" s="293"/>
      <c r="S905" s="293"/>
      <c r="X905" s="293"/>
    </row>
    <row r="906">
      <c r="B906" s="293"/>
      <c r="D906" s="293"/>
      <c r="E906" s="293"/>
      <c r="G906" s="505"/>
      <c r="H906" s="293"/>
      <c r="I906" s="293"/>
      <c r="J906" s="417"/>
      <c r="L906" s="506"/>
      <c r="M906" s="506"/>
      <c r="N906" s="505"/>
      <c r="P906" s="293"/>
      <c r="S906" s="293"/>
      <c r="X906" s="293"/>
    </row>
    <row r="907">
      <c r="B907" s="293"/>
      <c r="D907" s="293"/>
      <c r="E907" s="293"/>
      <c r="G907" s="505"/>
      <c r="H907" s="293"/>
      <c r="I907" s="293"/>
      <c r="J907" s="417"/>
      <c r="L907" s="506"/>
      <c r="M907" s="506"/>
      <c r="N907" s="505"/>
      <c r="P907" s="293"/>
      <c r="S907" s="293"/>
      <c r="X907" s="293"/>
    </row>
    <row r="908">
      <c r="B908" s="293"/>
      <c r="D908" s="293"/>
      <c r="E908" s="293"/>
      <c r="G908" s="505"/>
      <c r="H908" s="293"/>
      <c r="I908" s="293"/>
      <c r="J908" s="417"/>
      <c r="L908" s="506"/>
      <c r="M908" s="506"/>
      <c r="N908" s="505"/>
      <c r="P908" s="293"/>
      <c r="S908" s="293"/>
      <c r="X908" s="293"/>
    </row>
    <row r="909">
      <c r="B909" s="293"/>
      <c r="D909" s="293"/>
      <c r="E909" s="293"/>
      <c r="G909" s="505"/>
      <c r="H909" s="293"/>
      <c r="I909" s="293"/>
      <c r="J909" s="417"/>
      <c r="L909" s="506"/>
      <c r="M909" s="506"/>
      <c r="N909" s="505"/>
      <c r="P909" s="293"/>
      <c r="S909" s="293"/>
      <c r="X909" s="293"/>
    </row>
    <row r="910">
      <c r="B910" s="293"/>
      <c r="D910" s="293"/>
      <c r="E910" s="293"/>
      <c r="G910" s="505"/>
      <c r="H910" s="293"/>
      <c r="I910" s="293"/>
      <c r="J910" s="417"/>
      <c r="L910" s="506"/>
      <c r="M910" s="506"/>
      <c r="N910" s="505"/>
      <c r="P910" s="293"/>
      <c r="S910" s="293"/>
      <c r="X910" s="293"/>
    </row>
    <row r="911">
      <c r="B911" s="293"/>
      <c r="D911" s="293"/>
      <c r="E911" s="293"/>
      <c r="G911" s="505"/>
      <c r="H911" s="293"/>
      <c r="I911" s="293"/>
      <c r="J911" s="417"/>
      <c r="L911" s="506"/>
      <c r="M911" s="506"/>
      <c r="N911" s="505"/>
      <c r="P911" s="293"/>
      <c r="S911" s="293"/>
      <c r="X911" s="293"/>
    </row>
    <row r="912">
      <c r="B912" s="293"/>
      <c r="D912" s="293"/>
      <c r="E912" s="293"/>
      <c r="G912" s="505"/>
      <c r="H912" s="293"/>
      <c r="I912" s="293"/>
      <c r="J912" s="417"/>
      <c r="L912" s="506"/>
      <c r="M912" s="506"/>
      <c r="N912" s="505"/>
      <c r="P912" s="293"/>
      <c r="S912" s="293"/>
      <c r="X912" s="293"/>
    </row>
    <row r="913">
      <c r="B913" s="293"/>
      <c r="D913" s="293"/>
      <c r="E913" s="293"/>
      <c r="G913" s="505"/>
      <c r="H913" s="293"/>
      <c r="I913" s="293"/>
      <c r="J913" s="417"/>
      <c r="L913" s="506"/>
      <c r="M913" s="506"/>
      <c r="N913" s="505"/>
      <c r="P913" s="293"/>
      <c r="S913" s="293"/>
      <c r="X913" s="293"/>
    </row>
    <row r="914">
      <c r="B914" s="293"/>
      <c r="D914" s="293"/>
      <c r="E914" s="293"/>
      <c r="G914" s="505"/>
      <c r="H914" s="293"/>
      <c r="I914" s="293"/>
      <c r="J914" s="417"/>
      <c r="L914" s="506"/>
      <c r="M914" s="506"/>
      <c r="N914" s="505"/>
      <c r="P914" s="293"/>
      <c r="S914" s="293"/>
      <c r="X914" s="293"/>
    </row>
    <row r="915">
      <c r="B915" s="293"/>
      <c r="D915" s="293"/>
      <c r="E915" s="293"/>
      <c r="G915" s="505"/>
      <c r="H915" s="293"/>
      <c r="I915" s="293"/>
      <c r="J915" s="417"/>
      <c r="L915" s="506"/>
      <c r="M915" s="506"/>
      <c r="N915" s="505"/>
      <c r="P915" s="293"/>
      <c r="S915" s="293"/>
      <c r="X915" s="293"/>
    </row>
    <row r="916">
      <c r="B916" s="293"/>
      <c r="D916" s="293"/>
      <c r="E916" s="293"/>
      <c r="G916" s="505"/>
      <c r="H916" s="293"/>
      <c r="I916" s="293"/>
      <c r="J916" s="417"/>
      <c r="L916" s="506"/>
      <c r="M916" s="506"/>
      <c r="N916" s="505"/>
      <c r="P916" s="293"/>
      <c r="S916" s="293"/>
      <c r="X916" s="293"/>
    </row>
    <row r="917">
      <c r="B917" s="293"/>
      <c r="D917" s="293"/>
      <c r="E917" s="293"/>
      <c r="G917" s="505"/>
      <c r="H917" s="293"/>
      <c r="I917" s="293"/>
      <c r="J917" s="417"/>
      <c r="L917" s="506"/>
      <c r="M917" s="506"/>
      <c r="N917" s="505"/>
      <c r="P917" s="293"/>
      <c r="S917" s="293"/>
      <c r="X917" s="293"/>
    </row>
    <row r="918">
      <c r="B918" s="293"/>
      <c r="D918" s="293"/>
      <c r="E918" s="293"/>
      <c r="G918" s="505"/>
      <c r="H918" s="293"/>
      <c r="I918" s="293"/>
      <c r="J918" s="417"/>
      <c r="L918" s="506"/>
      <c r="M918" s="506"/>
      <c r="N918" s="505"/>
      <c r="P918" s="293"/>
      <c r="S918" s="293"/>
      <c r="X918" s="293"/>
    </row>
    <row r="919">
      <c r="B919" s="293"/>
      <c r="D919" s="293"/>
      <c r="E919" s="293"/>
      <c r="G919" s="505"/>
      <c r="H919" s="293"/>
      <c r="I919" s="293"/>
      <c r="J919" s="417"/>
      <c r="L919" s="506"/>
      <c r="M919" s="506"/>
      <c r="N919" s="505"/>
      <c r="P919" s="293"/>
      <c r="S919" s="293"/>
      <c r="X919" s="293"/>
    </row>
    <row r="920">
      <c r="B920" s="293"/>
      <c r="D920" s="293"/>
      <c r="E920" s="293"/>
      <c r="G920" s="505"/>
      <c r="H920" s="293"/>
      <c r="I920" s="293"/>
      <c r="J920" s="417"/>
      <c r="L920" s="506"/>
      <c r="M920" s="506"/>
      <c r="N920" s="505"/>
      <c r="P920" s="293"/>
      <c r="S920" s="293"/>
      <c r="X920" s="293"/>
    </row>
    <row r="921">
      <c r="B921" s="293"/>
      <c r="D921" s="293"/>
      <c r="E921" s="293"/>
      <c r="G921" s="505"/>
      <c r="H921" s="293"/>
      <c r="I921" s="293"/>
      <c r="J921" s="417"/>
      <c r="L921" s="506"/>
      <c r="M921" s="506"/>
      <c r="N921" s="505"/>
      <c r="P921" s="293"/>
      <c r="S921" s="293"/>
      <c r="X921" s="293"/>
    </row>
    <row r="922">
      <c r="B922" s="293"/>
      <c r="D922" s="293"/>
      <c r="E922" s="293"/>
      <c r="G922" s="505"/>
      <c r="H922" s="293"/>
      <c r="I922" s="293"/>
      <c r="J922" s="417"/>
      <c r="L922" s="506"/>
      <c r="M922" s="506"/>
      <c r="N922" s="505"/>
      <c r="P922" s="293"/>
      <c r="S922" s="293"/>
      <c r="X922" s="293"/>
    </row>
    <row r="923">
      <c r="B923" s="293"/>
      <c r="D923" s="293"/>
      <c r="E923" s="293"/>
      <c r="G923" s="505"/>
      <c r="H923" s="293"/>
      <c r="I923" s="293"/>
      <c r="J923" s="417"/>
      <c r="L923" s="506"/>
      <c r="M923" s="506"/>
      <c r="N923" s="505"/>
      <c r="P923" s="293"/>
      <c r="S923" s="293"/>
      <c r="X923" s="293"/>
    </row>
    <row r="924">
      <c r="B924" s="293"/>
      <c r="D924" s="293"/>
      <c r="E924" s="293"/>
      <c r="G924" s="505"/>
      <c r="H924" s="293"/>
      <c r="I924" s="293"/>
      <c r="J924" s="417"/>
      <c r="L924" s="506"/>
      <c r="M924" s="506"/>
      <c r="N924" s="505"/>
      <c r="P924" s="293"/>
      <c r="S924" s="293"/>
      <c r="X924" s="293"/>
    </row>
    <row r="925">
      <c r="B925" s="293"/>
      <c r="D925" s="293"/>
      <c r="E925" s="293"/>
      <c r="G925" s="505"/>
      <c r="H925" s="293"/>
      <c r="I925" s="293"/>
      <c r="J925" s="417"/>
      <c r="L925" s="506"/>
      <c r="M925" s="506"/>
      <c r="N925" s="505"/>
      <c r="P925" s="293"/>
      <c r="S925" s="293"/>
      <c r="X925" s="293"/>
    </row>
    <row r="926">
      <c r="B926" s="293"/>
      <c r="D926" s="293"/>
      <c r="E926" s="293"/>
      <c r="G926" s="505"/>
      <c r="H926" s="293"/>
      <c r="I926" s="293"/>
      <c r="J926" s="417"/>
      <c r="L926" s="506"/>
      <c r="M926" s="506"/>
      <c r="N926" s="505"/>
      <c r="P926" s="293"/>
      <c r="S926" s="293"/>
      <c r="X926" s="293"/>
    </row>
    <row r="927">
      <c r="B927" s="293"/>
      <c r="D927" s="293"/>
      <c r="E927" s="293"/>
      <c r="G927" s="505"/>
      <c r="H927" s="293"/>
      <c r="I927" s="293"/>
      <c r="J927" s="417"/>
      <c r="L927" s="506"/>
      <c r="M927" s="506"/>
      <c r="N927" s="505"/>
      <c r="P927" s="293"/>
      <c r="S927" s="293"/>
      <c r="X927" s="293"/>
    </row>
    <row r="928">
      <c r="B928" s="293"/>
      <c r="D928" s="293"/>
      <c r="E928" s="293"/>
      <c r="G928" s="505"/>
      <c r="H928" s="293"/>
      <c r="I928" s="293"/>
      <c r="J928" s="417"/>
      <c r="L928" s="506"/>
      <c r="M928" s="506"/>
      <c r="N928" s="505"/>
      <c r="P928" s="293"/>
      <c r="S928" s="293"/>
      <c r="X928" s="293"/>
    </row>
    <row r="929">
      <c r="B929" s="293"/>
      <c r="D929" s="293"/>
      <c r="E929" s="293"/>
      <c r="G929" s="505"/>
      <c r="H929" s="293"/>
      <c r="I929" s="293"/>
      <c r="J929" s="417"/>
      <c r="L929" s="506"/>
      <c r="M929" s="506"/>
      <c r="N929" s="505"/>
      <c r="P929" s="293"/>
      <c r="S929" s="293"/>
      <c r="X929" s="293"/>
    </row>
    <row r="930">
      <c r="B930" s="293"/>
      <c r="D930" s="293"/>
      <c r="E930" s="293"/>
      <c r="G930" s="505"/>
      <c r="H930" s="293"/>
      <c r="I930" s="293"/>
      <c r="J930" s="417"/>
      <c r="L930" s="506"/>
      <c r="M930" s="506"/>
      <c r="N930" s="505"/>
      <c r="P930" s="293"/>
      <c r="S930" s="293"/>
      <c r="X930" s="293"/>
    </row>
    <row r="931">
      <c r="B931" s="293"/>
      <c r="D931" s="293"/>
      <c r="E931" s="293"/>
      <c r="G931" s="505"/>
      <c r="H931" s="293"/>
      <c r="I931" s="293"/>
      <c r="J931" s="417"/>
      <c r="L931" s="506"/>
      <c r="M931" s="506"/>
      <c r="N931" s="505"/>
      <c r="P931" s="293"/>
      <c r="S931" s="293"/>
      <c r="X931" s="293"/>
    </row>
    <row r="932">
      <c r="B932" s="293"/>
      <c r="D932" s="293"/>
      <c r="E932" s="293"/>
      <c r="G932" s="505"/>
      <c r="H932" s="293"/>
      <c r="I932" s="293"/>
      <c r="J932" s="417"/>
      <c r="L932" s="506"/>
      <c r="M932" s="506"/>
      <c r="N932" s="505"/>
      <c r="P932" s="293"/>
      <c r="S932" s="293"/>
      <c r="X932" s="293"/>
    </row>
    <row r="933">
      <c r="B933" s="293"/>
      <c r="D933" s="293"/>
      <c r="E933" s="293"/>
      <c r="G933" s="505"/>
      <c r="H933" s="293"/>
      <c r="I933" s="293"/>
      <c r="J933" s="417"/>
      <c r="L933" s="506"/>
      <c r="M933" s="506"/>
      <c r="N933" s="505"/>
      <c r="P933" s="293"/>
      <c r="S933" s="293"/>
      <c r="X933" s="293"/>
    </row>
    <row r="934">
      <c r="B934" s="293"/>
      <c r="D934" s="293"/>
      <c r="E934" s="293"/>
      <c r="G934" s="505"/>
      <c r="H934" s="293"/>
      <c r="I934" s="293"/>
      <c r="J934" s="417"/>
      <c r="L934" s="506"/>
      <c r="M934" s="506"/>
      <c r="N934" s="505"/>
      <c r="P934" s="293"/>
      <c r="S934" s="293"/>
      <c r="X934" s="293"/>
    </row>
    <row r="935">
      <c r="B935" s="293"/>
      <c r="D935" s="293"/>
      <c r="E935" s="293"/>
      <c r="G935" s="505"/>
      <c r="H935" s="293"/>
      <c r="I935" s="293"/>
      <c r="J935" s="417"/>
      <c r="L935" s="506"/>
      <c r="M935" s="506"/>
      <c r="N935" s="505"/>
      <c r="P935" s="293"/>
      <c r="S935" s="293"/>
      <c r="X935" s="293"/>
    </row>
    <row r="936">
      <c r="B936" s="293"/>
      <c r="D936" s="293"/>
      <c r="E936" s="293"/>
      <c r="G936" s="505"/>
      <c r="H936" s="293"/>
      <c r="I936" s="293"/>
      <c r="J936" s="417"/>
      <c r="L936" s="506"/>
      <c r="M936" s="506"/>
      <c r="N936" s="505"/>
      <c r="P936" s="293"/>
      <c r="S936" s="293"/>
      <c r="X936" s="293"/>
    </row>
    <row r="937">
      <c r="B937" s="293"/>
      <c r="D937" s="293"/>
      <c r="E937" s="293"/>
      <c r="G937" s="505"/>
      <c r="H937" s="293"/>
      <c r="I937" s="293"/>
      <c r="J937" s="417"/>
      <c r="L937" s="506"/>
      <c r="M937" s="506"/>
      <c r="N937" s="505"/>
      <c r="P937" s="293"/>
      <c r="S937" s="293"/>
      <c r="X937" s="293"/>
    </row>
    <row r="938">
      <c r="B938" s="293"/>
      <c r="D938" s="293"/>
      <c r="E938" s="293"/>
      <c r="G938" s="505"/>
      <c r="H938" s="293"/>
      <c r="I938" s="293"/>
      <c r="J938" s="417"/>
      <c r="L938" s="506"/>
      <c r="M938" s="506"/>
      <c r="N938" s="505"/>
      <c r="P938" s="293"/>
      <c r="S938" s="293"/>
      <c r="X938" s="293"/>
    </row>
    <row r="939">
      <c r="B939" s="293"/>
      <c r="D939" s="293"/>
      <c r="E939" s="293"/>
      <c r="G939" s="505"/>
      <c r="H939" s="293"/>
      <c r="I939" s="293"/>
      <c r="J939" s="417"/>
      <c r="L939" s="506"/>
      <c r="M939" s="506"/>
      <c r="N939" s="505"/>
      <c r="P939" s="293"/>
      <c r="S939" s="293"/>
      <c r="X939" s="293"/>
    </row>
    <row r="940">
      <c r="B940" s="293"/>
      <c r="D940" s="293"/>
      <c r="E940" s="293"/>
      <c r="G940" s="505"/>
      <c r="H940" s="293"/>
      <c r="I940" s="293"/>
      <c r="J940" s="417"/>
      <c r="L940" s="506"/>
      <c r="M940" s="506"/>
      <c r="N940" s="505"/>
      <c r="P940" s="293"/>
      <c r="S940" s="293"/>
      <c r="X940" s="293"/>
    </row>
    <row r="941">
      <c r="B941" s="293"/>
      <c r="D941" s="293"/>
      <c r="E941" s="293"/>
      <c r="G941" s="505"/>
      <c r="H941" s="293"/>
      <c r="I941" s="293"/>
      <c r="J941" s="417"/>
      <c r="L941" s="506"/>
      <c r="M941" s="506"/>
      <c r="N941" s="505"/>
      <c r="P941" s="293"/>
      <c r="S941" s="293"/>
      <c r="X941" s="293"/>
    </row>
    <row r="942">
      <c r="B942" s="293"/>
      <c r="D942" s="293"/>
      <c r="E942" s="293"/>
      <c r="G942" s="505"/>
      <c r="H942" s="293"/>
      <c r="I942" s="293"/>
      <c r="J942" s="417"/>
      <c r="L942" s="506"/>
      <c r="M942" s="506"/>
      <c r="N942" s="505"/>
      <c r="P942" s="293"/>
      <c r="S942" s="293"/>
      <c r="X942" s="293"/>
    </row>
    <row r="943">
      <c r="B943" s="293"/>
      <c r="D943" s="293"/>
      <c r="E943" s="293"/>
      <c r="G943" s="505"/>
      <c r="H943" s="293"/>
      <c r="I943" s="293"/>
      <c r="J943" s="417"/>
      <c r="L943" s="506"/>
      <c r="M943" s="506"/>
      <c r="N943" s="505"/>
      <c r="P943" s="293"/>
      <c r="S943" s="293"/>
      <c r="X943" s="293"/>
    </row>
    <row r="944">
      <c r="B944" s="293"/>
      <c r="D944" s="293"/>
      <c r="E944" s="293"/>
      <c r="G944" s="505"/>
      <c r="H944" s="293"/>
      <c r="I944" s="293"/>
      <c r="J944" s="417"/>
      <c r="L944" s="506"/>
      <c r="M944" s="506"/>
      <c r="N944" s="505"/>
      <c r="P944" s="293"/>
      <c r="S944" s="293"/>
      <c r="X944" s="293"/>
    </row>
    <row r="945">
      <c r="B945" s="293"/>
      <c r="D945" s="293"/>
      <c r="E945" s="293"/>
      <c r="G945" s="505"/>
      <c r="H945" s="293"/>
      <c r="I945" s="293"/>
      <c r="J945" s="417"/>
      <c r="L945" s="506"/>
      <c r="M945" s="506"/>
      <c r="N945" s="505"/>
      <c r="P945" s="293"/>
      <c r="S945" s="293"/>
      <c r="X945" s="293"/>
    </row>
    <row r="946">
      <c r="B946" s="293"/>
      <c r="D946" s="293"/>
      <c r="E946" s="293"/>
      <c r="G946" s="505"/>
      <c r="H946" s="293"/>
      <c r="I946" s="293"/>
      <c r="J946" s="417"/>
      <c r="L946" s="506"/>
      <c r="M946" s="506"/>
      <c r="N946" s="505"/>
      <c r="P946" s="293"/>
      <c r="S946" s="293"/>
      <c r="X946" s="293"/>
    </row>
    <row r="947">
      <c r="B947" s="293"/>
      <c r="D947" s="293"/>
      <c r="E947" s="293"/>
      <c r="G947" s="505"/>
      <c r="H947" s="293"/>
      <c r="I947" s="293"/>
      <c r="J947" s="417"/>
      <c r="L947" s="506"/>
      <c r="M947" s="506"/>
      <c r="N947" s="505"/>
      <c r="P947" s="293"/>
      <c r="S947" s="293"/>
      <c r="X947" s="293"/>
    </row>
    <row r="948">
      <c r="B948" s="293"/>
      <c r="D948" s="293"/>
      <c r="E948" s="293"/>
      <c r="G948" s="505"/>
      <c r="H948" s="293"/>
      <c r="I948" s="293"/>
      <c r="J948" s="417"/>
      <c r="L948" s="506"/>
      <c r="M948" s="506"/>
      <c r="N948" s="505"/>
      <c r="P948" s="293"/>
      <c r="S948" s="293"/>
      <c r="X948" s="293"/>
    </row>
    <row r="949">
      <c r="B949" s="293"/>
      <c r="D949" s="293"/>
      <c r="E949" s="293"/>
      <c r="G949" s="505"/>
      <c r="H949" s="293"/>
      <c r="I949" s="293"/>
      <c r="J949" s="417"/>
      <c r="L949" s="506"/>
      <c r="M949" s="506"/>
      <c r="N949" s="505"/>
      <c r="P949" s="293"/>
      <c r="S949" s="293"/>
      <c r="X949" s="293"/>
    </row>
    <row r="950">
      <c r="B950" s="293"/>
      <c r="D950" s="293"/>
      <c r="E950" s="293"/>
      <c r="G950" s="505"/>
      <c r="H950" s="293"/>
      <c r="I950" s="293"/>
      <c r="J950" s="417"/>
      <c r="L950" s="506"/>
      <c r="M950" s="506"/>
      <c r="N950" s="505"/>
      <c r="P950" s="293"/>
      <c r="S950" s="293"/>
      <c r="X950" s="293"/>
    </row>
    <row r="951">
      <c r="B951" s="293"/>
      <c r="D951" s="293"/>
      <c r="E951" s="293"/>
      <c r="G951" s="505"/>
      <c r="H951" s="293"/>
      <c r="I951" s="293"/>
      <c r="J951" s="417"/>
      <c r="L951" s="506"/>
      <c r="M951" s="506"/>
      <c r="N951" s="505"/>
      <c r="P951" s="293"/>
      <c r="S951" s="293"/>
      <c r="X951" s="293"/>
    </row>
    <row r="952">
      <c r="B952" s="293"/>
      <c r="D952" s="293"/>
      <c r="E952" s="293"/>
      <c r="G952" s="505"/>
      <c r="H952" s="293"/>
      <c r="I952" s="293"/>
      <c r="J952" s="417"/>
      <c r="L952" s="506"/>
      <c r="M952" s="506"/>
      <c r="N952" s="505"/>
      <c r="P952" s="293"/>
      <c r="S952" s="293"/>
      <c r="X952" s="293"/>
    </row>
    <row r="953">
      <c r="B953" s="293"/>
      <c r="D953" s="293"/>
      <c r="E953" s="293"/>
      <c r="G953" s="505"/>
      <c r="H953" s="293"/>
      <c r="I953" s="293"/>
      <c r="J953" s="417"/>
      <c r="L953" s="506"/>
      <c r="M953" s="506"/>
      <c r="N953" s="505"/>
      <c r="P953" s="293"/>
      <c r="S953" s="293"/>
      <c r="X953" s="293"/>
    </row>
    <row r="954">
      <c r="B954" s="293"/>
      <c r="D954" s="293"/>
      <c r="E954" s="293"/>
      <c r="G954" s="505"/>
      <c r="H954" s="293"/>
      <c r="I954" s="293"/>
      <c r="J954" s="417"/>
      <c r="L954" s="506"/>
      <c r="M954" s="506"/>
      <c r="N954" s="505"/>
      <c r="P954" s="293"/>
      <c r="S954" s="293"/>
      <c r="X954" s="293"/>
    </row>
    <row r="955">
      <c r="B955" s="293"/>
      <c r="D955" s="293"/>
      <c r="E955" s="293"/>
      <c r="G955" s="505"/>
      <c r="H955" s="293"/>
      <c r="I955" s="293"/>
      <c r="J955" s="417"/>
      <c r="L955" s="506"/>
      <c r="M955" s="506"/>
      <c r="N955" s="505"/>
      <c r="P955" s="293"/>
      <c r="S955" s="293"/>
      <c r="X955" s="293"/>
    </row>
    <row r="956">
      <c r="B956" s="293"/>
      <c r="D956" s="293"/>
      <c r="E956" s="293"/>
      <c r="G956" s="505"/>
      <c r="H956" s="293"/>
      <c r="I956" s="293"/>
      <c r="J956" s="417"/>
      <c r="L956" s="506"/>
      <c r="M956" s="506"/>
      <c r="N956" s="505"/>
      <c r="P956" s="293"/>
      <c r="S956" s="293"/>
      <c r="X956" s="293"/>
    </row>
    <row r="957">
      <c r="B957" s="293"/>
      <c r="D957" s="293"/>
      <c r="E957" s="293"/>
      <c r="G957" s="505"/>
      <c r="H957" s="293"/>
      <c r="I957" s="293"/>
      <c r="J957" s="417"/>
      <c r="L957" s="506"/>
      <c r="M957" s="506"/>
      <c r="N957" s="505"/>
      <c r="P957" s="293"/>
      <c r="S957" s="293"/>
      <c r="X957" s="293"/>
    </row>
    <row r="958">
      <c r="B958" s="293"/>
      <c r="D958" s="293"/>
      <c r="E958" s="293"/>
      <c r="G958" s="505"/>
      <c r="H958" s="293"/>
      <c r="I958" s="293"/>
      <c r="J958" s="417"/>
      <c r="L958" s="506"/>
      <c r="M958" s="506"/>
      <c r="N958" s="505"/>
      <c r="P958" s="293"/>
      <c r="S958" s="293"/>
      <c r="X958" s="293"/>
    </row>
    <row r="959">
      <c r="B959" s="293"/>
      <c r="D959" s="293"/>
      <c r="E959" s="293"/>
      <c r="G959" s="505"/>
      <c r="H959" s="293"/>
      <c r="I959" s="293"/>
      <c r="J959" s="417"/>
      <c r="L959" s="506"/>
      <c r="M959" s="506"/>
      <c r="N959" s="505"/>
      <c r="P959" s="293"/>
      <c r="S959" s="293"/>
      <c r="X959" s="293"/>
    </row>
    <row r="960">
      <c r="B960" s="293"/>
      <c r="D960" s="293"/>
      <c r="E960" s="293"/>
      <c r="G960" s="505"/>
      <c r="H960" s="293"/>
      <c r="I960" s="293"/>
      <c r="J960" s="417"/>
      <c r="L960" s="506"/>
      <c r="M960" s="506"/>
      <c r="N960" s="505"/>
      <c r="P960" s="293"/>
      <c r="S960" s="293"/>
      <c r="X960" s="293"/>
    </row>
    <row r="961">
      <c r="B961" s="293"/>
      <c r="D961" s="293"/>
      <c r="E961" s="293"/>
      <c r="G961" s="505"/>
      <c r="H961" s="293"/>
      <c r="I961" s="293"/>
      <c r="J961" s="417"/>
      <c r="L961" s="506"/>
      <c r="M961" s="506"/>
      <c r="N961" s="505"/>
      <c r="P961" s="293"/>
      <c r="S961" s="293"/>
      <c r="X961" s="293"/>
    </row>
    <row r="962">
      <c r="B962" s="293"/>
      <c r="D962" s="293"/>
      <c r="E962" s="293"/>
      <c r="G962" s="505"/>
      <c r="H962" s="293"/>
      <c r="I962" s="293"/>
      <c r="J962" s="417"/>
      <c r="L962" s="506"/>
      <c r="M962" s="506"/>
      <c r="N962" s="505"/>
      <c r="P962" s="293"/>
      <c r="S962" s="293"/>
      <c r="X962" s="293"/>
    </row>
    <row r="963">
      <c r="B963" s="293"/>
      <c r="D963" s="293"/>
      <c r="E963" s="293"/>
      <c r="G963" s="505"/>
      <c r="H963" s="293"/>
      <c r="I963" s="293"/>
      <c r="J963" s="417"/>
      <c r="L963" s="506"/>
      <c r="M963" s="506"/>
      <c r="N963" s="505"/>
      <c r="P963" s="293"/>
      <c r="S963" s="293"/>
      <c r="X963" s="293"/>
    </row>
    <row r="964">
      <c r="B964" s="293"/>
      <c r="D964" s="293"/>
      <c r="E964" s="293"/>
      <c r="G964" s="505"/>
      <c r="H964" s="293"/>
      <c r="I964" s="293"/>
      <c r="J964" s="417"/>
      <c r="L964" s="506"/>
      <c r="M964" s="506"/>
      <c r="N964" s="505"/>
      <c r="P964" s="293"/>
      <c r="S964" s="293"/>
      <c r="X964" s="293"/>
    </row>
    <row r="965">
      <c r="B965" s="293"/>
      <c r="D965" s="293"/>
      <c r="E965" s="293"/>
      <c r="G965" s="505"/>
      <c r="H965" s="293"/>
      <c r="I965" s="293"/>
      <c r="J965" s="417"/>
      <c r="L965" s="506"/>
      <c r="M965" s="506"/>
      <c r="N965" s="505"/>
      <c r="P965" s="293"/>
      <c r="S965" s="293"/>
      <c r="X965" s="293"/>
    </row>
    <row r="966">
      <c r="B966" s="293"/>
      <c r="D966" s="293"/>
      <c r="E966" s="293"/>
      <c r="G966" s="505"/>
      <c r="H966" s="293"/>
      <c r="I966" s="293"/>
      <c r="J966" s="417"/>
      <c r="L966" s="506"/>
      <c r="M966" s="506"/>
      <c r="N966" s="505"/>
      <c r="P966" s="293"/>
      <c r="S966" s="293"/>
      <c r="X966" s="293"/>
    </row>
    <row r="967">
      <c r="B967" s="293"/>
      <c r="D967" s="293"/>
      <c r="E967" s="293"/>
      <c r="G967" s="505"/>
      <c r="H967" s="293"/>
      <c r="I967" s="293"/>
      <c r="J967" s="417"/>
      <c r="L967" s="506"/>
      <c r="M967" s="506"/>
      <c r="N967" s="505"/>
      <c r="P967" s="293"/>
      <c r="S967" s="293"/>
      <c r="X967" s="293"/>
    </row>
    <row r="968">
      <c r="B968" s="293"/>
      <c r="D968" s="293"/>
      <c r="E968" s="293"/>
      <c r="G968" s="505"/>
      <c r="H968" s="293"/>
      <c r="I968" s="293"/>
      <c r="J968" s="417"/>
      <c r="L968" s="506"/>
      <c r="M968" s="506"/>
      <c r="N968" s="505"/>
      <c r="P968" s="293"/>
      <c r="S968" s="293"/>
      <c r="X968" s="293"/>
    </row>
    <row r="969">
      <c r="B969" s="293"/>
      <c r="D969" s="293"/>
      <c r="E969" s="293"/>
      <c r="G969" s="505"/>
      <c r="H969" s="293"/>
      <c r="I969" s="293"/>
      <c r="J969" s="417"/>
      <c r="L969" s="506"/>
      <c r="M969" s="506"/>
      <c r="N969" s="505"/>
      <c r="P969" s="293"/>
      <c r="S969" s="293"/>
      <c r="X969" s="293"/>
    </row>
    <row r="970">
      <c r="B970" s="293"/>
      <c r="D970" s="293"/>
      <c r="E970" s="293"/>
      <c r="G970" s="505"/>
      <c r="H970" s="293"/>
      <c r="I970" s="293"/>
      <c r="J970" s="417"/>
      <c r="L970" s="506"/>
      <c r="M970" s="506"/>
      <c r="N970" s="505"/>
      <c r="P970" s="293"/>
      <c r="S970" s="293"/>
      <c r="X970" s="293"/>
    </row>
    <row r="971">
      <c r="B971" s="293"/>
      <c r="D971" s="293"/>
      <c r="E971" s="293"/>
      <c r="G971" s="505"/>
      <c r="H971" s="293"/>
      <c r="I971" s="293"/>
      <c r="J971" s="417"/>
      <c r="L971" s="506"/>
      <c r="M971" s="506"/>
      <c r="N971" s="505"/>
      <c r="P971" s="293"/>
      <c r="S971" s="293"/>
      <c r="X971" s="293"/>
    </row>
    <row r="972">
      <c r="B972" s="293"/>
      <c r="D972" s="293"/>
      <c r="E972" s="293"/>
      <c r="G972" s="505"/>
      <c r="H972" s="293"/>
      <c r="I972" s="293"/>
      <c r="J972" s="417"/>
      <c r="L972" s="506"/>
      <c r="M972" s="506"/>
      <c r="N972" s="505"/>
      <c r="P972" s="293"/>
      <c r="S972" s="293"/>
      <c r="X972" s="293"/>
    </row>
    <row r="973">
      <c r="B973" s="293"/>
      <c r="D973" s="293"/>
      <c r="E973" s="293"/>
      <c r="G973" s="505"/>
      <c r="H973" s="293"/>
      <c r="I973" s="293"/>
      <c r="J973" s="417"/>
      <c r="L973" s="506"/>
      <c r="M973" s="506"/>
      <c r="N973" s="505"/>
      <c r="P973" s="293"/>
      <c r="S973" s="293"/>
      <c r="X973" s="293"/>
    </row>
    <row r="974">
      <c r="B974" s="293"/>
      <c r="D974" s="293"/>
      <c r="E974" s="293"/>
      <c r="G974" s="505"/>
      <c r="H974" s="293"/>
      <c r="I974" s="293"/>
      <c r="J974" s="417"/>
      <c r="L974" s="506"/>
      <c r="M974" s="506"/>
      <c r="N974" s="505"/>
      <c r="P974" s="293"/>
      <c r="S974" s="293"/>
      <c r="X974" s="293"/>
    </row>
    <row r="975">
      <c r="B975" s="293"/>
      <c r="D975" s="293"/>
      <c r="E975" s="293"/>
      <c r="G975" s="505"/>
      <c r="H975" s="293"/>
      <c r="I975" s="293"/>
      <c r="J975" s="417"/>
      <c r="L975" s="506"/>
      <c r="M975" s="506"/>
      <c r="N975" s="505"/>
      <c r="P975" s="293"/>
      <c r="S975" s="293"/>
      <c r="X975" s="293"/>
    </row>
    <row r="976">
      <c r="B976" s="293"/>
      <c r="D976" s="293"/>
      <c r="E976" s="293"/>
      <c r="G976" s="505"/>
      <c r="H976" s="293"/>
      <c r="I976" s="293"/>
      <c r="J976" s="417"/>
      <c r="L976" s="506"/>
      <c r="M976" s="506"/>
      <c r="N976" s="505"/>
      <c r="P976" s="293"/>
      <c r="S976" s="293"/>
      <c r="X976" s="293"/>
    </row>
    <row r="977">
      <c r="B977" s="293"/>
      <c r="D977" s="293"/>
      <c r="E977" s="293"/>
      <c r="G977" s="505"/>
      <c r="H977" s="293"/>
      <c r="I977" s="293"/>
      <c r="J977" s="417"/>
      <c r="L977" s="506"/>
      <c r="M977" s="506"/>
      <c r="N977" s="505"/>
      <c r="P977" s="293"/>
      <c r="S977" s="293"/>
      <c r="X977" s="293"/>
    </row>
    <row r="978">
      <c r="B978" s="293"/>
      <c r="D978" s="293"/>
      <c r="E978" s="293"/>
      <c r="G978" s="505"/>
      <c r="H978" s="293"/>
      <c r="I978" s="293"/>
      <c r="J978" s="417"/>
      <c r="L978" s="506"/>
      <c r="M978" s="506"/>
      <c r="N978" s="505"/>
      <c r="P978" s="293"/>
      <c r="S978" s="293"/>
      <c r="X978" s="293"/>
    </row>
    <row r="979">
      <c r="B979" s="293"/>
      <c r="D979" s="293"/>
      <c r="E979" s="293"/>
      <c r="G979" s="505"/>
      <c r="H979" s="293"/>
      <c r="I979" s="293"/>
      <c r="J979" s="417"/>
      <c r="L979" s="506"/>
      <c r="M979" s="506"/>
      <c r="N979" s="505"/>
      <c r="P979" s="293"/>
      <c r="S979" s="293"/>
      <c r="X979" s="293"/>
    </row>
    <row r="980">
      <c r="B980" s="293"/>
      <c r="D980" s="293"/>
      <c r="E980" s="293"/>
      <c r="G980" s="505"/>
      <c r="H980" s="293"/>
      <c r="I980" s="293"/>
      <c r="J980" s="417"/>
      <c r="L980" s="506"/>
      <c r="M980" s="506"/>
      <c r="N980" s="505"/>
      <c r="P980" s="293"/>
      <c r="S980" s="293"/>
      <c r="X980" s="293"/>
    </row>
    <row r="981">
      <c r="B981" s="293"/>
      <c r="D981" s="293"/>
      <c r="E981" s="293"/>
      <c r="G981" s="505"/>
      <c r="H981" s="293"/>
      <c r="I981" s="293"/>
      <c r="J981" s="417"/>
      <c r="L981" s="506"/>
      <c r="M981" s="506"/>
      <c r="N981" s="505"/>
      <c r="P981" s="293"/>
      <c r="S981" s="293"/>
      <c r="X981" s="293"/>
    </row>
    <row r="982">
      <c r="B982" s="293"/>
      <c r="D982" s="293"/>
      <c r="E982" s="293"/>
      <c r="G982" s="505"/>
      <c r="H982" s="293"/>
      <c r="I982" s="293"/>
      <c r="J982" s="417"/>
      <c r="L982" s="506"/>
      <c r="M982" s="506"/>
      <c r="N982" s="505"/>
      <c r="P982" s="293"/>
      <c r="S982" s="293"/>
      <c r="X982" s="293"/>
    </row>
    <row r="983">
      <c r="B983" s="293"/>
      <c r="D983" s="293"/>
      <c r="E983" s="293"/>
      <c r="G983" s="505"/>
      <c r="H983" s="293"/>
      <c r="I983" s="293"/>
      <c r="J983" s="417"/>
      <c r="L983" s="506"/>
      <c r="M983" s="506"/>
      <c r="N983" s="505"/>
      <c r="P983" s="293"/>
      <c r="S983" s="293"/>
      <c r="X983" s="293"/>
    </row>
    <row r="984">
      <c r="B984" s="293"/>
      <c r="D984" s="293"/>
      <c r="E984" s="293"/>
      <c r="G984" s="505"/>
      <c r="H984" s="293"/>
      <c r="I984" s="293"/>
      <c r="J984" s="417"/>
      <c r="L984" s="506"/>
      <c r="M984" s="506"/>
      <c r="N984" s="505"/>
      <c r="P984" s="293"/>
      <c r="S984" s="293"/>
      <c r="X984" s="293"/>
    </row>
    <row r="985">
      <c r="B985" s="293"/>
      <c r="D985" s="293"/>
      <c r="E985" s="293"/>
      <c r="G985" s="505"/>
      <c r="H985" s="293"/>
      <c r="I985" s="293"/>
      <c r="J985" s="417"/>
      <c r="L985" s="506"/>
      <c r="M985" s="506"/>
      <c r="N985" s="505"/>
      <c r="P985" s="293"/>
      <c r="S985" s="293"/>
      <c r="X985" s="293"/>
    </row>
    <row r="986">
      <c r="B986" s="293"/>
      <c r="D986" s="293"/>
      <c r="E986" s="293"/>
      <c r="G986" s="505"/>
      <c r="H986" s="293"/>
      <c r="I986" s="293"/>
      <c r="J986" s="417"/>
      <c r="L986" s="506"/>
      <c r="M986" s="506"/>
      <c r="N986" s="505"/>
      <c r="P986" s="293"/>
      <c r="S986" s="293"/>
      <c r="X986" s="293"/>
    </row>
    <row r="987">
      <c r="B987" s="293"/>
      <c r="D987" s="293"/>
      <c r="E987" s="293"/>
      <c r="G987" s="505"/>
      <c r="H987" s="293"/>
      <c r="I987" s="293"/>
      <c r="J987" s="417"/>
      <c r="L987" s="506"/>
      <c r="M987" s="506"/>
      <c r="N987" s="505"/>
      <c r="P987" s="293"/>
      <c r="S987" s="293"/>
      <c r="X987" s="293"/>
    </row>
    <row r="988">
      <c r="B988" s="293"/>
      <c r="D988" s="293"/>
      <c r="E988" s="293"/>
      <c r="G988" s="505"/>
      <c r="H988" s="293"/>
      <c r="I988" s="293"/>
      <c r="J988" s="417"/>
      <c r="L988" s="506"/>
      <c r="M988" s="506"/>
      <c r="N988" s="505"/>
      <c r="P988" s="293"/>
      <c r="S988" s="293"/>
      <c r="X988" s="293"/>
    </row>
    <row r="989">
      <c r="B989" s="293"/>
      <c r="D989" s="293"/>
      <c r="E989" s="293"/>
      <c r="G989" s="505"/>
      <c r="H989" s="293"/>
      <c r="I989" s="293"/>
      <c r="J989" s="417"/>
      <c r="L989" s="506"/>
      <c r="M989" s="506"/>
      <c r="N989" s="505"/>
      <c r="P989" s="293"/>
      <c r="S989" s="293"/>
      <c r="X989" s="293"/>
    </row>
    <row r="990">
      <c r="B990" s="293"/>
      <c r="D990" s="293"/>
      <c r="E990" s="293"/>
      <c r="G990" s="505"/>
      <c r="H990" s="293"/>
      <c r="I990" s="293"/>
      <c r="J990" s="417"/>
      <c r="L990" s="506"/>
      <c r="M990" s="506"/>
      <c r="N990" s="505"/>
      <c r="P990" s="293"/>
      <c r="S990" s="293"/>
      <c r="X990" s="293"/>
    </row>
    <row r="991">
      <c r="B991" s="293"/>
      <c r="D991" s="293"/>
      <c r="E991" s="293"/>
      <c r="G991" s="505"/>
      <c r="H991" s="293"/>
      <c r="I991" s="293"/>
      <c r="J991" s="417"/>
      <c r="L991" s="506"/>
      <c r="M991" s="506"/>
      <c r="N991" s="505"/>
      <c r="P991" s="293"/>
      <c r="S991" s="293"/>
      <c r="X991" s="293"/>
    </row>
    <row r="992">
      <c r="B992" s="293"/>
      <c r="D992" s="293"/>
      <c r="E992" s="293"/>
      <c r="G992" s="505"/>
      <c r="H992" s="293"/>
      <c r="I992" s="293"/>
      <c r="J992" s="417"/>
      <c r="L992" s="506"/>
      <c r="M992" s="506"/>
      <c r="N992" s="505"/>
      <c r="P992" s="293"/>
      <c r="S992" s="293"/>
      <c r="X992" s="293"/>
    </row>
    <row r="993">
      <c r="B993" s="293"/>
      <c r="D993" s="293"/>
      <c r="E993" s="293"/>
      <c r="G993" s="505"/>
      <c r="H993" s="293"/>
      <c r="I993" s="293"/>
      <c r="J993" s="417"/>
      <c r="L993" s="506"/>
      <c r="M993" s="506"/>
      <c r="N993" s="505"/>
      <c r="P993" s="293"/>
      <c r="S993" s="293"/>
      <c r="X993" s="293"/>
    </row>
    <row r="994">
      <c r="B994" s="293"/>
      <c r="D994" s="293"/>
      <c r="E994" s="293"/>
      <c r="G994" s="505"/>
      <c r="H994" s="293"/>
      <c r="I994" s="293"/>
      <c r="J994" s="417"/>
      <c r="L994" s="506"/>
      <c r="M994" s="506"/>
      <c r="N994" s="505"/>
      <c r="P994" s="293"/>
      <c r="S994" s="293"/>
      <c r="X994" s="293"/>
    </row>
    <row r="995">
      <c r="B995" s="293"/>
      <c r="D995" s="293"/>
      <c r="E995" s="293"/>
      <c r="G995" s="505"/>
      <c r="H995" s="293"/>
      <c r="I995" s="293"/>
      <c r="J995" s="417"/>
      <c r="L995" s="506"/>
      <c r="M995" s="506"/>
      <c r="N995" s="505"/>
      <c r="P995" s="293"/>
      <c r="S995" s="293"/>
      <c r="X995" s="293"/>
    </row>
    <row r="996">
      <c r="B996" s="293"/>
      <c r="D996" s="293"/>
      <c r="E996" s="293"/>
      <c r="G996" s="505"/>
      <c r="H996" s="293"/>
      <c r="I996" s="293"/>
      <c r="J996" s="417"/>
      <c r="L996" s="506"/>
      <c r="M996" s="506"/>
      <c r="N996" s="505"/>
      <c r="P996" s="293"/>
      <c r="S996" s="293"/>
      <c r="X996" s="293"/>
    </row>
    <row r="997">
      <c r="B997" s="293"/>
      <c r="D997" s="293"/>
      <c r="E997" s="293"/>
      <c r="G997" s="505"/>
      <c r="H997" s="293"/>
      <c r="I997" s="293"/>
      <c r="J997" s="417"/>
      <c r="L997" s="506"/>
      <c r="M997" s="506"/>
      <c r="N997" s="505"/>
      <c r="P997" s="293"/>
      <c r="S997" s="293"/>
      <c r="X997" s="293"/>
    </row>
    <row r="998">
      <c r="B998" s="293"/>
      <c r="D998" s="293"/>
      <c r="E998" s="293"/>
      <c r="G998" s="505"/>
      <c r="H998" s="293"/>
      <c r="I998" s="293"/>
      <c r="J998" s="417"/>
      <c r="L998" s="506"/>
      <c r="M998" s="506"/>
      <c r="N998" s="505"/>
      <c r="P998" s="293"/>
      <c r="S998" s="293"/>
      <c r="X998" s="293"/>
    </row>
    <row r="999">
      <c r="B999" s="293"/>
      <c r="D999" s="293"/>
      <c r="E999" s="293"/>
      <c r="G999" s="505"/>
      <c r="H999" s="293"/>
      <c r="I999" s="293"/>
      <c r="J999" s="417"/>
      <c r="L999" s="506"/>
      <c r="M999" s="506"/>
      <c r="N999" s="505"/>
      <c r="P999" s="293"/>
      <c r="S999" s="293"/>
      <c r="X999" s="293"/>
    </row>
    <row r="1000">
      <c r="B1000" s="293"/>
      <c r="D1000" s="293"/>
      <c r="E1000" s="293"/>
      <c r="G1000" s="505"/>
      <c r="H1000" s="293"/>
      <c r="I1000" s="293"/>
      <c r="J1000" s="417"/>
      <c r="L1000" s="506"/>
      <c r="M1000" s="506"/>
      <c r="N1000" s="505"/>
      <c r="P1000" s="293"/>
      <c r="S1000" s="293"/>
      <c r="X1000" s="293"/>
    </row>
    <row r="1001">
      <c r="B1001" s="293"/>
      <c r="D1001" s="293"/>
      <c r="E1001" s="293"/>
      <c r="G1001" s="505"/>
      <c r="H1001" s="293"/>
      <c r="I1001" s="293"/>
      <c r="J1001" s="417"/>
      <c r="L1001" s="506"/>
      <c r="M1001" s="506"/>
      <c r="N1001" s="505"/>
      <c r="P1001" s="293"/>
      <c r="S1001" s="293"/>
      <c r="X1001" s="293"/>
    </row>
    <row r="1002">
      <c r="B1002" s="293"/>
      <c r="D1002" s="293"/>
      <c r="E1002" s="293"/>
      <c r="G1002" s="505"/>
      <c r="H1002" s="293"/>
      <c r="I1002" s="293"/>
      <c r="J1002" s="417"/>
      <c r="L1002" s="506"/>
      <c r="M1002" s="506"/>
      <c r="N1002" s="505"/>
      <c r="P1002" s="293"/>
      <c r="S1002" s="293"/>
      <c r="X1002" s="293"/>
    </row>
    <row r="1003">
      <c r="B1003" s="293"/>
      <c r="D1003" s="293"/>
      <c r="E1003" s="293"/>
      <c r="G1003" s="505"/>
      <c r="H1003" s="293"/>
      <c r="I1003" s="293"/>
      <c r="J1003" s="417"/>
      <c r="L1003" s="506"/>
      <c r="M1003" s="506"/>
      <c r="N1003" s="505"/>
      <c r="P1003" s="293"/>
      <c r="S1003" s="293"/>
      <c r="X1003" s="293"/>
    </row>
    <row r="1004">
      <c r="B1004" s="293"/>
      <c r="D1004" s="293"/>
      <c r="E1004" s="293"/>
      <c r="G1004" s="505"/>
      <c r="H1004" s="293"/>
      <c r="I1004" s="293"/>
      <c r="J1004" s="417"/>
      <c r="L1004" s="506"/>
      <c r="M1004" s="506"/>
      <c r="N1004" s="505"/>
      <c r="P1004" s="293"/>
      <c r="S1004" s="293"/>
      <c r="X1004" s="293"/>
    </row>
    <row r="1005">
      <c r="B1005" s="293"/>
      <c r="D1005" s="293"/>
      <c r="E1005" s="293"/>
      <c r="G1005" s="505"/>
      <c r="H1005" s="293"/>
      <c r="I1005" s="293"/>
      <c r="J1005" s="417"/>
      <c r="L1005" s="506"/>
      <c r="M1005" s="506"/>
      <c r="N1005" s="505"/>
      <c r="P1005" s="293"/>
      <c r="S1005" s="293"/>
      <c r="X1005" s="293"/>
    </row>
    <row r="1006">
      <c r="B1006" s="293"/>
      <c r="D1006" s="293"/>
      <c r="E1006" s="293"/>
      <c r="G1006" s="505"/>
      <c r="H1006" s="293"/>
      <c r="I1006" s="293"/>
      <c r="J1006" s="417"/>
      <c r="L1006" s="506"/>
      <c r="M1006" s="506"/>
      <c r="N1006" s="505"/>
      <c r="P1006" s="293"/>
      <c r="S1006" s="293"/>
      <c r="X1006" s="293"/>
    </row>
    <row r="1007">
      <c r="B1007" s="293"/>
      <c r="D1007" s="293"/>
      <c r="E1007" s="293"/>
      <c r="G1007" s="505"/>
      <c r="H1007" s="293"/>
      <c r="I1007" s="293"/>
      <c r="J1007" s="417"/>
      <c r="L1007" s="506"/>
      <c r="M1007" s="506"/>
      <c r="N1007" s="505"/>
      <c r="P1007" s="293"/>
      <c r="S1007" s="293"/>
      <c r="X1007" s="293"/>
    </row>
    <row r="1008">
      <c r="B1008" s="293"/>
      <c r="D1008" s="293"/>
      <c r="E1008" s="293"/>
      <c r="G1008" s="505"/>
      <c r="H1008" s="293"/>
      <c r="I1008" s="293"/>
      <c r="J1008" s="417"/>
      <c r="L1008" s="506"/>
      <c r="M1008" s="506"/>
      <c r="N1008" s="505"/>
      <c r="P1008" s="293"/>
      <c r="S1008" s="293"/>
      <c r="X1008" s="293"/>
    </row>
    <row r="1009">
      <c r="B1009" s="293"/>
      <c r="D1009" s="293"/>
      <c r="E1009" s="293"/>
      <c r="G1009" s="505"/>
      <c r="H1009" s="293"/>
      <c r="I1009" s="293"/>
      <c r="J1009" s="417"/>
      <c r="L1009" s="506"/>
      <c r="M1009" s="506"/>
      <c r="N1009" s="505"/>
      <c r="P1009" s="293"/>
      <c r="S1009" s="293"/>
      <c r="X1009" s="293"/>
    </row>
    <row r="1010">
      <c r="B1010" s="293"/>
      <c r="D1010" s="293"/>
      <c r="E1010" s="293"/>
      <c r="G1010" s="505"/>
      <c r="H1010" s="293"/>
      <c r="I1010" s="293"/>
      <c r="J1010" s="417"/>
      <c r="L1010" s="506"/>
      <c r="M1010" s="506"/>
      <c r="N1010" s="505"/>
      <c r="P1010" s="293"/>
      <c r="S1010" s="293"/>
      <c r="X1010" s="293"/>
    </row>
    <row r="1011">
      <c r="B1011" s="293"/>
      <c r="D1011" s="293"/>
      <c r="E1011" s="293"/>
      <c r="G1011" s="505"/>
      <c r="H1011" s="293"/>
      <c r="I1011" s="293"/>
      <c r="J1011" s="417"/>
      <c r="L1011" s="506"/>
      <c r="M1011" s="506"/>
      <c r="N1011" s="505"/>
      <c r="P1011" s="293"/>
      <c r="S1011" s="293"/>
      <c r="X1011" s="293"/>
    </row>
    <row r="1012">
      <c r="B1012" s="293"/>
      <c r="D1012" s="293"/>
      <c r="E1012" s="293"/>
      <c r="G1012" s="505"/>
      <c r="H1012" s="293"/>
      <c r="I1012" s="293"/>
      <c r="J1012" s="417"/>
      <c r="L1012" s="506"/>
      <c r="M1012" s="506"/>
      <c r="N1012" s="505"/>
      <c r="P1012" s="293"/>
      <c r="S1012" s="293"/>
      <c r="X1012" s="293"/>
    </row>
    <row r="1013">
      <c r="B1013" s="293"/>
      <c r="D1013" s="293"/>
      <c r="E1013" s="293"/>
      <c r="G1013" s="505"/>
      <c r="H1013" s="293"/>
      <c r="I1013" s="293"/>
      <c r="J1013" s="417"/>
      <c r="L1013" s="506"/>
      <c r="M1013" s="506"/>
      <c r="N1013" s="505"/>
      <c r="P1013" s="293"/>
      <c r="S1013" s="293"/>
      <c r="X1013" s="293"/>
    </row>
    <row r="1014">
      <c r="B1014" s="293"/>
      <c r="D1014" s="293"/>
      <c r="E1014" s="293"/>
      <c r="G1014" s="505"/>
      <c r="H1014" s="293"/>
      <c r="I1014" s="293"/>
      <c r="J1014" s="417"/>
      <c r="L1014" s="506"/>
      <c r="M1014" s="506"/>
      <c r="N1014" s="505"/>
      <c r="P1014" s="293"/>
      <c r="S1014" s="293"/>
      <c r="X1014" s="293"/>
    </row>
    <row r="1015">
      <c r="B1015" s="293"/>
      <c r="D1015" s="293"/>
      <c r="E1015" s="293"/>
      <c r="G1015" s="505"/>
      <c r="H1015" s="293"/>
      <c r="I1015" s="293"/>
      <c r="J1015" s="417"/>
      <c r="L1015" s="506"/>
      <c r="M1015" s="506"/>
      <c r="N1015" s="505"/>
      <c r="P1015" s="293"/>
      <c r="S1015" s="293"/>
      <c r="X1015" s="293"/>
    </row>
    <row r="1016">
      <c r="B1016" s="293"/>
      <c r="D1016" s="293"/>
      <c r="E1016" s="293"/>
      <c r="G1016" s="505"/>
      <c r="H1016" s="293"/>
      <c r="I1016" s="293"/>
      <c r="J1016" s="417"/>
      <c r="L1016" s="506"/>
      <c r="M1016" s="506"/>
      <c r="N1016" s="505"/>
      <c r="P1016" s="293"/>
      <c r="S1016" s="293"/>
      <c r="X1016" s="293"/>
    </row>
    <row r="1017">
      <c r="B1017" s="293"/>
      <c r="D1017" s="293"/>
      <c r="E1017" s="293"/>
      <c r="G1017" s="505"/>
      <c r="H1017" s="293"/>
      <c r="I1017" s="293"/>
      <c r="J1017" s="417"/>
      <c r="L1017" s="506"/>
      <c r="M1017" s="506"/>
      <c r="N1017" s="505"/>
      <c r="P1017" s="293"/>
      <c r="S1017" s="293"/>
      <c r="X1017" s="293"/>
    </row>
    <row r="1018">
      <c r="B1018" s="293"/>
      <c r="D1018" s="293"/>
      <c r="E1018" s="293"/>
      <c r="G1018" s="505"/>
      <c r="H1018" s="293"/>
      <c r="I1018" s="293"/>
      <c r="J1018" s="417"/>
      <c r="L1018" s="506"/>
      <c r="M1018" s="506"/>
      <c r="N1018" s="505"/>
      <c r="P1018" s="293"/>
      <c r="S1018" s="293"/>
      <c r="X1018" s="293"/>
    </row>
    <row r="1019">
      <c r="B1019" s="293"/>
      <c r="D1019" s="293"/>
      <c r="E1019" s="293"/>
      <c r="G1019" s="505"/>
      <c r="H1019" s="293"/>
      <c r="I1019" s="293"/>
      <c r="J1019" s="417"/>
      <c r="L1019" s="506"/>
      <c r="M1019" s="506"/>
      <c r="N1019" s="505"/>
      <c r="P1019" s="293"/>
      <c r="S1019" s="293"/>
      <c r="X1019" s="293"/>
    </row>
    <row r="1020">
      <c r="B1020" s="293"/>
      <c r="D1020" s="293"/>
      <c r="E1020" s="293"/>
      <c r="G1020" s="505"/>
      <c r="H1020" s="293"/>
      <c r="I1020" s="293"/>
      <c r="J1020" s="417"/>
      <c r="L1020" s="506"/>
      <c r="M1020" s="506"/>
      <c r="N1020" s="505"/>
      <c r="P1020" s="293"/>
      <c r="S1020" s="293"/>
      <c r="X1020" s="293"/>
    </row>
    <row r="1021">
      <c r="B1021" s="293"/>
      <c r="D1021" s="293"/>
      <c r="E1021" s="293"/>
      <c r="G1021" s="505"/>
      <c r="H1021" s="293"/>
      <c r="I1021" s="293"/>
      <c r="J1021" s="417"/>
      <c r="L1021" s="506"/>
      <c r="M1021" s="506"/>
      <c r="N1021" s="505"/>
      <c r="P1021" s="293"/>
      <c r="S1021" s="293"/>
      <c r="X1021" s="293"/>
    </row>
    <row r="1022">
      <c r="B1022" s="293"/>
      <c r="D1022" s="293"/>
      <c r="E1022" s="293"/>
      <c r="G1022" s="505"/>
      <c r="H1022" s="293"/>
      <c r="I1022" s="293"/>
      <c r="J1022" s="417"/>
      <c r="L1022" s="506"/>
      <c r="M1022" s="506"/>
      <c r="N1022" s="505"/>
      <c r="P1022" s="293"/>
      <c r="S1022" s="293"/>
      <c r="X1022" s="293"/>
    </row>
    <row r="1023">
      <c r="B1023" s="293"/>
      <c r="D1023" s="293"/>
      <c r="E1023" s="293"/>
      <c r="G1023" s="505"/>
      <c r="H1023" s="293"/>
      <c r="I1023" s="293"/>
      <c r="J1023" s="417"/>
      <c r="L1023" s="506"/>
      <c r="M1023" s="506"/>
      <c r="N1023" s="505"/>
      <c r="P1023" s="293"/>
      <c r="S1023" s="293"/>
      <c r="X1023" s="293"/>
    </row>
    <row r="1024">
      <c r="B1024" s="293"/>
      <c r="D1024" s="293"/>
      <c r="E1024" s="293"/>
      <c r="G1024" s="505"/>
      <c r="H1024" s="293"/>
      <c r="I1024" s="293"/>
      <c r="J1024" s="417"/>
      <c r="L1024" s="506"/>
      <c r="M1024" s="506"/>
      <c r="N1024" s="505"/>
      <c r="P1024" s="293"/>
      <c r="S1024" s="293"/>
      <c r="X1024" s="293"/>
    </row>
    <row r="1025">
      <c r="B1025" s="293"/>
      <c r="D1025" s="293"/>
      <c r="E1025" s="293"/>
      <c r="G1025" s="505"/>
      <c r="H1025" s="293"/>
      <c r="I1025" s="293"/>
      <c r="J1025" s="417"/>
      <c r="L1025" s="506"/>
      <c r="M1025" s="506"/>
      <c r="N1025" s="505"/>
      <c r="P1025" s="293"/>
      <c r="S1025" s="293"/>
      <c r="X1025" s="293"/>
    </row>
    <row r="1026">
      <c r="B1026" s="293"/>
      <c r="D1026" s="293"/>
      <c r="E1026" s="293"/>
      <c r="G1026" s="505"/>
      <c r="H1026" s="293"/>
      <c r="I1026" s="293"/>
      <c r="J1026" s="417"/>
      <c r="L1026" s="506"/>
      <c r="M1026" s="506"/>
      <c r="N1026" s="505"/>
      <c r="P1026" s="293"/>
      <c r="S1026" s="293"/>
      <c r="X1026" s="293"/>
    </row>
    <row r="1027">
      <c r="B1027" s="293"/>
      <c r="D1027" s="293"/>
      <c r="E1027" s="293"/>
      <c r="G1027" s="505"/>
      <c r="H1027" s="293"/>
      <c r="I1027" s="293"/>
      <c r="J1027" s="417"/>
      <c r="L1027" s="506"/>
      <c r="M1027" s="506"/>
      <c r="N1027" s="505"/>
      <c r="P1027" s="293"/>
      <c r="S1027" s="293"/>
      <c r="X1027" s="293"/>
    </row>
    <row r="1028">
      <c r="B1028" s="293"/>
      <c r="D1028" s="293"/>
      <c r="E1028" s="293"/>
      <c r="G1028" s="505"/>
      <c r="H1028" s="293"/>
      <c r="I1028" s="293"/>
      <c r="J1028" s="417"/>
      <c r="L1028" s="506"/>
      <c r="M1028" s="506"/>
      <c r="N1028" s="505"/>
      <c r="P1028" s="293"/>
      <c r="S1028" s="293"/>
      <c r="X1028" s="293"/>
    </row>
    <row r="1029">
      <c r="B1029" s="293"/>
      <c r="D1029" s="293"/>
      <c r="E1029" s="293"/>
      <c r="G1029" s="505"/>
      <c r="H1029" s="293"/>
      <c r="I1029" s="293"/>
      <c r="J1029" s="417"/>
      <c r="L1029" s="506"/>
      <c r="M1029" s="506"/>
      <c r="N1029" s="505"/>
      <c r="P1029" s="293"/>
      <c r="S1029" s="293"/>
      <c r="X1029" s="293"/>
    </row>
    <row r="1030">
      <c r="B1030" s="293"/>
      <c r="D1030" s="293"/>
      <c r="E1030" s="293"/>
      <c r="G1030" s="505"/>
      <c r="H1030" s="293"/>
      <c r="I1030" s="293"/>
      <c r="J1030" s="417"/>
      <c r="L1030" s="506"/>
      <c r="M1030" s="506"/>
      <c r="N1030" s="505"/>
      <c r="P1030" s="293"/>
      <c r="S1030" s="293"/>
      <c r="X1030" s="293"/>
    </row>
    <row r="1031">
      <c r="B1031" s="293"/>
      <c r="D1031" s="293"/>
      <c r="E1031" s="293"/>
      <c r="G1031" s="505"/>
      <c r="H1031" s="293"/>
      <c r="I1031" s="293"/>
      <c r="J1031" s="417"/>
      <c r="L1031" s="506"/>
      <c r="M1031" s="506"/>
      <c r="N1031" s="505"/>
      <c r="P1031" s="293"/>
      <c r="S1031" s="293"/>
      <c r="X1031" s="293"/>
    </row>
    <row r="1032">
      <c r="B1032" s="293"/>
      <c r="D1032" s="293"/>
      <c r="E1032" s="293"/>
      <c r="G1032" s="505"/>
      <c r="H1032" s="293"/>
      <c r="I1032" s="293"/>
      <c r="J1032" s="417"/>
      <c r="L1032" s="506"/>
      <c r="M1032" s="506"/>
      <c r="N1032" s="505"/>
      <c r="P1032" s="293"/>
      <c r="S1032" s="293"/>
      <c r="X1032" s="293"/>
    </row>
    <row r="1033">
      <c r="B1033" s="293"/>
      <c r="D1033" s="293"/>
      <c r="E1033" s="293"/>
      <c r="G1033" s="505"/>
      <c r="H1033" s="293"/>
      <c r="I1033" s="293"/>
      <c r="J1033" s="417"/>
      <c r="L1033" s="506"/>
      <c r="M1033" s="506"/>
      <c r="N1033" s="505"/>
      <c r="P1033" s="293"/>
      <c r="S1033" s="293"/>
      <c r="X1033" s="293"/>
    </row>
    <row r="1034">
      <c r="B1034" s="293"/>
      <c r="D1034" s="293"/>
      <c r="E1034" s="293"/>
      <c r="G1034" s="505"/>
      <c r="H1034" s="293"/>
      <c r="I1034" s="293"/>
      <c r="J1034" s="417"/>
      <c r="L1034" s="506"/>
      <c r="M1034" s="506"/>
      <c r="N1034" s="505"/>
      <c r="P1034" s="293"/>
      <c r="S1034" s="293"/>
      <c r="X1034" s="293"/>
    </row>
    <row r="1035">
      <c r="B1035" s="293"/>
      <c r="D1035" s="293"/>
      <c r="E1035" s="293"/>
      <c r="G1035" s="505"/>
      <c r="H1035" s="293"/>
      <c r="I1035" s="293"/>
      <c r="J1035" s="417"/>
      <c r="L1035" s="506"/>
      <c r="M1035" s="506"/>
      <c r="N1035" s="505"/>
      <c r="P1035" s="293"/>
      <c r="S1035" s="293"/>
      <c r="X1035" s="293"/>
    </row>
    <row r="1036">
      <c r="B1036" s="293"/>
      <c r="D1036" s="293"/>
      <c r="E1036" s="293"/>
      <c r="G1036" s="505"/>
      <c r="H1036" s="293"/>
      <c r="I1036" s="293"/>
      <c r="J1036" s="417"/>
      <c r="L1036" s="506"/>
      <c r="M1036" s="506"/>
      <c r="N1036" s="505"/>
      <c r="P1036" s="293"/>
      <c r="S1036" s="293"/>
      <c r="X1036" s="293"/>
    </row>
    <row r="1037">
      <c r="B1037" s="293"/>
      <c r="D1037" s="293"/>
      <c r="E1037" s="293"/>
      <c r="G1037" s="505"/>
      <c r="H1037" s="293"/>
      <c r="I1037" s="293"/>
      <c r="J1037" s="417"/>
      <c r="L1037" s="506"/>
      <c r="M1037" s="506"/>
      <c r="N1037" s="505"/>
      <c r="P1037" s="293"/>
      <c r="S1037" s="293"/>
      <c r="X1037" s="293"/>
    </row>
    <row r="1038">
      <c r="B1038" s="293"/>
      <c r="D1038" s="293"/>
      <c r="E1038" s="293"/>
      <c r="G1038" s="505"/>
      <c r="H1038" s="293"/>
      <c r="I1038" s="293"/>
      <c r="J1038" s="417"/>
      <c r="L1038" s="506"/>
      <c r="M1038" s="506"/>
      <c r="N1038" s="505"/>
      <c r="P1038" s="293"/>
      <c r="S1038" s="293"/>
      <c r="X1038" s="293"/>
    </row>
    <row r="1039">
      <c r="B1039" s="293"/>
      <c r="D1039" s="293"/>
      <c r="E1039" s="293"/>
      <c r="G1039" s="505"/>
      <c r="H1039" s="293"/>
      <c r="I1039" s="293"/>
      <c r="J1039" s="417"/>
      <c r="L1039" s="506"/>
      <c r="M1039" s="506"/>
      <c r="N1039" s="505"/>
      <c r="P1039" s="293"/>
      <c r="S1039" s="293"/>
      <c r="X1039" s="293"/>
    </row>
    <row r="1040">
      <c r="B1040" s="293"/>
      <c r="D1040" s="293"/>
      <c r="E1040" s="293"/>
      <c r="G1040" s="505"/>
      <c r="H1040" s="293"/>
      <c r="I1040" s="293"/>
      <c r="J1040" s="417"/>
      <c r="L1040" s="506"/>
      <c r="M1040" s="506"/>
      <c r="N1040" s="505"/>
      <c r="P1040" s="293"/>
      <c r="S1040" s="293"/>
      <c r="X1040" s="293"/>
    </row>
    <row r="1041">
      <c r="B1041" s="293"/>
      <c r="D1041" s="293"/>
      <c r="E1041" s="293"/>
      <c r="G1041" s="505"/>
      <c r="H1041" s="293"/>
      <c r="I1041" s="293"/>
      <c r="J1041" s="417"/>
      <c r="L1041" s="506"/>
      <c r="M1041" s="506"/>
      <c r="N1041" s="505"/>
      <c r="P1041" s="293"/>
      <c r="S1041" s="293"/>
      <c r="X1041" s="293"/>
    </row>
    <row r="1042">
      <c r="B1042" s="293"/>
      <c r="D1042" s="293"/>
      <c r="E1042" s="293"/>
      <c r="G1042" s="505"/>
      <c r="H1042" s="293"/>
      <c r="I1042" s="293"/>
      <c r="J1042" s="417"/>
      <c r="L1042" s="506"/>
      <c r="M1042" s="506"/>
      <c r="N1042" s="505"/>
      <c r="P1042" s="293"/>
      <c r="S1042" s="293"/>
      <c r="X1042" s="293"/>
    </row>
    <row r="1043">
      <c r="B1043" s="293"/>
      <c r="D1043" s="293"/>
      <c r="E1043" s="293"/>
      <c r="G1043" s="505"/>
      <c r="H1043" s="293"/>
      <c r="I1043" s="293"/>
      <c r="J1043" s="417"/>
      <c r="L1043" s="506"/>
      <c r="M1043" s="506"/>
      <c r="N1043" s="505"/>
      <c r="P1043" s="293"/>
      <c r="S1043" s="293"/>
      <c r="X1043" s="293"/>
    </row>
    <row r="1044">
      <c r="B1044" s="293"/>
      <c r="D1044" s="293"/>
      <c r="E1044" s="293"/>
      <c r="G1044" s="505"/>
      <c r="H1044" s="293"/>
      <c r="I1044" s="293"/>
      <c r="J1044" s="417"/>
      <c r="L1044" s="506"/>
      <c r="M1044" s="506"/>
      <c r="N1044" s="505"/>
      <c r="P1044" s="293"/>
      <c r="S1044" s="293"/>
      <c r="X1044" s="293"/>
    </row>
    <row r="1045">
      <c r="B1045" s="293"/>
      <c r="D1045" s="293"/>
      <c r="E1045" s="293"/>
      <c r="G1045" s="505"/>
      <c r="H1045" s="293"/>
      <c r="I1045" s="293"/>
      <c r="J1045" s="417"/>
      <c r="L1045" s="506"/>
      <c r="M1045" s="506"/>
      <c r="N1045" s="505"/>
      <c r="P1045" s="293"/>
      <c r="S1045" s="293"/>
      <c r="X1045" s="293"/>
    </row>
    <row r="1046">
      <c r="B1046" s="293"/>
      <c r="D1046" s="293"/>
      <c r="E1046" s="293"/>
      <c r="G1046" s="505"/>
      <c r="H1046" s="293"/>
      <c r="I1046" s="293"/>
      <c r="J1046" s="417"/>
      <c r="L1046" s="506"/>
      <c r="M1046" s="506"/>
      <c r="N1046" s="505"/>
      <c r="P1046" s="293"/>
      <c r="S1046" s="293"/>
      <c r="X1046" s="293"/>
    </row>
    <row r="1047">
      <c r="B1047" s="293"/>
      <c r="D1047" s="293"/>
      <c r="E1047" s="293"/>
      <c r="G1047" s="505"/>
      <c r="H1047" s="293"/>
      <c r="I1047" s="293"/>
      <c r="J1047" s="417"/>
      <c r="L1047" s="506"/>
      <c r="M1047" s="506"/>
      <c r="N1047" s="505"/>
      <c r="P1047" s="293"/>
      <c r="S1047" s="293"/>
      <c r="X1047" s="293"/>
    </row>
    <row r="1048">
      <c r="B1048" s="293"/>
      <c r="D1048" s="293"/>
      <c r="E1048" s="293"/>
      <c r="G1048" s="505"/>
      <c r="H1048" s="293"/>
      <c r="I1048" s="293"/>
      <c r="J1048" s="417"/>
      <c r="L1048" s="506"/>
      <c r="M1048" s="506"/>
      <c r="N1048" s="505"/>
      <c r="P1048" s="293"/>
      <c r="S1048" s="293"/>
      <c r="X1048" s="293"/>
    </row>
    <row r="1049">
      <c r="B1049" s="293"/>
      <c r="D1049" s="293"/>
      <c r="E1049" s="293"/>
      <c r="G1049" s="505"/>
      <c r="H1049" s="293"/>
      <c r="I1049" s="293"/>
      <c r="J1049" s="417"/>
      <c r="L1049" s="506"/>
      <c r="M1049" s="506"/>
      <c r="N1049" s="505"/>
      <c r="P1049" s="293"/>
      <c r="S1049" s="293"/>
      <c r="X1049" s="293"/>
    </row>
    <row r="1050">
      <c r="B1050" s="293"/>
      <c r="D1050" s="293"/>
      <c r="E1050" s="293"/>
      <c r="G1050" s="505"/>
      <c r="H1050" s="293"/>
      <c r="I1050" s="293"/>
      <c r="J1050" s="417"/>
      <c r="L1050" s="506"/>
      <c r="M1050" s="506"/>
      <c r="N1050" s="505"/>
      <c r="P1050" s="293"/>
      <c r="S1050" s="293"/>
      <c r="X1050" s="293"/>
    </row>
    <row r="1051">
      <c r="B1051" s="293"/>
      <c r="D1051" s="293"/>
      <c r="E1051" s="293"/>
      <c r="G1051" s="505"/>
      <c r="H1051" s="293"/>
      <c r="I1051" s="293"/>
      <c r="J1051" s="417"/>
      <c r="L1051" s="506"/>
      <c r="M1051" s="506"/>
      <c r="N1051" s="505"/>
      <c r="P1051" s="293"/>
      <c r="S1051" s="293"/>
      <c r="X1051" s="293"/>
    </row>
    <row r="1052">
      <c r="B1052" s="293"/>
      <c r="D1052" s="293"/>
      <c r="E1052" s="293"/>
      <c r="G1052" s="505"/>
      <c r="H1052" s="293"/>
      <c r="I1052" s="293"/>
      <c r="J1052" s="417"/>
      <c r="L1052" s="506"/>
      <c r="M1052" s="506"/>
      <c r="N1052" s="505"/>
      <c r="P1052" s="293"/>
      <c r="S1052" s="293"/>
      <c r="X1052" s="293"/>
    </row>
    <row r="1053">
      <c r="B1053" s="293"/>
      <c r="D1053" s="293"/>
      <c r="E1053" s="293"/>
      <c r="G1053" s="505"/>
      <c r="H1053" s="293"/>
      <c r="I1053" s="293"/>
      <c r="J1053" s="417"/>
      <c r="L1053" s="506"/>
      <c r="M1053" s="506"/>
      <c r="N1053" s="505"/>
      <c r="P1053" s="293"/>
      <c r="S1053" s="293"/>
      <c r="X1053" s="293"/>
    </row>
    <row r="1054">
      <c r="B1054" s="293"/>
      <c r="D1054" s="293"/>
      <c r="E1054" s="293"/>
      <c r="G1054" s="505"/>
      <c r="H1054" s="293"/>
      <c r="I1054" s="293"/>
      <c r="J1054" s="417"/>
      <c r="L1054" s="506"/>
      <c r="M1054" s="506"/>
      <c r="N1054" s="505"/>
      <c r="P1054" s="293"/>
      <c r="S1054" s="293"/>
      <c r="X1054" s="293"/>
    </row>
    <row r="1055">
      <c r="B1055" s="293"/>
      <c r="D1055" s="293"/>
      <c r="E1055" s="293"/>
      <c r="G1055" s="505"/>
      <c r="H1055" s="293"/>
      <c r="I1055" s="293"/>
      <c r="J1055" s="417"/>
      <c r="L1055" s="506"/>
      <c r="M1055" s="506"/>
      <c r="N1055" s="505"/>
      <c r="P1055" s="293"/>
      <c r="S1055" s="293"/>
      <c r="X1055" s="293"/>
    </row>
    <row r="1056">
      <c r="B1056" s="293"/>
      <c r="D1056" s="293"/>
      <c r="E1056" s="293"/>
      <c r="G1056" s="505"/>
      <c r="H1056" s="293"/>
      <c r="I1056" s="293"/>
      <c r="J1056" s="417"/>
      <c r="L1056" s="506"/>
      <c r="M1056" s="506"/>
      <c r="N1056" s="505"/>
      <c r="P1056" s="293"/>
      <c r="S1056" s="293"/>
      <c r="X1056" s="293"/>
    </row>
    <row r="1057">
      <c r="B1057" s="293"/>
      <c r="D1057" s="293"/>
      <c r="E1057" s="293"/>
      <c r="G1057" s="505"/>
      <c r="H1057" s="293"/>
      <c r="I1057" s="293"/>
      <c r="J1057" s="417"/>
      <c r="L1057" s="506"/>
      <c r="M1057" s="506"/>
      <c r="N1057" s="505"/>
      <c r="P1057" s="293"/>
      <c r="S1057" s="293"/>
      <c r="X1057" s="293"/>
    </row>
    <row r="1058">
      <c r="B1058" s="293"/>
      <c r="D1058" s="293"/>
      <c r="E1058" s="293"/>
      <c r="G1058" s="505"/>
      <c r="H1058" s="293"/>
      <c r="I1058" s="293"/>
      <c r="J1058" s="417"/>
      <c r="L1058" s="506"/>
      <c r="M1058" s="506"/>
      <c r="N1058" s="505"/>
      <c r="P1058" s="293"/>
      <c r="S1058" s="293"/>
      <c r="X1058" s="293"/>
    </row>
    <row r="1059">
      <c r="B1059" s="293"/>
      <c r="D1059" s="293"/>
      <c r="E1059" s="293"/>
      <c r="G1059" s="505"/>
      <c r="H1059" s="293"/>
      <c r="I1059" s="293"/>
      <c r="J1059" s="417"/>
      <c r="L1059" s="506"/>
      <c r="M1059" s="506"/>
      <c r="N1059" s="505"/>
      <c r="P1059" s="293"/>
      <c r="S1059" s="293"/>
      <c r="X1059" s="293"/>
    </row>
    <row r="1060">
      <c r="B1060" s="293"/>
      <c r="D1060" s="293"/>
      <c r="E1060" s="293"/>
      <c r="G1060" s="505"/>
      <c r="H1060" s="293"/>
      <c r="I1060" s="293"/>
      <c r="J1060" s="417"/>
      <c r="L1060" s="506"/>
      <c r="M1060" s="506"/>
      <c r="N1060" s="505"/>
      <c r="P1060" s="293"/>
      <c r="S1060" s="293"/>
      <c r="X1060" s="293"/>
    </row>
    <row r="1061">
      <c r="B1061" s="293"/>
      <c r="D1061" s="293"/>
      <c r="E1061" s="293"/>
      <c r="G1061" s="505"/>
      <c r="H1061" s="293"/>
      <c r="I1061" s="293"/>
      <c r="J1061" s="417"/>
      <c r="L1061" s="506"/>
      <c r="M1061" s="506"/>
      <c r="N1061" s="505"/>
      <c r="P1061" s="293"/>
      <c r="S1061" s="293"/>
      <c r="X1061" s="293"/>
    </row>
    <row r="1062">
      <c r="B1062" s="293"/>
      <c r="D1062" s="293"/>
      <c r="E1062" s="293"/>
      <c r="G1062" s="505"/>
      <c r="H1062" s="293"/>
      <c r="I1062" s="293"/>
      <c r="J1062" s="417"/>
      <c r="L1062" s="506"/>
      <c r="M1062" s="506"/>
      <c r="N1062" s="505"/>
      <c r="P1062" s="293"/>
      <c r="S1062" s="293"/>
      <c r="X1062" s="293"/>
    </row>
    <row r="1063">
      <c r="B1063" s="293"/>
      <c r="D1063" s="293"/>
      <c r="E1063" s="293"/>
      <c r="G1063" s="505"/>
      <c r="H1063" s="293"/>
      <c r="I1063" s="293"/>
      <c r="J1063" s="417"/>
      <c r="L1063" s="506"/>
      <c r="M1063" s="506"/>
      <c r="N1063" s="505"/>
      <c r="P1063" s="293"/>
      <c r="S1063" s="293"/>
      <c r="X1063" s="293"/>
    </row>
    <row r="1064">
      <c r="B1064" s="293"/>
      <c r="D1064" s="293"/>
      <c r="E1064" s="293"/>
      <c r="G1064" s="505"/>
      <c r="H1064" s="293"/>
      <c r="I1064" s="293"/>
      <c r="J1064" s="417"/>
      <c r="L1064" s="506"/>
      <c r="M1064" s="506"/>
      <c r="N1064" s="505"/>
      <c r="P1064" s="293"/>
      <c r="S1064" s="293"/>
      <c r="X1064" s="293"/>
    </row>
    <row r="1065">
      <c r="B1065" s="293"/>
      <c r="D1065" s="293"/>
      <c r="E1065" s="293"/>
      <c r="G1065" s="505"/>
      <c r="H1065" s="293"/>
      <c r="I1065" s="293"/>
      <c r="J1065" s="417"/>
      <c r="L1065" s="506"/>
      <c r="M1065" s="506"/>
      <c r="N1065" s="505"/>
      <c r="P1065" s="293"/>
      <c r="S1065" s="293"/>
      <c r="X1065" s="293"/>
    </row>
    <row r="1066">
      <c r="B1066" s="293"/>
      <c r="D1066" s="293"/>
      <c r="E1066" s="293"/>
      <c r="G1066" s="505"/>
      <c r="H1066" s="293"/>
      <c r="I1066" s="293"/>
      <c r="J1066" s="417"/>
      <c r="L1066" s="506"/>
      <c r="M1066" s="506"/>
      <c r="N1066" s="505"/>
      <c r="P1066" s="293"/>
      <c r="S1066" s="293"/>
      <c r="X1066" s="293"/>
    </row>
    <row r="1067">
      <c r="B1067" s="293"/>
      <c r="D1067" s="293"/>
      <c r="E1067" s="293"/>
      <c r="G1067" s="505"/>
      <c r="H1067" s="293"/>
      <c r="I1067" s="293"/>
      <c r="J1067" s="417"/>
      <c r="L1067" s="506"/>
      <c r="M1067" s="506"/>
      <c r="N1067" s="505"/>
      <c r="P1067" s="293"/>
      <c r="S1067" s="293"/>
      <c r="X1067" s="293"/>
    </row>
    <row r="1068">
      <c r="B1068" s="293"/>
      <c r="D1068" s="293"/>
      <c r="E1068" s="293"/>
      <c r="G1068" s="505"/>
      <c r="H1068" s="293"/>
      <c r="I1068" s="293"/>
      <c r="J1068" s="417"/>
      <c r="L1068" s="506"/>
      <c r="M1068" s="506"/>
      <c r="N1068" s="505"/>
      <c r="P1068" s="293"/>
      <c r="S1068" s="293"/>
      <c r="X1068" s="293"/>
    </row>
    <row r="1069">
      <c r="B1069" s="293"/>
      <c r="D1069" s="293"/>
      <c r="E1069" s="293"/>
      <c r="G1069" s="505"/>
      <c r="H1069" s="293"/>
      <c r="I1069" s="293"/>
      <c r="J1069" s="417"/>
      <c r="L1069" s="506"/>
      <c r="M1069" s="506"/>
      <c r="N1069" s="505"/>
      <c r="P1069" s="293"/>
      <c r="S1069" s="293"/>
      <c r="X1069" s="293"/>
    </row>
    <row r="1070">
      <c r="B1070" s="293"/>
      <c r="D1070" s="293"/>
      <c r="E1070" s="293"/>
      <c r="G1070" s="505"/>
      <c r="H1070" s="293"/>
      <c r="I1070" s="293"/>
      <c r="J1070" s="417"/>
      <c r="L1070" s="506"/>
      <c r="M1070" s="506"/>
      <c r="N1070" s="505"/>
      <c r="P1070" s="293"/>
      <c r="S1070" s="293"/>
      <c r="X1070" s="293"/>
    </row>
    <row r="1071">
      <c r="B1071" s="293"/>
      <c r="D1071" s="293"/>
      <c r="E1071" s="293"/>
      <c r="G1071" s="505"/>
      <c r="H1071" s="293"/>
      <c r="I1071" s="293"/>
      <c r="J1071" s="417"/>
      <c r="L1071" s="506"/>
      <c r="M1071" s="506"/>
      <c r="N1071" s="505"/>
      <c r="P1071" s="293"/>
      <c r="S1071" s="293"/>
      <c r="X1071" s="293"/>
    </row>
    <row r="1072">
      <c r="B1072" s="293"/>
      <c r="D1072" s="293"/>
      <c r="E1072" s="293"/>
      <c r="G1072" s="505"/>
      <c r="H1072" s="293"/>
      <c r="I1072" s="293"/>
      <c r="J1072" s="417"/>
      <c r="L1072" s="506"/>
      <c r="M1072" s="506"/>
      <c r="N1072" s="505"/>
      <c r="P1072" s="293"/>
      <c r="S1072" s="293"/>
      <c r="X1072" s="293"/>
    </row>
    <row r="1073">
      <c r="B1073" s="293"/>
      <c r="D1073" s="293"/>
      <c r="E1073" s="293"/>
      <c r="G1073" s="505"/>
      <c r="H1073" s="293"/>
      <c r="I1073" s="293"/>
      <c r="J1073" s="417"/>
      <c r="L1073" s="506"/>
      <c r="M1073" s="506"/>
      <c r="N1073" s="505"/>
      <c r="P1073" s="293"/>
      <c r="S1073" s="293"/>
      <c r="X1073" s="293"/>
    </row>
    <row r="1074">
      <c r="B1074" s="293"/>
      <c r="D1074" s="293"/>
      <c r="E1074" s="293"/>
      <c r="G1074" s="505"/>
      <c r="H1074" s="293"/>
      <c r="I1074" s="293"/>
      <c r="J1074" s="417"/>
      <c r="L1074" s="506"/>
      <c r="M1074" s="506"/>
      <c r="N1074" s="505"/>
      <c r="P1074" s="293"/>
      <c r="S1074" s="293"/>
      <c r="X1074" s="293"/>
    </row>
    <row r="1075">
      <c r="B1075" s="293"/>
      <c r="D1075" s="293"/>
      <c r="E1075" s="293"/>
      <c r="G1075" s="505"/>
      <c r="H1075" s="293"/>
      <c r="I1075" s="293"/>
      <c r="J1075" s="417"/>
      <c r="L1075" s="506"/>
      <c r="M1075" s="506"/>
      <c r="N1075" s="505"/>
      <c r="P1075" s="293"/>
      <c r="S1075" s="293"/>
      <c r="X1075" s="293"/>
    </row>
    <row r="1076">
      <c r="B1076" s="293"/>
      <c r="D1076" s="293"/>
      <c r="E1076" s="293"/>
      <c r="G1076" s="505"/>
      <c r="H1076" s="293"/>
      <c r="I1076" s="293"/>
      <c r="J1076" s="417"/>
      <c r="L1076" s="506"/>
      <c r="M1076" s="506"/>
      <c r="N1076" s="505"/>
      <c r="P1076" s="293"/>
      <c r="S1076" s="293"/>
      <c r="X1076" s="293"/>
    </row>
    <row r="1077">
      <c r="B1077" s="293"/>
      <c r="D1077" s="293"/>
      <c r="E1077" s="293"/>
      <c r="G1077" s="505"/>
      <c r="H1077" s="293"/>
      <c r="I1077" s="293"/>
      <c r="J1077" s="417"/>
      <c r="L1077" s="506"/>
      <c r="M1077" s="506"/>
      <c r="N1077" s="505"/>
      <c r="P1077" s="293"/>
      <c r="S1077" s="293"/>
      <c r="X1077" s="293"/>
    </row>
    <row r="1078">
      <c r="B1078" s="293"/>
      <c r="D1078" s="293"/>
      <c r="E1078" s="293"/>
      <c r="G1078" s="505"/>
      <c r="H1078" s="293"/>
      <c r="I1078" s="293"/>
      <c r="J1078" s="417"/>
      <c r="L1078" s="506"/>
      <c r="M1078" s="506"/>
      <c r="N1078" s="505"/>
      <c r="P1078" s="293"/>
      <c r="S1078" s="293"/>
      <c r="X1078" s="293"/>
    </row>
    <row r="1079">
      <c r="B1079" s="293"/>
      <c r="D1079" s="293"/>
      <c r="E1079" s="293"/>
      <c r="G1079" s="505"/>
      <c r="H1079" s="293"/>
      <c r="I1079" s="293"/>
      <c r="J1079" s="417"/>
      <c r="L1079" s="506"/>
      <c r="M1079" s="506"/>
      <c r="N1079" s="505"/>
      <c r="P1079" s="293"/>
      <c r="S1079" s="293"/>
      <c r="X1079" s="293"/>
    </row>
    <row r="1080">
      <c r="B1080" s="293"/>
      <c r="D1080" s="293"/>
      <c r="E1080" s="293"/>
      <c r="G1080" s="505"/>
      <c r="H1080" s="293"/>
      <c r="I1080" s="293"/>
      <c r="J1080" s="417"/>
      <c r="L1080" s="506"/>
      <c r="M1080" s="506"/>
      <c r="N1080" s="505"/>
      <c r="P1080" s="293"/>
      <c r="S1080" s="293"/>
      <c r="X1080" s="293"/>
    </row>
    <row r="1081">
      <c r="B1081" s="293"/>
      <c r="D1081" s="293"/>
      <c r="E1081" s="293"/>
      <c r="G1081" s="505"/>
      <c r="H1081" s="293"/>
      <c r="I1081" s="293"/>
      <c r="J1081" s="417"/>
      <c r="L1081" s="506"/>
      <c r="M1081" s="506"/>
      <c r="N1081" s="505"/>
      <c r="P1081" s="293"/>
      <c r="S1081" s="293"/>
      <c r="X1081" s="293"/>
    </row>
    <row r="1082">
      <c r="B1082" s="293"/>
      <c r="D1082" s="293"/>
      <c r="E1082" s="293"/>
      <c r="G1082" s="505"/>
      <c r="H1082" s="293"/>
      <c r="I1082" s="293"/>
      <c r="J1082" s="417"/>
      <c r="L1082" s="506"/>
      <c r="M1082" s="506"/>
      <c r="N1082" s="505"/>
      <c r="P1082" s="293"/>
      <c r="S1082" s="293"/>
      <c r="X1082" s="293"/>
    </row>
    <row r="1083">
      <c r="B1083" s="293"/>
      <c r="D1083" s="293"/>
      <c r="E1083" s="293"/>
      <c r="G1083" s="505"/>
      <c r="H1083" s="293"/>
      <c r="I1083" s="293"/>
      <c r="J1083" s="417"/>
      <c r="L1083" s="506"/>
      <c r="M1083" s="506"/>
      <c r="N1083" s="505"/>
      <c r="P1083" s="293"/>
      <c r="S1083" s="293"/>
      <c r="X1083" s="293"/>
    </row>
    <row r="1084">
      <c r="B1084" s="293"/>
      <c r="D1084" s="293"/>
      <c r="E1084" s="293"/>
      <c r="G1084" s="505"/>
      <c r="H1084" s="293"/>
      <c r="I1084" s="293"/>
      <c r="J1084" s="417"/>
      <c r="L1084" s="506"/>
      <c r="M1084" s="506"/>
      <c r="N1084" s="505"/>
      <c r="P1084" s="293"/>
      <c r="S1084" s="293"/>
      <c r="X1084" s="293"/>
    </row>
    <row r="1085">
      <c r="B1085" s="293"/>
      <c r="D1085" s="293"/>
      <c r="E1085" s="293"/>
      <c r="G1085" s="505"/>
      <c r="H1085" s="293"/>
      <c r="I1085" s="293"/>
      <c r="J1085" s="417"/>
      <c r="L1085" s="506"/>
      <c r="M1085" s="506"/>
      <c r="N1085" s="505"/>
      <c r="P1085" s="293"/>
      <c r="S1085" s="293"/>
      <c r="X1085" s="293"/>
    </row>
    <row r="1086">
      <c r="B1086" s="293"/>
      <c r="D1086" s="293"/>
      <c r="E1086" s="293"/>
      <c r="G1086" s="505"/>
      <c r="H1086" s="293"/>
      <c r="I1086" s="293"/>
      <c r="J1086" s="417"/>
      <c r="L1086" s="506"/>
      <c r="M1086" s="506"/>
      <c r="N1086" s="505"/>
      <c r="P1086" s="293"/>
      <c r="S1086" s="293"/>
      <c r="X1086" s="293"/>
    </row>
    <row r="1087">
      <c r="B1087" s="293"/>
      <c r="D1087" s="293"/>
      <c r="E1087" s="293"/>
      <c r="G1087" s="505"/>
      <c r="H1087" s="293"/>
      <c r="I1087" s="293"/>
      <c r="J1087" s="417"/>
      <c r="L1087" s="506"/>
      <c r="M1087" s="506"/>
      <c r="N1087" s="505"/>
      <c r="P1087" s="293"/>
      <c r="S1087" s="293"/>
      <c r="X1087" s="293"/>
    </row>
    <row r="1088">
      <c r="B1088" s="293"/>
      <c r="D1088" s="293"/>
      <c r="E1088" s="293"/>
      <c r="G1088" s="505"/>
      <c r="H1088" s="293"/>
      <c r="I1088" s="293"/>
      <c r="J1088" s="417"/>
      <c r="L1088" s="506"/>
      <c r="M1088" s="506"/>
      <c r="N1088" s="505"/>
      <c r="P1088" s="293"/>
      <c r="S1088" s="293"/>
      <c r="X1088" s="293"/>
    </row>
    <row r="1089">
      <c r="B1089" s="293"/>
      <c r="D1089" s="293"/>
      <c r="E1089" s="293"/>
      <c r="G1089" s="505"/>
      <c r="H1089" s="293"/>
      <c r="I1089" s="293"/>
      <c r="J1089" s="417"/>
      <c r="L1089" s="506"/>
      <c r="M1089" s="506"/>
      <c r="N1089" s="505"/>
      <c r="P1089" s="293"/>
      <c r="S1089" s="293"/>
      <c r="X1089" s="293"/>
    </row>
    <row r="1090">
      <c r="B1090" s="293"/>
      <c r="D1090" s="293"/>
      <c r="E1090" s="293"/>
      <c r="G1090" s="505"/>
      <c r="H1090" s="293"/>
      <c r="I1090" s="293"/>
      <c r="J1090" s="417"/>
      <c r="L1090" s="506"/>
      <c r="M1090" s="506"/>
      <c r="N1090" s="505"/>
      <c r="P1090" s="293"/>
      <c r="S1090" s="293"/>
      <c r="X1090" s="293"/>
    </row>
    <row r="1091">
      <c r="B1091" s="293"/>
      <c r="D1091" s="293"/>
      <c r="E1091" s="293"/>
      <c r="G1091" s="505"/>
      <c r="H1091" s="293"/>
      <c r="I1091" s="293"/>
      <c r="J1091" s="417"/>
      <c r="L1091" s="506"/>
      <c r="M1091" s="506"/>
      <c r="N1091" s="505"/>
      <c r="P1091" s="293"/>
      <c r="S1091" s="293"/>
      <c r="X1091" s="293"/>
    </row>
    <row r="1092">
      <c r="B1092" s="293"/>
      <c r="D1092" s="293"/>
      <c r="E1092" s="293"/>
      <c r="G1092" s="505"/>
      <c r="H1092" s="293"/>
      <c r="I1092" s="293"/>
      <c r="J1092" s="417"/>
      <c r="L1092" s="506"/>
      <c r="M1092" s="506"/>
      <c r="N1092" s="505"/>
      <c r="P1092" s="293"/>
      <c r="S1092" s="293"/>
      <c r="X1092" s="293"/>
    </row>
    <row r="1093">
      <c r="B1093" s="293"/>
      <c r="D1093" s="293"/>
      <c r="E1093" s="293"/>
      <c r="G1093" s="505"/>
      <c r="H1093" s="293"/>
      <c r="I1093" s="293"/>
      <c r="J1093" s="417"/>
      <c r="L1093" s="506"/>
      <c r="M1093" s="506"/>
      <c r="N1093" s="505"/>
      <c r="P1093" s="293"/>
      <c r="S1093" s="293"/>
      <c r="X1093" s="293"/>
    </row>
    <row r="1094">
      <c r="B1094" s="293"/>
      <c r="D1094" s="293"/>
      <c r="E1094" s="293"/>
      <c r="G1094" s="505"/>
      <c r="H1094" s="293"/>
      <c r="I1094" s="293"/>
      <c r="J1094" s="417"/>
      <c r="L1094" s="506"/>
      <c r="M1094" s="506"/>
      <c r="N1094" s="505"/>
      <c r="P1094" s="293"/>
      <c r="S1094" s="293"/>
      <c r="X1094" s="293"/>
    </row>
    <row r="1095">
      <c r="B1095" s="293"/>
      <c r="D1095" s="293"/>
      <c r="E1095" s="293"/>
      <c r="G1095" s="505"/>
      <c r="H1095" s="293"/>
      <c r="I1095" s="293"/>
      <c r="J1095" s="417"/>
      <c r="L1095" s="506"/>
      <c r="M1095" s="506"/>
      <c r="N1095" s="505"/>
      <c r="P1095" s="293"/>
      <c r="S1095" s="293"/>
      <c r="X1095" s="293"/>
    </row>
    <row r="1096">
      <c r="B1096" s="293"/>
      <c r="D1096" s="293"/>
      <c r="E1096" s="293"/>
      <c r="G1096" s="505"/>
      <c r="H1096" s="293"/>
      <c r="I1096" s="293"/>
      <c r="J1096" s="417"/>
      <c r="L1096" s="506"/>
      <c r="M1096" s="506"/>
      <c r="N1096" s="505"/>
      <c r="P1096" s="293"/>
      <c r="S1096" s="293"/>
      <c r="X1096" s="293"/>
    </row>
    <row r="1097">
      <c r="B1097" s="293"/>
      <c r="D1097" s="293"/>
      <c r="E1097" s="293"/>
      <c r="G1097" s="505"/>
      <c r="H1097" s="293"/>
      <c r="I1097" s="293"/>
      <c r="J1097" s="417"/>
      <c r="L1097" s="506"/>
      <c r="M1097" s="506"/>
      <c r="N1097" s="505"/>
      <c r="P1097" s="293"/>
      <c r="S1097" s="293"/>
      <c r="X1097" s="293"/>
    </row>
    <row r="1098">
      <c r="B1098" s="293"/>
      <c r="D1098" s="293"/>
      <c r="E1098" s="293"/>
      <c r="G1098" s="505"/>
      <c r="H1098" s="293"/>
      <c r="I1098" s="293"/>
      <c r="J1098" s="417"/>
      <c r="L1098" s="506"/>
      <c r="M1098" s="506"/>
      <c r="N1098" s="505"/>
      <c r="P1098" s="293"/>
      <c r="S1098" s="293"/>
      <c r="X1098" s="293"/>
    </row>
    <row r="1099">
      <c r="B1099" s="293"/>
      <c r="D1099" s="293"/>
      <c r="E1099" s="293"/>
      <c r="G1099" s="505"/>
      <c r="H1099" s="293"/>
      <c r="I1099" s="293"/>
      <c r="J1099" s="417"/>
      <c r="L1099" s="506"/>
      <c r="M1099" s="506"/>
      <c r="N1099" s="505"/>
      <c r="P1099" s="293"/>
      <c r="S1099" s="293"/>
      <c r="X1099" s="293"/>
    </row>
    <row r="1100">
      <c r="B1100" s="293"/>
      <c r="D1100" s="293"/>
      <c r="E1100" s="293"/>
      <c r="G1100" s="505"/>
      <c r="H1100" s="293"/>
      <c r="I1100" s="293"/>
      <c r="J1100" s="417"/>
      <c r="L1100" s="506"/>
      <c r="M1100" s="506"/>
      <c r="N1100" s="505"/>
      <c r="P1100" s="293"/>
      <c r="S1100" s="293"/>
      <c r="X1100" s="293"/>
    </row>
    <row r="1101">
      <c r="B1101" s="293"/>
      <c r="D1101" s="293"/>
      <c r="E1101" s="293"/>
      <c r="G1101" s="505"/>
      <c r="H1101" s="293"/>
      <c r="I1101" s="293"/>
      <c r="J1101" s="417"/>
      <c r="L1101" s="506"/>
      <c r="M1101" s="506"/>
      <c r="N1101" s="505"/>
      <c r="P1101" s="293"/>
      <c r="S1101" s="293"/>
      <c r="X1101" s="293"/>
    </row>
    <row r="1102">
      <c r="B1102" s="293"/>
      <c r="D1102" s="293"/>
      <c r="E1102" s="293"/>
      <c r="G1102" s="505"/>
      <c r="H1102" s="293"/>
      <c r="I1102" s="293"/>
      <c r="J1102" s="417"/>
      <c r="L1102" s="506"/>
      <c r="M1102" s="506"/>
      <c r="N1102" s="505"/>
      <c r="P1102" s="293"/>
      <c r="S1102" s="293"/>
      <c r="X1102" s="293"/>
    </row>
  </sheetData>
  <mergeCells count="18">
    <mergeCell ref="L4:L5"/>
    <mergeCell ref="M4:M5"/>
    <mergeCell ref="N4:N5"/>
    <mergeCell ref="O4:R4"/>
    <mergeCell ref="T4:W4"/>
    <mergeCell ref="X4:X5"/>
    <mergeCell ref="G4:J4"/>
    <mergeCell ref="A7:W7"/>
    <mergeCell ref="A56:W56"/>
    <mergeCell ref="A124:W124"/>
    <mergeCell ref="A185:V185"/>
    <mergeCell ref="A1:S1"/>
    <mergeCell ref="A2:S2"/>
    <mergeCell ref="A4:A5"/>
    <mergeCell ref="B4:C4"/>
    <mergeCell ref="D4:F4"/>
    <mergeCell ref="K4:K5"/>
    <mergeCell ref="S4:S5"/>
  </mergeCells>
  <conditionalFormatting sqref="T8:W14">
    <cfRule type="containsText" dxfId="5" priority="1" operator="containsText" text="T">
      <formula>NOT(ISERROR(SEARCH(("T"),(T8))))</formula>
    </cfRule>
  </conditionalFormatting>
  <conditionalFormatting sqref="T8:W14">
    <cfRule type="expression" dxfId="6" priority="2">
      <formula>$C8="T"</formula>
    </cfRule>
  </conditionalFormatting>
  <conditionalFormatting sqref="T8:W14">
    <cfRule type="expression" dxfId="6" priority="3">
      <formula>$F8="T"</formula>
    </cfRule>
  </conditionalFormatting>
  <conditionalFormatting sqref="T8:W14">
    <cfRule type="expression" dxfId="6" priority="4">
      <formula>$H8="T"</formula>
    </cfRule>
  </conditionalFormatting>
  <conditionalFormatting sqref="O8:R55 O57:R123 O125:R184 O186:R207 T8:W55 T57:W123 T186:W207">
    <cfRule type="cellIs" dxfId="4" priority="5" operator="equal">
      <formula>"Y"</formula>
    </cfRule>
  </conditionalFormatting>
  <conditionalFormatting sqref="O8:R55 O57:R123 O125:R184 O186:R207 T8:W55 T57:W123 T186:W207">
    <cfRule type="cellIs" dxfId="1" priority="6" operator="equal">
      <formula>"T"</formula>
    </cfRule>
  </conditionalFormatting>
  <dataValidations>
    <dataValidation type="list" allowBlank="1" showErrorMessage="1" sqref="O8:R55 T8:W55 O57:R123 T57:W123 O125:R184 T125:W184 O186:R207">
      <formula1>"T,Y"</formula1>
    </dataValidation>
    <dataValidation type="list" allowBlank="1" showErrorMessage="1" sqref="J8:J44 J46:J55 J57:J123 J125:J184 J186:J207 T186:W207">
      <formula1>"Y,T"</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1.22" defaultRowHeight="15.0"/>
  <cols>
    <col customWidth="1" min="1" max="1" width="7.11"/>
    <col customWidth="1" min="2" max="2" width="15.22"/>
    <col customWidth="1" min="3" max="3" width="6.22"/>
    <col customWidth="1" min="4" max="4" width="20.44"/>
    <col customWidth="1" min="5" max="6" width="6.44"/>
    <col customWidth="1" min="7" max="7" width="6.56"/>
    <col customWidth="1" min="8" max="8" width="8.22"/>
    <col customWidth="1" min="9" max="9" width="75.56"/>
    <col customWidth="1" min="10" max="10" width="15.56"/>
    <col customWidth="1" min="11" max="11" width="50.67"/>
    <col customWidth="1" min="12" max="12" width="12.11"/>
    <col customWidth="1" min="13" max="13" width="56.11"/>
    <col customWidth="1" min="14" max="14" width="15.67"/>
    <col customWidth="1" min="15" max="15" width="60.0"/>
    <col customWidth="1" min="16" max="16" width="15.67"/>
    <col customWidth="1" min="17" max="17" width="54.56"/>
    <col customWidth="1" min="18" max="18" width="15.67"/>
    <col customWidth="1" min="19" max="19" width="19.78"/>
    <col customWidth="1" min="20" max="20" width="23.0"/>
    <col customWidth="1" min="21" max="21" width="20.56"/>
    <col customWidth="1" min="22" max="22" width="18.44"/>
    <col customWidth="1" min="23" max="23" width="17.44"/>
    <col customWidth="1" min="24" max="28" width="9.0"/>
  </cols>
  <sheetData>
    <row r="1" ht="61.5" customHeight="1">
      <c r="A1" s="4" t="str">
        <f>'KKLEAD II'!A1:N1</f>
        <v>PENJAMINAN KUALITAS HASIL PENILAIAN MANDIRI MATURITAS PENYELENGGARAAN SPIP
PEMERINTAH DAERAH …
Periode Penilaian 01 Juli 20XX-1 sampai dengan 30 Juni 20XX</v>
      </c>
    </row>
    <row r="2" ht="69.0" customHeight="1">
      <c r="A2" s="507" t="s">
        <v>1623</v>
      </c>
      <c r="J2" s="507"/>
      <c r="K2" s="507"/>
      <c r="T2" s="508" t="s">
        <v>104</v>
      </c>
      <c r="U2" s="7"/>
      <c r="V2" s="509" t="s">
        <v>105</v>
      </c>
      <c r="W2" s="510"/>
    </row>
    <row r="3">
      <c r="A3" s="511" t="s">
        <v>106</v>
      </c>
      <c r="B3" s="138" t="s">
        <v>107</v>
      </c>
      <c r="C3" s="138" t="s">
        <v>108</v>
      </c>
      <c r="D3" s="138" t="s">
        <v>109</v>
      </c>
      <c r="E3" s="512" t="s">
        <v>110</v>
      </c>
      <c r="F3" s="62"/>
      <c r="G3" s="63"/>
      <c r="H3" s="513" t="s">
        <v>1624</v>
      </c>
      <c r="I3" s="138" t="s">
        <v>1625</v>
      </c>
      <c r="J3" s="514" t="s">
        <v>1626</v>
      </c>
      <c r="K3" s="515" t="s">
        <v>1525</v>
      </c>
      <c r="L3" s="63"/>
      <c r="M3" s="516" t="s">
        <v>1627</v>
      </c>
      <c r="N3" s="63"/>
      <c r="O3" s="516" t="s">
        <v>999</v>
      </c>
      <c r="P3" s="63"/>
      <c r="Q3" s="516" t="s">
        <v>1306</v>
      </c>
      <c r="R3" s="63"/>
      <c r="S3" s="517" t="s">
        <v>1628</v>
      </c>
      <c r="T3" s="518" t="s">
        <v>1629</v>
      </c>
      <c r="U3" s="518" t="s">
        <v>1630</v>
      </c>
      <c r="V3" s="518" t="s">
        <v>1631</v>
      </c>
      <c r="W3" s="518" t="s">
        <v>1632</v>
      </c>
    </row>
    <row r="4">
      <c r="A4" s="210"/>
      <c r="B4" s="138"/>
      <c r="C4" s="138"/>
      <c r="D4" s="138"/>
      <c r="E4" s="138" t="s">
        <v>119</v>
      </c>
      <c r="F4" s="138" t="s">
        <v>120</v>
      </c>
      <c r="G4" s="138" t="s">
        <v>58</v>
      </c>
      <c r="H4" s="138"/>
      <c r="I4" s="138"/>
      <c r="J4" s="514"/>
      <c r="K4" s="519" t="s">
        <v>1633</v>
      </c>
      <c r="L4" s="520" t="s">
        <v>1634</v>
      </c>
      <c r="M4" s="519" t="s">
        <v>1633</v>
      </c>
      <c r="N4" s="519" t="s">
        <v>1634</v>
      </c>
      <c r="O4" s="519" t="s">
        <v>1633</v>
      </c>
      <c r="P4" s="520" t="s">
        <v>1634</v>
      </c>
      <c r="Q4" s="519" t="s">
        <v>1633</v>
      </c>
      <c r="R4" s="520" t="s">
        <v>1634</v>
      </c>
      <c r="S4" s="210"/>
      <c r="T4" s="210"/>
      <c r="U4" s="210"/>
      <c r="V4" s="210"/>
      <c r="W4" s="210"/>
    </row>
    <row r="5">
      <c r="A5" s="144" t="s">
        <v>121</v>
      </c>
      <c r="B5" s="143" t="s">
        <v>122</v>
      </c>
      <c r="C5" s="62"/>
      <c r="D5" s="62"/>
      <c r="E5" s="62"/>
      <c r="F5" s="62"/>
      <c r="G5" s="63"/>
      <c r="H5" s="144"/>
      <c r="I5" s="144"/>
      <c r="J5" s="521"/>
      <c r="K5" s="522"/>
      <c r="L5" s="523"/>
      <c r="M5" s="521"/>
      <c r="N5" s="521"/>
      <c r="O5" s="521"/>
      <c r="P5" s="523"/>
      <c r="Q5" s="523"/>
      <c r="R5" s="523"/>
      <c r="S5" s="524">
        <f>S6</f>
        <v>3</v>
      </c>
      <c r="T5" s="525"/>
      <c r="U5" s="525"/>
      <c r="V5" s="526"/>
      <c r="W5" s="525"/>
    </row>
    <row r="6">
      <c r="A6" s="100"/>
      <c r="B6" s="100"/>
      <c r="C6" s="100">
        <v>1.0</v>
      </c>
      <c r="D6" s="58" t="s">
        <v>1635</v>
      </c>
      <c r="E6" s="82" t="s">
        <v>119</v>
      </c>
      <c r="F6" s="150" t="s">
        <v>124</v>
      </c>
      <c r="G6" s="150" t="s">
        <v>124</v>
      </c>
      <c r="H6" s="82" t="s">
        <v>1636</v>
      </c>
      <c r="I6" s="94" t="s">
        <v>1637</v>
      </c>
      <c r="J6" s="527" t="s">
        <v>1638</v>
      </c>
      <c r="K6" s="528" t="s">
        <v>1639</v>
      </c>
      <c r="L6" s="529">
        <v>4.0</v>
      </c>
      <c r="M6" s="530" t="s">
        <v>1640</v>
      </c>
      <c r="N6" s="531">
        <v>3.0</v>
      </c>
      <c r="O6" s="40" t="s">
        <v>1641</v>
      </c>
      <c r="P6" s="100">
        <v>3.0</v>
      </c>
      <c r="Q6" s="532" t="s">
        <v>1642</v>
      </c>
      <c r="R6" s="533">
        <v>3.0</v>
      </c>
      <c r="S6" s="534">
        <f>_xlfn.MODE.SNGL(K6:R10)</f>
        <v>3</v>
      </c>
      <c r="T6" s="535"/>
      <c r="U6" s="535"/>
      <c r="V6" s="535"/>
      <c r="W6" s="535"/>
    </row>
    <row r="7">
      <c r="A7" s="536"/>
      <c r="B7" s="536"/>
      <c r="C7" s="536"/>
      <c r="D7" s="536"/>
      <c r="E7" s="82" t="s">
        <v>119</v>
      </c>
      <c r="F7" s="150" t="s">
        <v>124</v>
      </c>
      <c r="G7" s="150" t="s">
        <v>124</v>
      </c>
      <c r="H7" s="82" t="s">
        <v>1643</v>
      </c>
      <c r="I7" s="94" t="s">
        <v>1644</v>
      </c>
      <c r="J7" s="537"/>
      <c r="K7" s="536"/>
      <c r="L7" s="536"/>
      <c r="M7" s="538"/>
      <c r="N7" s="536"/>
      <c r="O7" s="536"/>
      <c r="P7" s="536"/>
      <c r="Q7" s="539"/>
      <c r="R7" s="539"/>
      <c r="S7" s="538"/>
      <c r="T7" s="536"/>
      <c r="U7" s="536"/>
      <c r="V7" s="536"/>
      <c r="W7" s="536"/>
    </row>
    <row r="8">
      <c r="A8" s="536"/>
      <c r="B8" s="536"/>
      <c r="C8" s="536"/>
      <c r="D8" s="536"/>
      <c r="E8" s="82" t="s">
        <v>119</v>
      </c>
      <c r="F8" s="150" t="s">
        <v>124</v>
      </c>
      <c r="G8" s="150" t="s">
        <v>124</v>
      </c>
      <c r="H8" s="82" t="s">
        <v>1645</v>
      </c>
      <c r="I8" s="94" t="s">
        <v>1646</v>
      </c>
      <c r="J8" s="537"/>
      <c r="K8" s="536"/>
      <c r="L8" s="536"/>
      <c r="M8" s="538"/>
      <c r="N8" s="536"/>
      <c r="O8" s="536"/>
      <c r="P8" s="536"/>
      <c r="Q8" s="539"/>
      <c r="R8" s="539"/>
      <c r="S8" s="538"/>
      <c r="T8" s="536"/>
      <c r="U8" s="536"/>
      <c r="V8" s="536"/>
      <c r="W8" s="536"/>
    </row>
    <row r="9">
      <c r="A9" s="536"/>
      <c r="B9" s="536"/>
      <c r="C9" s="536"/>
      <c r="D9" s="536"/>
      <c r="E9" s="82" t="s">
        <v>119</v>
      </c>
      <c r="F9" s="150" t="s">
        <v>124</v>
      </c>
      <c r="G9" s="150" t="s">
        <v>124</v>
      </c>
      <c r="H9" s="82" t="s">
        <v>1638</v>
      </c>
      <c r="I9" s="94" t="s">
        <v>1647</v>
      </c>
      <c r="J9" s="537"/>
      <c r="K9" s="536"/>
      <c r="L9" s="536"/>
      <c r="M9" s="538"/>
      <c r="N9" s="536"/>
      <c r="O9" s="536"/>
      <c r="P9" s="536"/>
      <c r="Q9" s="539"/>
      <c r="R9" s="539"/>
      <c r="S9" s="538"/>
      <c r="T9" s="536"/>
      <c r="U9" s="536"/>
      <c r="V9" s="536"/>
      <c r="W9" s="536"/>
    </row>
    <row r="10" ht="389.25" customHeight="1">
      <c r="A10" s="210"/>
      <c r="B10" s="210"/>
      <c r="C10" s="210"/>
      <c r="D10" s="210"/>
      <c r="E10" s="82" t="s">
        <v>119</v>
      </c>
      <c r="F10" s="150" t="s">
        <v>124</v>
      </c>
      <c r="G10" s="150" t="s">
        <v>124</v>
      </c>
      <c r="H10" s="82" t="s">
        <v>1648</v>
      </c>
      <c r="I10" s="94" t="s">
        <v>1649</v>
      </c>
      <c r="J10" s="540"/>
      <c r="K10" s="210"/>
      <c r="L10" s="210"/>
      <c r="M10" s="213"/>
      <c r="N10" s="210"/>
      <c r="O10" s="210"/>
      <c r="P10" s="210"/>
      <c r="Q10" s="440"/>
      <c r="R10" s="440"/>
      <c r="S10" s="213"/>
      <c r="T10" s="210"/>
      <c r="U10" s="210"/>
      <c r="V10" s="210"/>
      <c r="W10" s="210"/>
    </row>
    <row r="11">
      <c r="A11" s="144" t="s">
        <v>132</v>
      </c>
      <c r="B11" s="143" t="s">
        <v>133</v>
      </c>
      <c r="C11" s="62"/>
      <c r="D11" s="62"/>
      <c r="E11" s="62"/>
      <c r="F11" s="62"/>
      <c r="G11" s="63"/>
      <c r="H11" s="144"/>
      <c r="I11" s="144"/>
      <c r="J11" s="541"/>
      <c r="K11" s="542"/>
      <c r="L11" s="543"/>
      <c r="M11" s="544"/>
      <c r="N11" s="545"/>
      <c r="O11" s="546"/>
      <c r="P11" s="547">
        <v>3.0</v>
      </c>
      <c r="Q11" s="547"/>
      <c r="R11" s="547"/>
      <c r="S11" s="548">
        <f>S12</f>
        <v>3</v>
      </c>
      <c r="T11" s="525"/>
      <c r="U11" s="525"/>
      <c r="V11" s="526"/>
      <c r="W11" s="525"/>
    </row>
    <row r="12" ht="51.75" customHeight="1">
      <c r="A12" s="100"/>
      <c r="B12" s="100"/>
      <c r="C12" s="100">
        <v>1.0</v>
      </c>
      <c r="D12" s="58" t="s">
        <v>134</v>
      </c>
      <c r="E12" s="82" t="s">
        <v>119</v>
      </c>
      <c r="F12" s="150" t="s">
        <v>124</v>
      </c>
      <c r="G12" s="150" t="s">
        <v>124</v>
      </c>
      <c r="H12" s="82" t="s">
        <v>1636</v>
      </c>
      <c r="I12" s="94" t="s">
        <v>1650</v>
      </c>
      <c r="J12" s="527" t="s">
        <v>1638</v>
      </c>
      <c r="K12" s="528" t="s">
        <v>1651</v>
      </c>
      <c r="L12" s="529">
        <v>4.0</v>
      </c>
      <c r="M12" s="549" t="s">
        <v>1652</v>
      </c>
      <c r="N12" s="550">
        <v>3.0</v>
      </c>
      <c r="O12" s="40" t="s">
        <v>1653</v>
      </c>
      <c r="P12" s="100">
        <v>3.0</v>
      </c>
      <c r="Q12" s="532" t="s">
        <v>1654</v>
      </c>
      <c r="R12" s="533">
        <v>3.0</v>
      </c>
      <c r="S12" s="534">
        <f>_xlfn.MODE.SNGL(K12:R16)</f>
        <v>3</v>
      </c>
      <c r="T12" s="535"/>
      <c r="U12" s="535"/>
      <c r="V12" s="535">
        <v>4.0</v>
      </c>
      <c r="W12" s="535" t="s">
        <v>1655</v>
      </c>
    </row>
    <row r="13" ht="64.5" customHeight="1">
      <c r="A13" s="536"/>
      <c r="B13" s="536"/>
      <c r="C13" s="536"/>
      <c r="D13" s="536"/>
      <c r="E13" s="82" t="s">
        <v>119</v>
      </c>
      <c r="F13" s="150" t="s">
        <v>124</v>
      </c>
      <c r="G13" s="150" t="s">
        <v>124</v>
      </c>
      <c r="H13" s="82" t="s">
        <v>1643</v>
      </c>
      <c r="I13" s="94" t="s">
        <v>1656</v>
      </c>
      <c r="J13" s="537"/>
      <c r="K13" s="536"/>
      <c r="L13" s="536"/>
      <c r="M13" s="538"/>
      <c r="N13" s="536"/>
      <c r="O13" s="536"/>
      <c r="P13" s="536"/>
      <c r="Q13" s="539"/>
      <c r="R13" s="539"/>
      <c r="S13" s="538"/>
      <c r="T13" s="536"/>
      <c r="U13" s="536"/>
      <c r="V13" s="536"/>
      <c r="W13" s="536"/>
    </row>
    <row r="14" ht="42.75" customHeight="1">
      <c r="A14" s="536"/>
      <c r="B14" s="536"/>
      <c r="C14" s="536"/>
      <c r="D14" s="536"/>
      <c r="E14" s="82" t="s">
        <v>119</v>
      </c>
      <c r="F14" s="150" t="s">
        <v>124</v>
      </c>
      <c r="G14" s="150" t="s">
        <v>124</v>
      </c>
      <c r="H14" s="82" t="s">
        <v>1645</v>
      </c>
      <c r="I14" s="94" t="s">
        <v>1657</v>
      </c>
      <c r="J14" s="537"/>
      <c r="K14" s="536"/>
      <c r="L14" s="536"/>
      <c r="M14" s="538"/>
      <c r="N14" s="536"/>
      <c r="O14" s="536"/>
      <c r="P14" s="536"/>
      <c r="Q14" s="539"/>
      <c r="R14" s="539"/>
      <c r="S14" s="538"/>
      <c r="T14" s="536"/>
      <c r="U14" s="536"/>
      <c r="V14" s="536"/>
      <c r="W14" s="536"/>
    </row>
    <row r="15">
      <c r="A15" s="536"/>
      <c r="B15" s="536"/>
      <c r="C15" s="536"/>
      <c r="D15" s="536"/>
      <c r="E15" s="82" t="s">
        <v>119</v>
      </c>
      <c r="F15" s="150" t="s">
        <v>124</v>
      </c>
      <c r="G15" s="150" t="s">
        <v>124</v>
      </c>
      <c r="H15" s="82" t="s">
        <v>1638</v>
      </c>
      <c r="I15" s="94" t="s">
        <v>1658</v>
      </c>
      <c r="J15" s="537"/>
      <c r="K15" s="536"/>
      <c r="L15" s="536"/>
      <c r="M15" s="538"/>
      <c r="N15" s="536"/>
      <c r="O15" s="536"/>
      <c r="P15" s="536"/>
      <c r="Q15" s="539"/>
      <c r="R15" s="539"/>
      <c r="S15" s="538"/>
      <c r="T15" s="536"/>
      <c r="U15" s="536"/>
      <c r="V15" s="536"/>
      <c r="W15" s="536"/>
    </row>
    <row r="16" ht="104.25" customHeight="1">
      <c r="A16" s="210"/>
      <c r="B16" s="210"/>
      <c r="C16" s="210"/>
      <c r="D16" s="210"/>
      <c r="E16" s="82" t="s">
        <v>119</v>
      </c>
      <c r="F16" s="150" t="s">
        <v>124</v>
      </c>
      <c r="G16" s="150" t="s">
        <v>124</v>
      </c>
      <c r="H16" s="82" t="s">
        <v>1648</v>
      </c>
      <c r="I16" s="94" t="s">
        <v>1659</v>
      </c>
      <c r="J16" s="540"/>
      <c r="K16" s="210"/>
      <c r="L16" s="210"/>
      <c r="M16" s="213"/>
      <c r="N16" s="210"/>
      <c r="O16" s="210"/>
      <c r="P16" s="210"/>
      <c r="Q16" s="440"/>
      <c r="R16" s="440"/>
      <c r="S16" s="213"/>
      <c r="T16" s="210"/>
      <c r="U16" s="210"/>
      <c r="V16" s="210"/>
      <c r="W16" s="210"/>
    </row>
    <row r="17">
      <c r="A17" s="144" t="s">
        <v>135</v>
      </c>
      <c r="B17" s="143" t="s">
        <v>136</v>
      </c>
      <c r="C17" s="62"/>
      <c r="D17" s="62"/>
      <c r="E17" s="62"/>
      <c r="F17" s="62"/>
      <c r="G17" s="63"/>
      <c r="H17" s="144"/>
      <c r="I17" s="144"/>
      <c r="J17" s="551"/>
      <c r="K17" s="542"/>
      <c r="L17" s="543"/>
      <c r="M17" s="544"/>
      <c r="N17" s="552"/>
      <c r="O17" s="553"/>
      <c r="P17" s="547" t="s">
        <v>1660</v>
      </c>
      <c r="Q17" s="547"/>
      <c r="R17" s="547"/>
      <c r="S17" s="548">
        <f>S18</f>
        <v>4</v>
      </c>
      <c r="T17" s="525"/>
      <c r="U17" s="525"/>
      <c r="V17" s="526"/>
      <c r="W17" s="525"/>
    </row>
    <row r="18" ht="60.0" customHeight="1">
      <c r="A18" s="100"/>
      <c r="B18" s="100"/>
      <c r="C18" s="100">
        <v>1.0</v>
      </c>
      <c r="D18" s="58" t="s">
        <v>1661</v>
      </c>
      <c r="E18" s="82" t="s">
        <v>119</v>
      </c>
      <c r="F18" s="150" t="s">
        <v>124</v>
      </c>
      <c r="G18" s="150" t="s">
        <v>124</v>
      </c>
      <c r="H18" s="82" t="s">
        <v>1636</v>
      </c>
      <c r="I18" s="50" t="s">
        <v>1662</v>
      </c>
      <c r="J18" s="527" t="s">
        <v>1638</v>
      </c>
      <c r="K18" s="528" t="s">
        <v>1663</v>
      </c>
      <c r="L18" s="529">
        <v>4.0</v>
      </c>
      <c r="M18" s="549" t="s">
        <v>1664</v>
      </c>
      <c r="N18" s="550">
        <v>4.0</v>
      </c>
      <c r="O18" s="554" t="s">
        <v>1665</v>
      </c>
      <c r="P18" s="555">
        <v>4.0</v>
      </c>
      <c r="Q18" s="532" t="s">
        <v>1666</v>
      </c>
      <c r="R18" s="533">
        <v>3.0</v>
      </c>
      <c r="S18" s="534">
        <f>_xlfn.MODE.SNGL(K18:R22)</f>
        <v>4</v>
      </c>
      <c r="T18" s="535"/>
      <c r="U18" s="535"/>
      <c r="V18" s="535"/>
      <c r="W18" s="535"/>
    </row>
    <row r="19" ht="66.0" customHeight="1">
      <c r="A19" s="536"/>
      <c r="B19" s="536"/>
      <c r="C19" s="536"/>
      <c r="D19" s="536"/>
      <c r="E19" s="82" t="s">
        <v>119</v>
      </c>
      <c r="F19" s="150" t="s">
        <v>124</v>
      </c>
      <c r="G19" s="150" t="s">
        <v>124</v>
      </c>
      <c r="H19" s="82" t="s">
        <v>1643</v>
      </c>
      <c r="I19" s="50" t="s">
        <v>1667</v>
      </c>
      <c r="J19" s="537"/>
      <c r="K19" s="536"/>
      <c r="L19" s="536"/>
      <c r="M19" s="538"/>
      <c r="N19" s="536"/>
      <c r="O19" s="536"/>
      <c r="P19" s="536"/>
      <c r="Q19" s="539"/>
      <c r="R19" s="539"/>
      <c r="S19" s="538"/>
      <c r="T19" s="536"/>
      <c r="U19" s="536"/>
      <c r="V19" s="536"/>
      <c r="W19" s="536"/>
    </row>
    <row r="20">
      <c r="A20" s="536"/>
      <c r="B20" s="536"/>
      <c r="C20" s="536"/>
      <c r="D20" s="536"/>
      <c r="E20" s="82" t="s">
        <v>119</v>
      </c>
      <c r="F20" s="150" t="s">
        <v>124</v>
      </c>
      <c r="G20" s="150" t="s">
        <v>124</v>
      </c>
      <c r="H20" s="82" t="s">
        <v>1645</v>
      </c>
      <c r="I20" s="50" t="s">
        <v>1668</v>
      </c>
      <c r="J20" s="537"/>
      <c r="K20" s="536"/>
      <c r="L20" s="536"/>
      <c r="M20" s="538"/>
      <c r="N20" s="536"/>
      <c r="O20" s="536"/>
      <c r="P20" s="536"/>
      <c r="Q20" s="539"/>
      <c r="R20" s="539"/>
      <c r="S20" s="538"/>
      <c r="T20" s="536"/>
      <c r="U20" s="536"/>
      <c r="V20" s="536"/>
      <c r="W20" s="536"/>
    </row>
    <row r="21" ht="27.75" customHeight="1">
      <c r="A21" s="536"/>
      <c r="B21" s="536"/>
      <c r="C21" s="536"/>
      <c r="D21" s="536"/>
      <c r="E21" s="82" t="s">
        <v>119</v>
      </c>
      <c r="F21" s="150" t="s">
        <v>124</v>
      </c>
      <c r="G21" s="150" t="s">
        <v>124</v>
      </c>
      <c r="H21" s="82" t="s">
        <v>1638</v>
      </c>
      <c r="I21" s="50" t="s">
        <v>1669</v>
      </c>
      <c r="J21" s="537"/>
      <c r="K21" s="536"/>
      <c r="L21" s="536"/>
      <c r="M21" s="538"/>
      <c r="N21" s="536"/>
      <c r="O21" s="536"/>
      <c r="P21" s="536"/>
      <c r="Q21" s="539"/>
      <c r="R21" s="539"/>
      <c r="S21" s="538"/>
      <c r="T21" s="536"/>
      <c r="U21" s="536"/>
      <c r="V21" s="536"/>
      <c r="W21" s="536"/>
    </row>
    <row r="22" ht="74.25" customHeight="1">
      <c r="A22" s="536"/>
      <c r="B22" s="536"/>
      <c r="C22" s="210"/>
      <c r="D22" s="210"/>
      <c r="E22" s="82" t="s">
        <v>119</v>
      </c>
      <c r="F22" s="150" t="s">
        <v>124</v>
      </c>
      <c r="G22" s="150" t="s">
        <v>124</v>
      </c>
      <c r="H22" s="82" t="s">
        <v>1648</v>
      </c>
      <c r="I22" s="50" t="s">
        <v>1670</v>
      </c>
      <c r="J22" s="540"/>
      <c r="K22" s="210"/>
      <c r="L22" s="210"/>
      <c r="M22" s="213"/>
      <c r="N22" s="210"/>
      <c r="O22" s="210"/>
      <c r="P22" s="210"/>
      <c r="Q22" s="440"/>
      <c r="R22" s="440"/>
      <c r="S22" s="213"/>
      <c r="T22" s="210"/>
      <c r="U22" s="210"/>
      <c r="V22" s="210"/>
      <c r="W22" s="210"/>
    </row>
    <row r="23" ht="31.5" customHeight="1">
      <c r="A23" s="536"/>
      <c r="B23" s="536"/>
      <c r="C23" s="100">
        <v>2.0</v>
      </c>
      <c r="D23" s="58" t="s">
        <v>1671</v>
      </c>
      <c r="E23" s="82" t="s">
        <v>119</v>
      </c>
      <c r="F23" s="82" t="s">
        <v>120</v>
      </c>
      <c r="G23" s="160" t="s">
        <v>124</v>
      </c>
      <c r="H23" s="82" t="s">
        <v>1636</v>
      </c>
      <c r="I23" s="50" t="s">
        <v>1672</v>
      </c>
      <c r="J23" s="527" t="s">
        <v>1638</v>
      </c>
      <c r="K23" s="556" t="s">
        <v>1673</v>
      </c>
      <c r="L23" s="557">
        <v>3.0</v>
      </c>
      <c r="M23" s="549" t="s">
        <v>1664</v>
      </c>
      <c r="N23" s="550">
        <v>3.0</v>
      </c>
      <c r="O23" s="558" t="s">
        <v>1674</v>
      </c>
      <c r="P23" s="559">
        <v>1.0</v>
      </c>
      <c r="Q23" s="532" t="s">
        <v>1666</v>
      </c>
      <c r="R23" s="533">
        <v>3.0</v>
      </c>
      <c r="S23" s="534">
        <f>_xlfn.MODE.SNGL(K23:R27)</f>
        <v>3</v>
      </c>
      <c r="T23" s="535"/>
      <c r="U23" s="535"/>
      <c r="V23" s="535"/>
      <c r="W23" s="535"/>
    </row>
    <row r="24" ht="33.0" customHeight="1">
      <c r="A24" s="536"/>
      <c r="B24" s="536"/>
      <c r="C24" s="536"/>
      <c r="D24" s="536"/>
      <c r="E24" s="82" t="s">
        <v>119</v>
      </c>
      <c r="F24" s="82" t="s">
        <v>120</v>
      </c>
      <c r="G24" s="160" t="s">
        <v>124</v>
      </c>
      <c r="H24" s="82" t="s">
        <v>1643</v>
      </c>
      <c r="I24" s="50" t="s">
        <v>1675</v>
      </c>
      <c r="J24" s="537"/>
      <c r="K24" s="536"/>
      <c r="L24" s="536"/>
      <c r="M24" s="538"/>
      <c r="N24" s="536"/>
      <c r="O24" s="536"/>
      <c r="P24" s="536"/>
      <c r="Q24" s="539"/>
      <c r="R24" s="539"/>
      <c r="S24" s="538"/>
      <c r="T24" s="536"/>
      <c r="U24" s="536"/>
      <c r="V24" s="536"/>
      <c r="W24" s="536"/>
    </row>
    <row r="25" ht="27.75" customHeight="1">
      <c r="A25" s="536"/>
      <c r="B25" s="536"/>
      <c r="C25" s="536"/>
      <c r="D25" s="536"/>
      <c r="E25" s="82" t="s">
        <v>119</v>
      </c>
      <c r="F25" s="82" t="s">
        <v>120</v>
      </c>
      <c r="G25" s="160" t="s">
        <v>124</v>
      </c>
      <c r="H25" s="82" t="s">
        <v>1645</v>
      </c>
      <c r="I25" s="50" t="s">
        <v>1676</v>
      </c>
      <c r="J25" s="537"/>
      <c r="K25" s="536"/>
      <c r="L25" s="536"/>
      <c r="M25" s="538"/>
      <c r="N25" s="536"/>
      <c r="O25" s="536"/>
      <c r="P25" s="536"/>
      <c r="Q25" s="539"/>
      <c r="R25" s="539"/>
      <c r="S25" s="538"/>
      <c r="T25" s="536"/>
      <c r="U25" s="536"/>
      <c r="V25" s="536"/>
      <c r="W25" s="536"/>
    </row>
    <row r="26" ht="36.75" customHeight="1">
      <c r="A26" s="536"/>
      <c r="B26" s="536"/>
      <c r="C26" s="536"/>
      <c r="D26" s="536"/>
      <c r="E26" s="82" t="s">
        <v>119</v>
      </c>
      <c r="F26" s="82" t="s">
        <v>120</v>
      </c>
      <c r="G26" s="160" t="s">
        <v>124</v>
      </c>
      <c r="H26" s="82" t="s">
        <v>1638</v>
      </c>
      <c r="I26" s="50" t="s">
        <v>1677</v>
      </c>
      <c r="J26" s="537"/>
      <c r="K26" s="536"/>
      <c r="L26" s="536"/>
      <c r="M26" s="538"/>
      <c r="N26" s="536"/>
      <c r="O26" s="536"/>
      <c r="P26" s="536"/>
      <c r="Q26" s="539"/>
      <c r="R26" s="539"/>
      <c r="S26" s="538"/>
      <c r="T26" s="536"/>
      <c r="U26" s="536"/>
      <c r="V26" s="536"/>
      <c r="W26" s="536"/>
    </row>
    <row r="27" ht="32.25" customHeight="1">
      <c r="A27" s="536"/>
      <c r="B27" s="536"/>
      <c r="C27" s="210"/>
      <c r="D27" s="210"/>
      <c r="E27" s="82" t="s">
        <v>119</v>
      </c>
      <c r="F27" s="82" t="s">
        <v>120</v>
      </c>
      <c r="G27" s="160" t="s">
        <v>124</v>
      </c>
      <c r="H27" s="82" t="s">
        <v>1648</v>
      </c>
      <c r="I27" s="50" t="s">
        <v>1678</v>
      </c>
      <c r="J27" s="540"/>
      <c r="K27" s="210"/>
      <c r="L27" s="210"/>
      <c r="M27" s="213"/>
      <c r="N27" s="210"/>
      <c r="O27" s="210"/>
      <c r="P27" s="210"/>
      <c r="Q27" s="440"/>
      <c r="R27" s="440"/>
      <c r="S27" s="213"/>
      <c r="T27" s="210"/>
      <c r="U27" s="210"/>
      <c r="V27" s="210"/>
      <c r="W27" s="210"/>
    </row>
    <row r="28" ht="15.75" customHeight="1">
      <c r="A28" s="536"/>
      <c r="B28" s="536"/>
      <c r="C28" s="100">
        <v>3.0</v>
      </c>
      <c r="D28" s="58" t="s">
        <v>1679</v>
      </c>
      <c r="E28" s="82" t="s">
        <v>119</v>
      </c>
      <c r="F28" s="82" t="s">
        <v>120</v>
      </c>
      <c r="G28" s="160" t="s">
        <v>124</v>
      </c>
      <c r="H28" s="82" t="s">
        <v>1636</v>
      </c>
      <c r="I28" s="50" t="s">
        <v>1680</v>
      </c>
      <c r="J28" s="527" t="s">
        <v>1638</v>
      </c>
      <c r="K28" s="560" t="s">
        <v>1681</v>
      </c>
      <c r="L28" s="557">
        <v>3.0</v>
      </c>
      <c r="M28" s="549" t="s">
        <v>1664</v>
      </c>
      <c r="N28" s="561">
        <v>3.0</v>
      </c>
      <c r="O28" s="558" t="s">
        <v>1682</v>
      </c>
      <c r="P28" s="559">
        <v>1.0</v>
      </c>
      <c r="Q28" s="532" t="s">
        <v>1666</v>
      </c>
      <c r="R28" s="533">
        <v>3.0</v>
      </c>
      <c r="S28" s="534">
        <f>_xlfn.MODE.SNGL(K28:R32)</f>
        <v>3</v>
      </c>
      <c r="T28" s="535"/>
      <c r="U28" s="535"/>
      <c r="V28" s="535"/>
      <c r="W28" s="535"/>
    </row>
    <row r="29" ht="15.75" customHeight="1">
      <c r="A29" s="536"/>
      <c r="B29" s="536"/>
      <c r="C29" s="536"/>
      <c r="D29" s="536"/>
      <c r="E29" s="82" t="s">
        <v>119</v>
      </c>
      <c r="F29" s="82" t="s">
        <v>120</v>
      </c>
      <c r="G29" s="160" t="s">
        <v>124</v>
      </c>
      <c r="H29" s="82" t="s">
        <v>1643</v>
      </c>
      <c r="I29" s="50" t="s">
        <v>1683</v>
      </c>
      <c r="J29" s="537"/>
      <c r="K29" s="536"/>
      <c r="L29" s="536"/>
      <c r="M29" s="538"/>
      <c r="N29" s="536"/>
      <c r="O29" s="536"/>
      <c r="P29" s="536"/>
      <c r="Q29" s="539"/>
      <c r="R29" s="539"/>
      <c r="S29" s="538"/>
      <c r="T29" s="536"/>
      <c r="U29" s="536"/>
      <c r="V29" s="536"/>
      <c r="W29" s="536"/>
    </row>
    <row r="30" ht="15.75" customHeight="1">
      <c r="A30" s="536"/>
      <c r="B30" s="536"/>
      <c r="C30" s="536"/>
      <c r="D30" s="536"/>
      <c r="E30" s="82" t="s">
        <v>119</v>
      </c>
      <c r="F30" s="82" t="s">
        <v>120</v>
      </c>
      <c r="G30" s="160" t="s">
        <v>124</v>
      </c>
      <c r="H30" s="82" t="s">
        <v>1645</v>
      </c>
      <c r="I30" s="50" t="s">
        <v>1684</v>
      </c>
      <c r="J30" s="537"/>
      <c r="K30" s="536"/>
      <c r="L30" s="536"/>
      <c r="M30" s="538"/>
      <c r="N30" s="536"/>
      <c r="O30" s="536"/>
      <c r="P30" s="536"/>
      <c r="Q30" s="539"/>
      <c r="R30" s="539"/>
      <c r="S30" s="538"/>
      <c r="T30" s="536"/>
      <c r="U30" s="536"/>
      <c r="V30" s="536"/>
      <c r="W30" s="536"/>
    </row>
    <row r="31" ht="15.75" customHeight="1">
      <c r="A31" s="536"/>
      <c r="B31" s="536"/>
      <c r="C31" s="536"/>
      <c r="D31" s="536"/>
      <c r="E31" s="82" t="s">
        <v>119</v>
      </c>
      <c r="F31" s="82" t="s">
        <v>120</v>
      </c>
      <c r="G31" s="160" t="s">
        <v>124</v>
      </c>
      <c r="H31" s="82" t="s">
        <v>1638</v>
      </c>
      <c r="I31" s="50" t="s">
        <v>1685</v>
      </c>
      <c r="J31" s="537"/>
      <c r="K31" s="536"/>
      <c r="L31" s="536"/>
      <c r="M31" s="538"/>
      <c r="N31" s="536"/>
      <c r="O31" s="536"/>
      <c r="P31" s="536"/>
      <c r="Q31" s="539"/>
      <c r="R31" s="539"/>
      <c r="S31" s="538"/>
      <c r="T31" s="536"/>
      <c r="U31" s="536"/>
      <c r="V31" s="536"/>
      <c r="W31" s="536"/>
    </row>
    <row r="32" ht="15.75" customHeight="1">
      <c r="A32" s="536"/>
      <c r="B32" s="536"/>
      <c r="C32" s="210"/>
      <c r="D32" s="210"/>
      <c r="E32" s="82" t="s">
        <v>119</v>
      </c>
      <c r="F32" s="82" t="s">
        <v>120</v>
      </c>
      <c r="G32" s="160" t="s">
        <v>124</v>
      </c>
      <c r="H32" s="82" t="s">
        <v>1648</v>
      </c>
      <c r="I32" s="50" t="s">
        <v>1686</v>
      </c>
      <c r="J32" s="540"/>
      <c r="K32" s="210"/>
      <c r="L32" s="210"/>
      <c r="M32" s="213"/>
      <c r="N32" s="210"/>
      <c r="O32" s="210"/>
      <c r="P32" s="210"/>
      <c r="Q32" s="440"/>
      <c r="R32" s="440"/>
      <c r="S32" s="213"/>
      <c r="T32" s="210"/>
      <c r="U32" s="210"/>
      <c r="V32" s="210"/>
      <c r="W32" s="210"/>
    </row>
    <row r="33" ht="15.75" customHeight="1">
      <c r="A33" s="536"/>
      <c r="B33" s="536"/>
      <c r="C33" s="100">
        <v>4.0</v>
      </c>
      <c r="D33" s="58" t="s">
        <v>1687</v>
      </c>
      <c r="E33" s="82" t="s">
        <v>119</v>
      </c>
      <c r="F33" s="82" t="s">
        <v>120</v>
      </c>
      <c r="G33" s="160" t="s">
        <v>124</v>
      </c>
      <c r="H33" s="82" t="s">
        <v>1636</v>
      </c>
      <c r="I33" s="50" t="s">
        <v>1688</v>
      </c>
      <c r="J33" s="527" t="s">
        <v>1638</v>
      </c>
      <c r="K33" s="556" t="s">
        <v>1689</v>
      </c>
      <c r="L33" s="562">
        <v>3.0</v>
      </c>
      <c r="M33" s="549" t="s">
        <v>1664</v>
      </c>
      <c r="N33" s="561">
        <v>4.0</v>
      </c>
      <c r="O33" s="558" t="s">
        <v>1690</v>
      </c>
      <c r="P33" s="559">
        <v>1.0</v>
      </c>
      <c r="Q33" s="532" t="s">
        <v>1666</v>
      </c>
      <c r="R33" s="533">
        <v>3.0</v>
      </c>
      <c r="S33" s="534">
        <f>_xlfn.MODE.SNGL(K33:R37)</f>
        <v>3</v>
      </c>
      <c r="T33" s="535"/>
      <c r="U33" s="535"/>
      <c r="V33" s="535"/>
      <c r="W33" s="535"/>
    </row>
    <row r="34" ht="15.75" customHeight="1">
      <c r="A34" s="536"/>
      <c r="B34" s="536"/>
      <c r="C34" s="536"/>
      <c r="D34" s="536"/>
      <c r="E34" s="82" t="s">
        <v>119</v>
      </c>
      <c r="F34" s="82" t="s">
        <v>120</v>
      </c>
      <c r="G34" s="160" t="s">
        <v>124</v>
      </c>
      <c r="H34" s="82" t="s">
        <v>1643</v>
      </c>
      <c r="I34" s="50" t="s">
        <v>1691</v>
      </c>
      <c r="J34" s="537"/>
      <c r="K34" s="536"/>
      <c r="L34" s="563"/>
      <c r="M34" s="538"/>
      <c r="N34" s="536"/>
      <c r="O34" s="536"/>
      <c r="P34" s="536"/>
      <c r="Q34" s="539"/>
      <c r="R34" s="539"/>
      <c r="S34" s="538"/>
      <c r="T34" s="536"/>
      <c r="U34" s="536"/>
      <c r="V34" s="536"/>
      <c r="W34" s="536"/>
    </row>
    <row r="35" ht="15.75" customHeight="1">
      <c r="A35" s="536"/>
      <c r="B35" s="536"/>
      <c r="C35" s="536"/>
      <c r="D35" s="536"/>
      <c r="E35" s="82" t="s">
        <v>119</v>
      </c>
      <c r="F35" s="82" t="s">
        <v>120</v>
      </c>
      <c r="G35" s="160" t="s">
        <v>124</v>
      </c>
      <c r="H35" s="82" t="s">
        <v>1645</v>
      </c>
      <c r="I35" s="50" t="s">
        <v>1692</v>
      </c>
      <c r="J35" s="537"/>
      <c r="K35" s="536"/>
      <c r="L35" s="563"/>
      <c r="M35" s="538"/>
      <c r="N35" s="536"/>
      <c r="O35" s="536"/>
      <c r="P35" s="536"/>
      <c r="Q35" s="539"/>
      <c r="R35" s="539"/>
      <c r="S35" s="538"/>
      <c r="T35" s="536"/>
      <c r="U35" s="536"/>
      <c r="V35" s="536"/>
      <c r="W35" s="536"/>
    </row>
    <row r="36" ht="15.75" customHeight="1">
      <c r="A36" s="536"/>
      <c r="B36" s="536"/>
      <c r="C36" s="536"/>
      <c r="D36" s="536"/>
      <c r="E36" s="82" t="s">
        <v>119</v>
      </c>
      <c r="F36" s="82" t="s">
        <v>120</v>
      </c>
      <c r="G36" s="160" t="s">
        <v>124</v>
      </c>
      <c r="H36" s="82" t="s">
        <v>1638</v>
      </c>
      <c r="I36" s="50" t="s">
        <v>1693</v>
      </c>
      <c r="J36" s="537"/>
      <c r="K36" s="536"/>
      <c r="L36" s="563"/>
      <c r="M36" s="538"/>
      <c r="N36" s="536"/>
      <c r="O36" s="536"/>
      <c r="P36" s="536"/>
      <c r="Q36" s="539"/>
      <c r="R36" s="539"/>
      <c r="S36" s="538"/>
      <c r="T36" s="536"/>
      <c r="U36" s="536"/>
      <c r="V36" s="536"/>
      <c r="W36" s="536"/>
    </row>
    <row r="37" ht="15.75" customHeight="1">
      <c r="A37" s="210"/>
      <c r="B37" s="210"/>
      <c r="C37" s="210"/>
      <c r="D37" s="210"/>
      <c r="E37" s="82" t="s">
        <v>119</v>
      </c>
      <c r="F37" s="82" t="s">
        <v>120</v>
      </c>
      <c r="G37" s="160" t="s">
        <v>124</v>
      </c>
      <c r="H37" s="82" t="s">
        <v>1648</v>
      </c>
      <c r="I37" s="50" t="s">
        <v>1694</v>
      </c>
      <c r="J37" s="540"/>
      <c r="K37" s="210"/>
      <c r="L37" s="564"/>
      <c r="M37" s="213"/>
      <c r="N37" s="210"/>
      <c r="O37" s="210"/>
      <c r="P37" s="210"/>
      <c r="Q37" s="440"/>
      <c r="R37" s="440"/>
      <c r="S37" s="213"/>
      <c r="T37" s="210"/>
      <c r="U37" s="210"/>
      <c r="V37" s="210"/>
      <c r="W37" s="210"/>
    </row>
    <row r="38" ht="15.75" customHeight="1">
      <c r="A38" s="144" t="s">
        <v>145</v>
      </c>
      <c r="B38" s="143" t="s">
        <v>146</v>
      </c>
      <c r="C38" s="62"/>
      <c r="D38" s="63"/>
      <c r="E38" s="144"/>
      <c r="F38" s="144"/>
      <c r="G38" s="145"/>
      <c r="H38" s="144"/>
      <c r="I38" s="144"/>
      <c r="J38" s="551"/>
      <c r="K38" s="565"/>
      <c r="L38" s="543"/>
      <c r="M38" s="544"/>
      <c r="N38" s="566"/>
      <c r="O38" s="553"/>
      <c r="P38" s="567">
        <v>4.0</v>
      </c>
      <c r="Q38" s="567"/>
      <c r="R38" s="567"/>
      <c r="S38" s="548">
        <f>S39</f>
        <v>4</v>
      </c>
      <c r="T38" s="525"/>
      <c r="U38" s="525"/>
      <c r="V38" s="526"/>
      <c r="W38" s="525"/>
    </row>
    <row r="39" ht="15.75" customHeight="1">
      <c r="A39" s="100"/>
      <c r="B39" s="100"/>
      <c r="C39" s="100">
        <v>1.0</v>
      </c>
      <c r="D39" s="58" t="s">
        <v>1695</v>
      </c>
      <c r="E39" s="82" t="s">
        <v>119</v>
      </c>
      <c r="F39" s="150" t="s">
        <v>124</v>
      </c>
      <c r="G39" s="150" t="s">
        <v>124</v>
      </c>
      <c r="H39" s="82" t="s">
        <v>1636</v>
      </c>
      <c r="I39" s="50" t="s">
        <v>1696</v>
      </c>
      <c r="J39" s="568" t="s">
        <v>1638</v>
      </c>
      <c r="K39" s="528" t="s">
        <v>1697</v>
      </c>
      <c r="L39" s="529">
        <v>4.0</v>
      </c>
      <c r="M39" s="569" t="s">
        <v>1698</v>
      </c>
      <c r="N39" s="531">
        <v>4.0</v>
      </c>
      <c r="O39" s="558" t="s">
        <v>1699</v>
      </c>
      <c r="P39" s="559">
        <v>3.0</v>
      </c>
      <c r="Q39" s="532" t="s">
        <v>1700</v>
      </c>
      <c r="R39" s="533">
        <v>2.0</v>
      </c>
      <c r="S39" s="534">
        <f>_xlfn.MODE.SNGL(K39:R43)</f>
        <v>4</v>
      </c>
      <c r="T39" s="535"/>
      <c r="U39" s="535"/>
      <c r="V39" s="535"/>
      <c r="W39" s="535"/>
    </row>
    <row r="40" ht="15.75" customHeight="1">
      <c r="A40" s="536"/>
      <c r="B40" s="536"/>
      <c r="C40" s="536"/>
      <c r="D40" s="536"/>
      <c r="E40" s="82" t="s">
        <v>119</v>
      </c>
      <c r="F40" s="150" t="s">
        <v>124</v>
      </c>
      <c r="G40" s="150" t="s">
        <v>124</v>
      </c>
      <c r="H40" s="82" t="s">
        <v>1643</v>
      </c>
      <c r="I40" s="50" t="s">
        <v>1701</v>
      </c>
      <c r="J40" s="536"/>
      <c r="K40" s="536"/>
      <c r="L40" s="536"/>
      <c r="M40" s="536"/>
      <c r="N40" s="536"/>
      <c r="O40" s="536"/>
      <c r="P40" s="536"/>
      <c r="Q40" s="539"/>
      <c r="R40" s="539"/>
      <c r="S40" s="538"/>
      <c r="T40" s="536"/>
      <c r="U40" s="536"/>
      <c r="V40" s="536"/>
      <c r="W40" s="536"/>
    </row>
    <row r="41" ht="15.75" customHeight="1">
      <c r="A41" s="536"/>
      <c r="B41" s="536"/>
      <c r="C41" s="536"/>
      <c r="D41" s="536"/>
      <c r="E41" s="82" t="s">
        <v>119</v>
      </c>
      <c r="F41" s="150" t="s">
        <v>124</v>
      </c>
      <c r="G41" s="150" t="s">
        <v>124</v>
      </c>
      <c r="H41" s="82" t="s">
        <v>1645</v>
      </c>
      <c r="I41" s="50" t="s">
        <v>1702</v>
      </c>
      <c r="J41" s="536"/>
      <c r="K41" s="536"/>
      <c r="L41" s="536"/>
      <c r="M41" s="536"/>
      <c r="N41" s="536"/>
      <c r="O41" s="536"/>
      <c r="P41" s="536"/>
      <c r="Q41" s="539"/>
      <c r="R41" s="539"/>
      <c r="S41" s="538"/>
      <c r="T41" s="536"/>
      <c r="U41" s="536"/>
      <c r="V41" s="536"/>
      <c r="W41" s="536"/>
    </row>
    <row r="42" ht="15.75" customHeight="1">
      <c r="A42" s="536"/>
      <c r="B42" s="536"/>
      <c r="C42" s="536"/>
      <c r="D42" s="536"/>
      <c r="E42" s="82" t="s">
        <v>119</v>
      </c>
      <c r="F42" s="150" t="s">
        <v>124</v>
      </c>
      <c r="G42" s="150" t="s">
        <v>124</v>
      </c>
      <c r="H42" s="82" t="s">
        <v>1638</v>
      </c>
      <c r="I42" s="50" t="s">
        <v>1703</v>
      </c>
      <c r="J42" s="536"/>
      <c r="K42" s="536"/>
      <c r="L42" s="536"/>
      <c r="M42" s="536"/>
      <c r="N42" s="536"/>
      <c r="O42" s="536"/>
      <c r="P42" s="536"/>
      <c r="Q42" s="539"/>
      <c r="R42" s="539"/>
      <c r="S42" s="538"/>
      <c r="T42" s="536"/>
      <c r="U42" s="536"/>
      <c r="V42" s="536"/>
      <c r="W42" s="536"/>
    </row>
    <row r="43" ht="15.75" customHeight="1">
      <c r="A43" s="210"/>
      <c r="B43" s="210"/>
      <c r="C43" s="210"/>
      <c r="D43" s="210"/>
      <c r="E43" s="82" t="s">
        <v>119</v>
      </c>
      <c r="F43" s="150" t="s">
        <v>124</v>
      </c>
      <c r="G43" s="150" t="s">
        <v>124</v>
      </c>
      <c r="H43" s="82" t="s">
        <v>1648</v>
      </c>
      <c r="I43" s="50" t="s">
        <v>1704</v>
      </c>
      <c r="J43" s="210"/>
      <c r="K43" s="210"/>
      <c r="L43" s="210"/>
      <c r="M43" s="210"/>
      <c r="N43" s="210"/>
      <c r="O43" s="210"/>
      <c r="P43" s="210"/>
      <c r="Q43" s="440"/>
      <c r="R43" s="440"/>
      <c r="S43" s="213"/>
      <c r="T43" s="210"/>
      <c r="U43" s="210"/>
      <c r="V43" s="210"/>
      <c r="W43" s="210"/>
    </row>
    <row r="44" ht="15.75" customHeight="1">
      <c r="A44" s="144" t="s">
        <v>148</v>
      </c>
      <c r="B44" s="143" t="s">
        <v>149</v>
      </c>
      <c r="C44" s="62"/>
      <c r="D44" s="62"/>
      <c r="E44" s="62"/>
      <c r="F44" s="62"/>
      <c r="G44" s="63"/>
      <c r="H44" s="144"/>
      <c r="I44" s="144"/>
      <c r="J44" s="551"/>
      <c r="K44" s="570"/>
      <c r="L44" s="571"/>
      <c r="M44" s="544"/>
      <c r="N44" s="552"/>
      <c r="O44" s="572"/>
      <c r="P44" s="573"/>
      <c r="Q44" s="573"/>
      <c r="R44" s="573"/>
      <c r="S44" s="548">
        <f>S45</f>
        <v>5</v>
      </c>
      <c r="T44" s="525"/>
      <c r="U44" s="525"/>
      <c r="V44" s="526"/>
      <c r="W44" s="525"/>
    </row>
    <row r="45" ht="15.75" customHeight="1">
      <c r="A45" s="100"/>
      <c r="B45" s="58"/>
      <c r="C45" s="100">
        <v>1.0</v>
      </c>
      <c r="D45" s="58" t="s">
        <v>1705</v>
      </c>
      <c r="E45" s="82" t="s">
        <v>119</v>
      </c>
      <c r="F45" s="150" t="s">
        <v>124</v>
      </c>
      <c r="G45" s="150" t="s">
        <v>124</v>
      </c>
      <c r="H45" s="82" t="s">
        <v>1636</v>
      </c>
      <c r="I45" s="50" t="s">
        <v>1706</v>
      </c>
      <c r="J45" s="527" t="s">
        <v>1638</v>
      </c>
      <c r="K45" s="574" t="s">
        <v>1707</v>
      </c>
      <c r="L45" s="529">
        <v>5.0</v>
      </c>
      <c r="M45" s="549" t="s">
        <v>1708</v>
      </c>
      <c r="N45" s="550">
        <v>5.0</v>
      </c>
      <c r="O45" s="40" t="s">
        <v>1709</v>
      </c>
      <c r="P45" s="100">
        <v>3.0</v>
      </c>
      <c r="Q45" s="532" t="s">
        <v>1710</v>
      </c>
      <c r="R45" s="533">
        <v>3.0</v>
      </c>
      <c r="S45" s="534">
        <f>_xlfn.MODE.SNGL(K45:R49)</f>
        <v>5</v>
      </c>
      <c r="T45" s="535"/>
      <c r="U45" s="535"/>
      <c r="V45" s="535"/>
      <c r="W45" s="535"/>
    </row>
    <row r="46" ht="15.75" customHeight="1">
      <c r="A46" s="536"/>
      <c r="B46" s="536"/>
      <c r="C46" s="536"/>
      <c r="D46" s="536"/>
      <c r="E46" s="82" t="s">
        <v>119</v>
      </c>
      <c r="F46" s="150" t="s">
        <v>124</v>
      </c>
      <c r="G46" s="150" t="s">
        <v>124</v>
      </c>
      <c r="H46" s="82" t="s">
        <v>1643</v>
      </c>
      <c r="I46" s="50" t="s">
        <v>1711</v>
      </c>
      <c r="J46" s="537"/>
      <c r="K46" s="536"/>
      <c r="L46" s="536"/>
      <c r="M46" s="538"/>
      <c r="N46" s="536"/>
      <c r="O46" s="536"/>
      <c r="P46" s="536"/>
      <c r="Q46" s="539"/>
      <c r="R46" s="539"/>
      <c r="S46" s="538"/>
      <c r="T46" s="536"/>
      <c r="U46" s="536"/>
      <c r="V46" s="536"/>
      <c r="W46" s="536"/>
    </row>
    <row r="47" ht="15.75" customHeight="1">
      <c r="A47" s="536"/>
      <c r="B47" s="536"/>
      <c r="C47" s="536"/>
      <c r="D47" s="536"/>
      <c r="E47" s="82" t="s">
        <v>119</v>
      </c>
      <c r="F47" s="150" t="s">
        <v>124</v>
      </c>
      <c r="G47" s="150" t="s">
        <v>124</v>
      </c>
      <c r="H47" s="82" t="s">
        <v>1645</v>
      </c>
      <c r="I47" s="50" t="s">
        <v>1712</v>
      </c>
      <c r="J47" s="537"/>
      <c r="K47" s="536"/>
      <c r="L47" s="536"/>
      <c r="M47" s="538"/>
      <c r="N47" s="536"/>
      <c r="O47" s="536"/>
      <c r="P47" s="536"/>
      <c r="Q47" s="539"/>
      <c r="R47" s="539"/>
      <c r="S47" s="538"/>
      <c r="T47" s="536"/>
      <c r="U47" s="536"/>
      <c r="V47" s="536"/>
      <c r="W47" s="536"/>
    </row>
    <row r="48" ht="15.75" customHeight="1">
      <c r="A48" s="536"/>
      <c r="B48" s="536"/>
      <c r="C48" s="536"/>
      <c r="D48" s="536"/>
      <c r="E48" s="82" t="s">
        <v>119</v>
      </c>
      <c r="F48" s="150" t="s">
        <v>124</v>
      </c>
      <c r="G48" s="150" t="s">
        <v>124</v>
      </c>
      <c r="H48" s="82" t="s">
        <v>1638</v>
      </c>
      <c r="I48" s="50" t="s">
        <v>1713</v>
      </c>
      <c r="J48" s="537"/>
      <c r="K48" s="536"/>
      <c r="L48" s="536"/>
      <c r="M48" s="538"/>
      <c r="N48" s="536"/>
      <c r="O48" s="536"/>
      <c r="P48" s="536"/>
      <c r="Q48" s="539"/>
      <c r="R48" s="539"/>
      <c r="S48" s="538"/>
      <c r="T48" s="536"/>
      <c r="U48" s="536"/>
      <c r="V48" s="536"/>
      <c r="W48" s="536"/>
    </row>
    <row r="49" ht="15.75" customHeight="1">
      <c r="A49" s="210"/>
      <c r="B49" s="210"/>
      <c r="C49" s="210"/>
      <c r="D49" s="210"/>
      <c r="E49" s="82" t="s">
        <v>119</v>
      </c>
      <c r="F49" s="150" t="s">
        <v>124</v>
      </c>
      <c r="G49" s="150" t="s">
        <v>124</v>
      </c>
      <c r="H49" s="82" t="s">
        <v>1648</v>
      </c>
      <c r="I49" s="50" t="s">
        <v>1714</v>
      </c>
      <c r="J49" s="540"/>
      <c r="K49" s="210"/>
      <c r="L49" s="210"/>
      <c r="M49" s="213"/>
      <c r="N49" s="210"/>
      <c r="O49" s="210"/>
      <c r="P49" s="210"/>
      <c r="Q49" s="440"/>
      <c r="R49" s="440"/>
      <c r="S49" s="213"/>
      <c r="T49" s="210"/>
      <c r="U49" s="210"/>
      <c r="V49" s="210"/>
      <c r="W49" s="210"/>
    </row>
    <row r="50" ht="15.75" customHeight="1">
      <c r="A50" s="144" t="s">
        <v>151</v>
      </c>
      <c r="B50" s="575" t="s">
        <v>152</v>
      </c>
      <c r="C50" s="62"/>
      <c r="D50" s="62"/>
      <c r="E50" s="62"/>
      <c r="F50" s="62"/>
      <c r="G50" s="63"/>
      <c r="H50" s="144"/>
      <c r="I50" s="144"/>
      <c r="J50" s="551"/>
      <c r="K50" s="542"/>
      <c r="L50" s="543"/>
      <c r="M50" s="544"/>
      <c r="N50" s="552"/>
      <c r="O50" s="553"/>
      <c r="P50" s="576">
        <v>2.333333333E9</v>
      </c>
      <c r="Q50" s="576"/>
      <c r="R50" s="576"/>
      <c r="S50" s="548">
        <f>AVERAGE(S51:S65)</f>
        <v>3</v>
      </c>
      <c r="T50" s="525"/>
      <c r="U50" s="525"/>
      <c r="V50" s="526"/>
      <c r="W50" s="525"/>
    </row>
    <row r="51" ht="15.75" customHeight="1">
      <c r="A51" s="100"/>
      <c r="B51" s="100"/>
      <c r="C51" s="100">
        <v>1.0</v>
      </c>
      <c r="D51" s="58" t="s">
        <v>153</v>
      </c>
      <c r="E51" s="82" t="s">
        <v>119</v>
      </c>
      <c r="F51" s="150" t="s">
        <v>124</v>
      </c>
      <c r="G51" s="150" t="s">
        <v>124</v>
      </c>
      <c r="H51" s="82" t="s">
        <v>1636</v>
      </c>
      <c r="I51" s="94" t="s">
        <v>1715</v>
      </c>
      <c r="J51" s="527" t="s">
        <v>1638</v>
      </c>
      <c r="K51" s="528" t="s">
        <v>1716</v>
      </c>
      <c r="L51" s="529">
        <v>3.0</v>
      </c>
      <c r="M51" s="549" t="s">
        <v>1717</v>
      </c>
      <c r="N51" s="550">
        <v>3.0</v>
      </c>
      <c r="O51" s="554" t="s">
        <v>1718</v>
      </c>
      <c r="P51" s="555">
        <v>3.0</v>
      </c>
      <c r="Q51" s="532" t="s">
        <v>1719</v>
      </c>
      <c r="R51" s="533">
        <v>4.0</v>
      </c>
      <c r="S51" s="534">
        <f>_xlfn.MODE.SNGL(K51:R55)</f>
        <v>3</v>
      </c>
      <c r="T51" s="535"/>
      <c r="U51" s="535"/>
      <c r="V51" s="535"/>
      <c r="W51" s="535"/>
    </row>
    <row r="52" ht="15.75" customHeight="1">
      <c r="A52" s="536"/>
      <c r="B52" s="536"/>
      <c r="C52" s="536"/>
      <c r="D52" s="536"/>
      <c r="E52" s="82" t="s">
        <v>119</v>
      </c>
      <c r="F52" s="150" t="s">
        <v>124</v>
      </c>
      <c r="G52" s="150" t="s">
        <v>124</v>
      </c>
      <c r="H52" s="82" t="s">
        <v>1643</v>
      </c>
      <c r="I52" s="94" t="s">
        <v>1720</v>
      </c>
      <c r="J52" s="537"/>
      <c r="K52" s="536"/>
      <c r="L52" s="536"/>
      <c r="M52" s="538"/>
      <c r="N52" s="536"/>
      <c r="O52" s="536"/>
      <c r="P52" s="536"/>
      <c r="Q52" s="539"/>
      <c r="R52" s="539"/>
      <c r="S52" s="538"/>
      <c r="T52" s="536"/>
      <c r="U52" s="536"/>
      <c r="V52" s="536"/>
      <c r="W52" s="536"/>
    </row>
    <row r="53" ht="15.75" customHeight="1">
      <c r="A53" s="536"/>
      <c r="B53" s="536"/>
      <c r="C53" s="536"/>
      <c r="D53" s="536"/>
      <c r="E53" s="82" t="s">
        <v>119</v>
      </c>
      <c r="F53" s="150" t="s">
        <v>124</v>
      </c>
      <c r="G53" s="150" t="s">
        <v>124</v>
      </c>
      <c r="H53" s="82" t="s">
        <v>1645</v>
      </c>
      <c r="I53" s="94" t="s">
        <v>1721</v>
      </c>
      <c r="J53" s="537"/>
      <c r="K53" s="536"/>
      <c r="L53" s="536"/>
      <c r="M53" s="538"/>
      <c r="N53" s="536"/>
      <c r="O53" s="536"/>
      <c r="P53" s="536"/>
      <c r="Q53" s="539"/>
      <c r="R53" s="539"/>
      <c r="S53" s="538"/>
      <c r="T53" s="536"/>
      <c r="U53" s="536"/>
      <c r="V53" s="536"/>
      <c r="W53" s="536"/>
    </row>
    <row r="54" ht="15.75" customHeight="1">
      <c r="A54" s="536"/>
      <c r="B54" s="536"/>
      <c r="C54" s="536"/>
      <c r="D54" s="536"/>
      <c r="E54" s="82" t="s">
        <v>119</v>
      </c>
      <c r="F54" s="150" t="s">
        <v>124</v>
      </c>
      <c r="G54" s="150" t="s">
        <v>124</v>
      </c>
      <c r="H54" s="82" t="s">
        <v>1638</v>
      </c>
      <c r="I54" s="94" t="s">
        <v>1722</v>
      </c>
      <c r="J54" s="537"/>
      <c r="K54" s="536"/>
      <c r="L54" s="536"/>
      <c r="M54" s="538"/>
      <c r="N54" s="536"/>
      <c r="O54" s="536"/>
      <c r="P54" s="536"/>
      <c r="Q54" s="539"/>
      <c r="R54" s="539"/>
      <c r="S54" s="538"/>
      <c r="T54" s="536"/>
      <c r="U54" s="536"/>
      <c r="V54" s="536"/>
      <c r="W54" s="536"/>
    </row>
    <row r="55" ht="55.5" customHeight="1">
      <c r="A55" s="536"/>
      <c r="B55" s="536"/>
      <c r="C55" s="210"/>
      <c r="D55" s="210"/>
      <c r="E55" s="82" t="s">
        <v>119</v>
      </c>
      <c r="F55" s="150" t="s">
        <v>124</v>
      </c>
      <c r="G55" s="150" t="s">
        <v>124</v>
      </c>
      <c r="H55" s="82" t="s">
        <v>1648</v>
      </c>
      <c r="I55" s="94" t="s">
        <v>1723</v>
      </c>
      <c r="J55" s="540"/>
      <c r="K55" s="210"/>
      <c r="L55" s="210"/>
      <c r="M55" s="213"/>
      <c r="N55" s="210"/>
      <c r="O55" s="210"/>
      <c r="P55" s="210"/>
      <c r="Q55" s="440"/>
      <c r="R55" s="440"/>
      <c r="S55" s="213"/>
      <c r="T55" s="210"/>
      <c r="U55" s="210"/>
      <c r="V55" s="210"/>
      <c r="W55" s="210"/>
    </row>
    <row r="56" ht="15.75" customHeight="1">
      <c r="A56" s="536"/>
      <c r="B56" s="536"/>
      <c r="C56" s="100">
        <v>2.0</v>
      </c>
      <c r="D56" s="58" t="s">
        <v>154</v>
      </c>
      <c r="E56" s="82" t="s">
        <v>119</v>
      </c>
      <c r="F56" s="82" t="s">
        <v>120</v>
      </c>
      <c r="G56" s="160" t="s">
        <v>124</v>
      </c>
      <c r="H56" s="82" t="s">
        <v>1636</v>
      </c>
      <c r="I56" s="94" t="s">
        <v>1724</v>
      </c>
      <c r="J56" s="527" t="s">
        <v>1638</v>
      </c>
      <c r="K56" s="556" t="s">
        <v>1725</v>
      </c>
      <c r="L56" s="557">
        <v>3.0</v>
      </c>
      <c r="M56" s="549" t="s">
        <v>1726</v>
      </c>
      <c r="N56" s="550">
        <v>2.0</v>
      </c>
      <c r="O56" s="40" t="s">
        <v>1727</v>
      </c>
      <c r="P56" s="100">
        <v>3.0</v>
      </c>
      <c r="Q56" s="532" t="s">
        <v>1719</v>
      </c>
      <c r="R56" s="533">
        <v>3.0</v>
      </c>
      <c r="S56" s="577">
        <f>_xlfn.MODE.SNGL(K56:R60)</f>
        <v>3</v>
      </c>
      <c r="T56" s="535"/>
      <c r="U56" s="535"/>
      <c r="V56" s="535"/>
      <c r="W56" s="535"/>
      <c r="Z56" s="185" t="s">
        <v>1728</v>
      </c>
    </row>
    <row r="57" ht="15.75" customHeight="1">
      <c r="A57" s="536"/>
      <c r="B57" s="536"/>
      <c r="C57" s="536"/>
      <c r="D57" s="536"/>
      <c r="E57" s="82" t="s">
        <v>119</v>
      </c>
      <c r="F57" s="82" t="s">
        <v>120</v>
      </c>
      <c r="G57" s="160" t="s">
        <v>124</v>
      </c>
      <c r="H57" s="82" t="s">
        <v>1643</v>
      </c>
      <c r="I57" s="94" t="s">
        <v>1729</v>
      </c>
      <c r="J57" s="537"/>
      <c r="K57" s="536"/>
      <c r="L57" s="536"/>
      <c r="M57" s="538"/>
      <c r="N57" s="536"/>
      <c r="O57" s="536"/>
      <c r="P57" s="536"/>
      <c r="Q57" s="539"/>
      <c r="R57" s="539"/>
      <c r="S57" s="538"/>
      <c r="T57" s="536"/>
      <c r="U57" s="536"/>
      <c r="V57" s="536"/>
      <c r="W57" s="536"/>
    </row>
    <row r="58" ht="15.75" customHeight="1">
      <c r="A58" s="536"/>
      <c r="B58" s="536"/>
      <c r="C58" s="536"/>
      <c r="D58" s="536"/>
      <c r="E58" s="82" t="s">
        <v>119</v>
      </c>
      <c r="F58" s="82" t="s">
        <v>120</v>
      </c>
      <c r="G58" s="160" t="s">
        <v>124</v>
      </c>
      <c r="H58" s="82" t="s">
        <v>1645</v>
      </c>
      <c r="I58" s="94" t="s">
        <v>1730</v>
      </c>
      <c r="J58" s="537"/>
      <c r="K58" s="536"/>
      <c r="L58" s="536"/>
      <c r="M58" s="538"/>
      <c r="N58" s="536"/>
      <c r="O58" s="536"/>
      <c r="P58" s="536"/>
      <c r="Q58" s="539"/>
      <c r="R58" s="539"/>
      <c r="S58" s="538"/>
      <c r="T58" s="536"/>
      <c r="U58" s="536"/>
      <c r="V58" s="536"/>
      <c r="W58" s="536"/>
    </row>
    <row r="59" ht="50.25" customHeight="1">
      <c r="A59" s="536"/>
      <c r="B59" s="536"/>
      <c r="C59" s="536"/>
      <c r="D59" s="536"/>
      <c r="E59" s="82" t="s">
        <v>119</v>
      </c>
      <c r="F59" s="82" t="s">
        <v>120</v>
      </c>
      <c r="G59" s="160" t="s">
        <v>124</v>
      </c>
      <c r="H59" s="82" t="s">
        <v>1638</v>
      </c>
      <c r="I59" s="94" t="s">
        <v>1731</v>
      </c>
      <c r="J59" s="537"/>
      <c r="K59" s="536"/>
      <c r="L59" s="536"/>
      <c r="M59" s="538"/>
      <c r="N59" s="536"/>
      <c r="O59" s="536"/>
      <c r="P59" s="536"/>
      <c r="Q59" s="539"/>
      <c r="R59" s="539"/>
      <c r="S59" s="538"/>
      <c r="T59" s="536"/>
      <c r="U59" s="536"/>
      <c r="V59" s="536"/>
      <c r="W59" s="536"/>
      <c r="Z59" s="185" t="s">
        <v>1728</v>
      </c>
    </row>
    <row r="60" ht="39.75" customHeight="1">
      <c r="A60" s="536"/>
      <c r="B60" s="536"/>
      <c r="C60" s="210"/>
      <c r="D60" s="210"/>
      <c r="E60" s="82" t="s">
        <v>119</v>
      </c>
      <c r="F60" s="82" t="s">
        <v>120</v>
      </c>
      <c r="G60" s="160" t="s">
        <v>124</v>
      </c>
      <c r="H60" s="82" t="s">
        <v>1648</v>
      </c>
      <c r="I60" s="94" t="s">
        <v>1732</v>
      </c>
      <c r="J60" s="540"/>
      <c r="K60" s="210"/>
      <c r="L60" s="210"/>
      <c r="M60" s="213"/>
      <c r="N60" s="210"/>
      <c r="O60" s="210"/>
      <c r="P60" s="210"/>
      <c r="Q60" s="440"/>
      <c r="R60" s="440"/>
      <c r="S60" s="213"/>
      <c r="T60" s="210"/>
      <c r="U60" s="210"/>
      <c r="V60" s="210"/>
      <c r="W60" s="210"/>
    </row>
    <row r="61" ht="15.75" customHeight="1">
      <c r="A61" s="536"/>
      <c r="B61" s="536"/>
      <c r="C61" s="100">
        <v>3.0</v>
      </c>
      <c r="D61" s="58" t="s">
        <v>156</v>
      </c>
      <c r="E61" s="82" t="s">
        <v>119</v>
      </c>
      <c r="F61" s="82" t="s">
        <v>120</v>
      </c>
      <c r="G61" s="160" t="s">
        <v>124</v>
      </c>
      <c r="H61" s="578" t="s">
        <v>1636</v>
      </c>
      <c r="I61" s="579" t="s">
        <v>1733</v>
      </c>
      <c r="J61" s="527" t="s">
        <v>1638</v>
      </c>
      <c r="K61" s="580" t="s">
        <v>1734</v>
      </c>
      <c r="L61" s="557">
        <v>3.0</v>
      </c>
      <c r="M61" s="549" t="s">
        <v>1735</v>
      </c>
      <c r="N61" s="550">
        <v>3.0</v>
      </c>
      <c r="O61" s="40" t="s">
        <v>1736</v>
      </c>
      <c r="P61" s="100">
        <v>3.0</v>
      </c>
      <c r="Q61" s="532" t="s">
        <v>1719</v>
      </c>
      <c r="R61" s="533">
        <v>3.0</v>
      </c>
      <c r="S61" s="534">
        <f>_xlfn.MODE.SNGL(K61:R65)</f>
        <v>3</v>
      </c>
      <c r="T61" s="535"/>
      <c r="U61" s="535"/>
      <c r="V61" s="535"/>
      <c r="W61" s="535"/>
    </row>
    <row r="62" ht="15.75" customHeight="1">
      <c r="A62" s="536"/>
      <c r="B62" s="536"/>
      <c r="C62" s="536"/>
      <c r="D62" s="536"/>
      <c r="E62" s="82" t="s">
        <v>119</v>
      </c>
      <c r="F62" s="82" t="s">
        <v>120</v>
      </c>
      <c r="G62" s="160" t="s">
        <v>124</v>
      </c>
      <c r="H62" s="578" t="s">
        <v>1643</v>
      </c>
      <c r="I62" s="579" t="s">
        <v>1737</v>
      </c>
      <c r="J62" s="537"/>
      <c r="K62" s="538"/>
      <c r="L62" s="536"/>
      <c r="M62" s="538"/>
      <c r="N62" s="536"/>
      <c r="O62" s="536"/>
      <c r="P62" s="536"/>
      <c r="Q62" s="539"/>
      <c r="R62" s="539"/>
      <c r="S62" s="538"/>
      <c r="T62" s="536"/>
      <c r="U62" s="536"/>
      <c r="V62" s="536"/>
      <c r="W62" s="536"/>
    </row>
    <row r="63" ht="15.75" customHeight="1">
      <c r="A63" s="536"/>
      <c r="B63" s="536"/>
      <c r="C63" s="536"/>
      <c r="D63" s="536"/>
      <c r="E63" s="82" t="s">
        <v>119</v>
      </c>
      <c r="F63" s="82" t="s">
        <v>120</v>
      </c>
      <c r="G63" s="160" t="s">
        <v>124</v>
      </c>
      <c r="H63" s="578" t="s">
        <v>1645</v>
      </c>
      <c r="I63" s="579" t="s">
        <v>1738</v>
      </c>
      <c r="J63" s="537"/>
      <c r="K63" s="538"/>
      <c r="L63" s="536"/>
      <c r="M63" s="538"/>
      <c r="N63" s="536"/>
      <c r="O63" s="536"/>
      <c r="P63" s="536"/>
      <c r="Q63" s="539"/>
      <c r="R63" s="539"/>
      <c r="S63" s="538"/>
      <c r="T63" s="536"/>
      <c r="U63" s="536"/>
      <c r="V63" s="536"/>
      <c r="W63" s="536"/>
    </row>
    <row r="64" ht="15.75" customHeight="1">
      <c r="A64" s="536"/>
      <c r="B64" s="536"/>
      <c r="C64" s="536"/>
      <c r="D64" s="536"/>
      <c r="E64" s="82" t="s">
        <v>119</v>
      </c>
      <c r="F64" s="82" t="s">
        <v>120</v>
      </c>
      <c r="G64" s="160" t="s">
        <v>124</v>
      </c>
      <c r="H64" s="578" t="s">
        <v>1638</v>
      </c>
      <c r="I64" s="579" t="s">
        <v>1739</v>
      </c>
      <c r="J64" s="537"/>
      <c r="K64" s="538"/>
      <c r="L64" s="536"/>
      <c r="M64" s="538"/>
      <c r="N64" s="536"/>
      <c r="O64" s="536"/>
      <c r="P64" s="536"/>
      <c r="Q64" s="539"/>
      <c r="R64" s="539"/>
      <c r="S64" s="538"/>
      <c r="T64" s="536"/>
      <c r="U64" s="536"/>
      <c r="V64" s="536"/>
      <c r="W64" s="536"/>
    </row>
    <row r="65" ht="46.5" customHeight="1">
      <c r="A65" s="210"/>
      <c r="B65" s="210"/>
      <c r="C65" s="210"/>
      <c r="D65" s="210"/>
      <c r="E65" s="82" t="s">
        <v>119</v>
      </c>
      <c r="F65" s="82" t="s">
        <v>120</v>
      </c>
      <c r="G65" s="160" t="s">
        <v>124</v>
      </c>
      <c r="H65" s="578" t="s">
        <v>1648</v>
      </c>
      <c r="I65" s="579" t="s">
        <v>1740</v>
      </c>
      <c r="J65" s="540"/>
      <c r="K65" s="213"/>
      <c r="L65" s="210"/>
      <c r="M65" s="213"/>
      <c r="N65" s="210"/>
      <c r="O65" s="210"/>
      <c r="P65" s="210"/>
      <c r="Q65" s="440"/>
      <c r="R65" s="440"/>
      <c r="S65" s="213"/>
      <c r="T65" s="210"/>
      <c r="U65" s="210"/>
      <c r="V65" s="210"/>
      <c r="W65" s="210"/>
    </row>
    <row r="66" ht="15.75" customHeight="1">
      <c r="A66" s="144" t="s">
        <v>157</v>
      </c>
      <c r="B66" s="143" t="s">
        <v>1741</v>
      </c>
      <c r="C66" s="62"/>
      <c r="D66" s="62"/>
      <c r="E66" s="62"/>
      <c r="F66" s="62"/>
      <c r="G66" s="63"/>
      <c r="H66" s="144"/>
      <c r="I66" s="144"/>
      <c r="J66" s="551"/>
      <c r="K66" s="565"/>
      <c r="L66" s="543"/>
      <c r="M66" s="544"/>
      <c r="N66" s="552"/>
      <c r="O66" s="553"/>
      <c r="P66" s="547">
        <v>2.0</v>
      </c>
      <c r="Q66" s="547"/>
      <c r="R66" s="547"/>
      <c r="S66" s="548">
        <f>S67</f>
        <v>3</v>
      </c>
      <c r="T66" s="525"/>
      <c r="U66" s="525"/>
      <c r="V66" s="526"/>
      <c r="W66" s="525"/>
    </row>
    <row r="67" ht="15.75" customHeight="1">
      <c r="A67" s="100"/>
      <c r="B67" s="100"/>
      <c r="C67" s="100">
        <v>1.0</v>
      </c>
      <c r="D67" s="58" t="s">
        <v>159</v>
      </c>
      <c r="E67" s="82" t="s">
        <v>119</v>
      </c>
      <c r="F67" s="150" t="s">
        <v>124</v>
      </c>
      <c r="G67" s="150" t="s">
        <v>124</v>
      </c>
      <c r="H67" s="82" t="s">
        <v>1636</v>
      </c>
      <c r="I67" s="94" t="s">
        <v>1742</v>
      </c>
      <c r="J67" s="527" t="s">
        <v>1638</v>
      </c>
      <c r="K67" s="581" t="s">
        <v>1743</v>
      </c>
      <c r="L67" s="529">
        <v>3.0</v>
      </c>
      <c r="M67" s="549" t="s">
        <v>1744</v>
      </c>
      <c r="N67" s="550">
        <v>3.0</v>
      </c>
      <c r="O67" s="40" t="s">
        <v>1745</v>
      </c>
      <c r="P67" s="100">
        <v>3.0</v>
      </c>
      <c r="Q67" s="532" t="s">
        <v>1746</v>
      </c>
      <c r="R67" s="533">
        <v>3.0</v>
      </c>
      <c r="S67" s="582">
        <f>_xlfn.MODE.SNGL(K67:R71)</f>
        <v>3</v>
      </c>
      <c r="T67" s="535"/>
      <c r="U67" s="535"/>
      <c r="V67" s="535"/>
      <c r="W67" s="535"/>
    </row>
    <row r="68" ht="15.75" customHeight="1">
      <c r="A68" s="536"/>
      <c r="B68" s="536"/>
      <c r="C68" s="536"/>
      <c r="D68" s="536"/>
      <c r="E68" s="82" t="s">
        <v>119</v>
      </c>
      <c r="F68" s="150" t="s">
        <v>124</v>
      </c>
      <c r="G68" s="150" t="s">
        <v>124</v>
      </c>
      <c r="H68" s="82" t="s">
        <v>1643</v>
      </c>
      <c r="I68" s="94" t="s">
        <v>1747</v>
      </c>
      <c r="J68" s="537"/>
      <c r="K68" s="536"/>
      <c r="L68" s="536"/>
      <c r="M68" s="538"/>
      <c r="N68" s="536"/>
      <c r="O68" s="536"/>
      <c r="P68" s="536"/>
      <c r="Q68" s="539"/>
      <c r="R68" s="539"/>
      <c r="S68" s="538"/>
      <c r="T68" s="536"/>
      <c r="U68" s="536"/>
      <c r="V68" s="536"/>
      <c r="W68" s="536"/>
    </row>
    <row r="69" ht="15.75" customHeight="1">
      <c r="A69" s="536"/>
      <c r="B69" s="536"/>
      <c r="C69" s="536"/>
      <c r="D69" s="536"/>
      <c r="E69" s="82" t="s">
        <v>119</v>
      </c>
      <c r="F69" s="150" t="s">
        <v>124</v>
      </c>
      <c r="G69" s="150" t="s">
        <v>124</v>
      </c>
      <c r="H69" s="82" t="s">
        <v>1645</v>
      </c>
      <c r="I69" s="94" t="s">
        <v>1748</v>
      </c>
      <c r="J69" s="537"/>
      <c r="K69" s="536"/>
      <c r="L69" s="536"/>
      <c r="M69" s="538"/>
      <c r="N69" s="536"/>
      <c r="O69" s="536"/>
      <c r="P69" s="536"/>
      <c r="Q69" s="539"/>
      <c r="R69" s="539"/>
      <c r="S69" s="538"/>
      <c r="T69" s="536"/>
      <c r="U69" s="536"/>
      <c r="V69" s="536"/>
      <c r="W69" s="536"/>
    </row>
    <row r="70" ht="15.75" customHeight="1">
      <c r="A70" s="536"/>
      <c r="B70" s="536"/>
      <c r="C70" s="536"/>
      <c r="D70" s="536"/>
      <c r="E70" s="82" t="s">
        <v>119</v>
      </c>
      <c r="F70" s="150" t="s">
        <v>124</v>
      </c>
      <c r="G70" s="150" t="s">
        <v>124</v>
      </c>
      <c r="H70" s="82" t="s">
        <v>1638</v>
      </c>
      <c r="I70" s="94" t="s">
        <v>1749</v>
      </c>
      <c r="J70" s="537"/>
      <c r="K70" s="536"/>
      <c r="L70" s="536"/>
      <c r="M70" s="538"/>
      <c r="N70" s="536"/>
      <c r="O70" s="536"/>
      <c r="P70" s="536"/>
      <c r="Q70" s="539"/>
      <c r="R70" s="539"/>
      <c r="S70" s="538"/>
      <c r="T70" s="536"/>
      <c r="U70" s="536"/>
      <c r="V70" s="536"/>
      <c r="W70" s="536"/>
    </row>
    <row r="71" ht="15.75" customHeight="1">
      <c r="A71" s="210"/>
      <c r="B71" s="210"/>
      <c r="C71" s="210"/>
      <c r="D71" s="210"/>
      <c r="E71" s="82" t="s">
        <v>119</v>
      </c>
      <c r="F71" s="150" t="s">
        <v>124</v>
      </c>
      <c r="G71" s="150" t="s">
        <v>124</v>
      </c>
      <c r="H71" s="82" t="s">
        <v>1648</v>
      </c>
      <c r="I71" s="94" t="s">
        <v>1750</v>
      </c>
      <c r="J71" s="540"/>
      <c r="K71" s="210"/>
      <c r="L71" s="210"/>
      <c r="M71" s="213"/>
      <c r="N71" s="210"/>
      <c r="O71" s="210"/>
      <c r="P71" s="210"/>
      <c r="Q71" s="440"/>
      <c r="R71" s="440"/>
      <c r="S71" s="213"/>
      <c r="T71" s="210"/>
      <c r="U71" s="210"/>
      <c r="V71" s="210"/>
      <c r="W71" s="210"/>
    </row>
    <row r="72" ht="15.75" customHeight="1">
      <c r="A72" s="144" t="s">
        <v>160</v>
      </c>
      <c r="B72" s="143" t="s">
        <v>161</v>
      </c>
      <c r="C72" s="62"/>
      <c r="D72" s="62"/>
      <c r="E72" s="62"/>
      <c r="F72" s="62"/>
      <c r="G72" s="63"/>
      <c r="H72" s="144"/>
      <c r="I72" s="144"/>
      <c r="J72" s="551"/>
      <c r="K72" s="565"/>
      <c r="L72" s="543"/>
      <c r="M72" s="544"/>
      <c r="O72" s="553"/>
      <c r="P72" s="583">
        <v>45414.0</v>
      </c>
      <c r="Q72" s="583"/>
      <c r="R72" s="583"/>
      <c r="S72" s="548">
        <f>AVERAGE(S73:S82)</f>
        <v>3</v>
      </c>
      <c r="T72" s="525"/>
      <c r="U72" s="525"/>
      <c r="V72" s="526"/>
      <c r="W72" s="525"/>
    </row>
    <row r="73" ht="15.75" customHeight="1">
      <c r="A73" s="100"/>
      <c r="B73" s="100"/>
      <c r="C73" s="100">
        <v>1.0</v>
      </c>
      <c r="D73" s="58" t="s">
        <v>1751</v>
      </c>
      <c r="E73" s="82" t="s">
        <v>119</v>
      </c>
      <c r="F73" s="150" t="s">
        <v>124</v>
      </c>
      <c r="G73" s="150" t="s">
        <v>124</v>
      </c>
      <c r="H73" s="82" t="s">
        <v>1636</v>
      </c>
      <c r="I73" s="94" t="s">
        <v>1752</v>
      </c>
      <c r="J73" s="527" t="s">
        <v>1638</v>
      </c>
      <c r="K73" s="528" t="s">
        <v>1753</v>
      </c>
      <c r="L73" s="529">
        <v>5.0</v>
      </c>
      <c r="M73" s="584"/>
      <c r="N73" s="550">
        <v>3.0</v>
      </c>
      <c r="O73" s="40" t="s">
        <v>1754</v>
      </c>
      <c r="P73" s="100">
        <v>3.0</v>
      </c>
      <c r="Q73" s="532" t="s">
        <v>1755</v>
      </c>
      <c r="R73" s="533">
        <v>3.0</v>
      </c>
      <c r="S73" s="582">
        <f>_xlfn.MODE.SNGL(K73:R77)</f>
        <v>3</v>
      </c>
      <c r="T73" s="535"/>
      <c r="U73" s="535"/>
      <c r="V73" s="535"/>
      <c r="W73" s="535"/>
    </row>
    <row r="74" ht="15.75" customHeight="1">
      <c r="A74" s="536"/>
      <c r="B74" s="536"/>
      <c r="C74" s="536"/>
      <c r="D74" s="536"/>
      <c r="E74" s="82" t="s">
        <v>119</v>
      </c>
      <c r="F74" s="150" t="s">
        <v>124</v>
      </c>
      <c r="G74" s="150" t="s">
        <v>124</v>
      </c>
      <c r="H74" s="82" t="s">
        <v>1643</v>
      </c>
      <c r="I74" s="50" t="s">
        <v>1756</v>
      </c>
      <c r="J74" s="537"/>
      <c r="K74" s="536"/>
      <c r="L74" s="536"/>
      <c r="M74" s="536"/>
      <c r="N74" s="536"/>
      <c r="O74" s="536"/>
      <c r="P74" s="536"/>
      <c r="Q74" s="539"/>
      <c r="R74" s="539"/>
      <c r="S74" s="538"/>
      <c r="T74" s="536"/>
      <c r="U74" s="536"/>
      <c r="V74" s="536"/>
      <c r="W74" s="536"/>
    </row>
    <row r="75" ht="15.75" customHeight="1">
      <c r="A75" s="536"/>
      <c r="B75" s="536"/>
      <c r="C75" s="536"/>
      <c r="D75" s="536"/>
      <c r="E75" s="82" t="s">
        <v>119</v>
      </c>
      <c r="F75" s="150" t="s">
        <v>124</v>
      </c>
      <c r="G75" s="150" t="s">
        <v>124</v>
      </c>
      <c r="H75" s="82" t="s">
        <v>1645</v>
      </c>
      <c r="I75" s="94" t="s">
        <v>1757</v>
      </c>
      <c r="J75" s="537"/>
      <c r="K75" s="536"/>
      <c r="L75" s="536"/>
      <c r="M75" s="536"/>
      <c r="N75" s="536"/>
      <c r="O75" s="536"/>
      <c r="P75" s="536"/>
      <c r="Q75" s="539"/>
      <c r="R75" s="539"/>
      <c r="S75" s="538"/>
      <c r="T75" s="536"/>
      <c r="U75" s="536"/>
      <c r="V75" s="536"/>
      <c r="W75" s="536"/>
    </row>
    <row r="76" ht="15.75" customHeight="1">
      <c r="A76" s="536"/>
      <c r="B76" s="536"/>
      <c r="C76" s="536"/>
      <c r="D76" s="536"/>
      <c r="E76" s="82" t="s">
        <v>119</v>
      </c>
      <c r="F76" s="150" t="s">
        <v>124</v>
      </c>
      <c r="G76" s="150" t="s">
        <v>124</v>
      </c>
      <c r="H76" s="82" t="s">
        <v>1638</v>
      </c>
      <c r="I76" s="94" t="s">
        <v>1758</v>
      </c>
      <c r="J76" s="537"/>
      <c r="K76" s="536"/>
      <c r="L76" s="536"/>
      <c r="M76" s="536"/>
      <c r="N76" s="536"/>
      <c r="O76" s="536"/>
      <c r="P76" s="536"/>
      <c r="Q76" s="539"/>
      <c r="R76" s="539"/>
      <c r="S76" s="538"/>
      <c r="T76" s="536"/>
      <c r="U76" s="536"/>
      <c r="V76" s="536"/>
      <c r="W76" s="536"/>
    </row>
    <row r="77" ht="15.75" customHeight="1">
      <c r="A77" s="536"/>
      <c r="B77" s="536"/>
      <c r="C77" s="210"/>
      <c r="D77" s="210"/>
      <c r="E77" s="82" t="s">
        <v>119</v>
      </c>
      <c r="F77" s="150" t="s">
        <v>124</v>
      </c>
      <c r="G77" s="150" t="s">
        <v>124</v>
      </c>
      <c r="H77" s="82" t="s">
        <v>1648</v>
      </c>
      <c r="I77" s="94" t="s">
        <v>1759</v>
      </c>
      <c r="J77" s="540"/>
      <c r="K77" s="210"/>
      <c r="L77" s="210"/>
      <c r="M77" s="210"/>
      <c r="N77" s="210"/>
      <c r="O77" s="210"/>
      <c r="P77" s="210"/>
      <c r="Q77" s="440"/>
      <c r="R77" s="440"/>
      <c r="S77" s="213"/>
      <c r="T77" s="210"/>
      <c r="U77" s="210"/>
      <c r="V77" s="210"/>
      <c r="W77" s="210"/>
    </row>
    <row r="78" ht="15.75" customHeight="1">
      <c r="A78" s="536"/>
      <c r="B78" s="536"/>
      <c r="C78" s="100">
        <v>2.0</v>
      </c>
      <c r="D78" s="585" t="s">
        <v>1760</v>
      </c>
      <c r="E78" s="82" t="s">
        <v>119</v>
      </c>
      <c r="F78" s="82" t="s">
        <v>120</v>
      </c>
      <c r="G78" s="160" t="s">
        <v>124</v>
      </c>
      <c r="H78" s="578" t="s">
        <v>1636</v>
      </c>
      <c r="I78" s="579" t="s">
        <v>1761</v>
      </c>
      <c r="J78" s="527" t="s">
        <v>1638</v>
      </c>
      <c r="K78" s="556" t="s">
        <v>1762</v>
      </c>
      <c r="L78" s="557">
        <v>4.0</v>
      </c>
      <c r="M78" s="549" t="s">
        <v>1763</v>
      </c>
      <c r="N78" s="550">
        <v>3.0</v>
      </c>
      <c r="O78" s="40" t="s">
        <v>1764</v>
      </c>
      <c r="P78" s="100">
        <v>3.0</v>
      </c>
      <c r="Q78" s="532" t="s">
        <v>1755</v>
      </c>
      <c r="R78" s="533">
        <v>3.0</v>
      </c>
      <c r="S78" s="582">
        <f>_xlfn.MODE.SNGL(K78:R82)</f>
        <v>3</v>
      </c>
      <c r="T78" s="535"/>
      <c r="U78" s="535"/>
      <c r="V78" s="535"/>
      <c r="W78" s="535"/>
    </row>
    <row r="79" ht="15.75" customHeight="1">
      <c r="A79" s="536"/>
      <c r="B79" s="536"/>
      <c r="C79" s="536"/>
      <c r="D79" s="536"/>
      <c r="E79" s="82" t="s">
        <v>119</v>
      </c>
      <c r="F79" s="82" t="s">
        <v>120</v>
      </c>
      <c r="G79" s="160" t="s">
        <v>124</v>
      </c>
      <c r="H79" s="578" t="s">
        <v>1643</v>
      </c>
      <c r="I79" s="579" t="s">
        <v>1765</v>
      </c>
      <c r="J79" s="537"/>
      <c r="K79" s="536"/>
      <c r="L79" s="536"/>
      <c r="M79" s="538"/>
      <c r="N79" s="536"/>
      <c r="O79" s="536"/>
      <c r="P79" s="536"/>
      <c r="Q79" s="539"/>
      <c r="R79" s="539"/>
      <c r="S79" s="538"/>
      <c r="T79" s="536"/>
      <c r="U79" s="536"/>
      <c r="V79" s="536"/>
      <c r="W79" s="536"/>
    </row>
    <row r="80" ht="15.75" customHeight="1">
      <c r="A80" s="536"/>
      <c r="B80" s="536"/>
      <c r="C80" s="536"/>
      <c r="D80" s="536"/>
      <c r="E80" s="82" t="s">
        <v>119</v>
      </c>
      <c r="F80" s="82" t="s">
        <v>120</v>
      </c>
      <c r="G80" s="160" t="s">
        <v>124</v>
      </c>
      <c r="H80" s="578" t="s">
        <v>1645</v>
      </c>
      <c r="I80" s="579" t="s">
        <v>1766</v>
      </c>
      <c r="J80" s="537"/>
      <c r="K80" s="536"/>
      <c r="L80" s="536"/>
      <c r="M80" s="538"/>
      <c r="N80" s="536"/>
      <c r="O80" s="536"/>
      <c r="P80" s="536"/>
      <c r="Q80" s="539"/>
      <c r="R80" s="539"/>
      <c r="S80" s="538"/>
      <c r="T80" s="536"/>
      <c r="U80" s="536"/>
      <c r="V80" s="536"/>
      <c r="W80" s="536"/>
    </row>
    <row r="81" ht="15.75" customHeight="1">
      <c r="A81" s="536"/>
      <c r="B81" s="536"/>
      <c r="C81" s="536"/>
      <c r="D81" s="536"/>
      <c r="E81" s="82" t="s">
        <v>119</v>
      </c>
      <c r="F81" s="82" t="s">
        <v>120</v>
      </c>
      <c r="G81" s="160" t="s">
        <v>124</v>
      </c>
      <c r="H81" s="578" t="s">
        <v>1638</v>
      </c>
      <c r="I81" s="579" t="s">
        <v>1767</v>
      </c>
      <c r="J81" s="537"/>
      <c r="K81" s="536"/>
      <c r="L81" s="536"/>
      <c r="M81" s="538"/>
      <c r="N81" s="536"/>
      <c r="O81" s="536"/>
      <c r="P81" s="536"/>
      <c r="Q81" s="539"/>
      <c r="R81" s="539"/>
      <c r="S81" s="538"/>
      <c r="T81" s="536"/>
      <c r="U81" s="536"/>
      <c r="V81" s="536"/>
      <c r="W81" s="536"/>
    </row>
    <row r="82" ht="15.75" customHeight="1">
      <c r="A82" s="210"/>
      <c r="B82" s="210"/>
      <c r="C82" s="210"/>
      <c r="D82" s="210"/>
      <c r="E82" s="82" t="s">
        <v>119</v>
      </c>
      <c r="F82" s="82" t="s">
        <v>120</v>
      </c>
      <c r="G82" s="160" t="s">
        <v>124</v>
      </c>
      <c r="H82" s="578" t="s">
        <v>1648</v>
      </c>
      <c r="I82" s="579" t="s">
        <v>1768</v>
      </c>
      <c r="J82" s="540"/>
      <c r="K82" s="210"/>
      <c r="L82" s="210"/>
      <c r="M82" s="213"/>
      <c r="N82" s="210"/>
      <c r="O82" s="210"/>
      <c r="P82" s="210"/>
      <c r="Q82" s="440"/>
      <c r="R82" s="440"/>
      <c r="S82" s="213"/>
      <c r="T82" s="210"/>
      <c r="U82" s="210"/>
      <c r="V82" s="210"/>
      <c r="W82" s="210"/>
    </row>
    <row r="83" ht="15.75" customHeight="1">
      <c r="A83" s="144" t="s">
        <v>165</v>
      </c>
      <c r="B83" s="143" t="s">
        <v>166</v>
      </c>
      <c r="C83" s="62"/>
      <c r="D83" s="62"/>
      <c r="E83" s="62"/>
      <c r="F83" s="62"/>
      <c r="G83" s="63"/>
      <c r="H83" s="144"/>
      <c r="I83" s="144"/>
      <c r="J83" s="551"/>
      <c r="K83" s="565"/>
      <c r="L83" s="543"/>
      <c r="M83" s="544"/>
      <c r="N83" s="552"/>
      <c r="O83" s="553"/>
      <c r="P83" s="547">
        <v>4.0</v>
      </c>
      <c r="Q83" s="547"/>
      <c r="R83" s="547"/>
      <c r="S83" s="548">
        <f>AVERAGE(S84:S98)</f>
        <v>4</v>
      </c>
      <c r="T83" s="525"/>
      <c r="U83" s="525"/>
      <c r="V83" s="526"/>
      <c r="W83" s="525"/>
    </row>
    <row r="84" ht="15.75" customHeight="1">
      <c r="A84" s="100"/>
      <c r="B84" s="100"/>
      <c r="C84" s="100">
        <v>1.0</v>
      </c>
      <c r="D84" s="58" t="s">
        <v>1769</v>
      </c>
      <c r="E84" s="82" t="s">
        <v>119</v>
      </c>
      <c r="F84" s="82" t="s">
        <v>120</v>
      </c>
      <c r="G84" s="160" t="s">
        <v>124</v>
      </c>
      <c r="H84" s="82" t="s">
        <v>1636</v>
      </c>
      <c r="I84" s="94" t="s">
        <v>1770</v>
      </c>
      <c r="J84" s="527" t="s">
        <v>1638</v>
      </c>
      <c r="K84" s="528" t="s">
        <v>1771</v>
      </c>
      <c r="L84" s="529">
        <v>4.0</v>
      </c>
      <c r="M84" s="549" t="s">
        <v>1772</v>
      </c>
      <c r="N84" s="550">
        <v>4.0</v>
      </c>
      <c r="O84" s="586" t="s">
        <v>1773</v>
      </c>
      <c r="P84" s="559">
        <v>2.0</v>
      </c>
      <c r="Q84" s="532" t="s">
        <v>1774</v>
      </c>
      <c r="R84" s="533">
        <v>4.0</v>
      </c>
      <c r="S84" s="582">
        <f>_xlfn.MODE.SNGL(K84:R88)</f>
        <v>4</v>
      </c>
      <c r="T84" s="535"/>
      <c r="U84" s="535"/>
      <c r="V84" s="535"/>
      <c r="W84" s="535"/>
    </row>
    <row r="85" ht="15.75" customHeight="1">
      <c r="A85" s="536"/>
      <c r="B85" s="536"/>
      <c r="C85" s="536"/>
      <c r="D85" s="536"/>
      <c r="E85" s="82" t="s">
        <v>119</v>
      </c>
      <c r="F85" s="82" t="s">
        <v>120</v>
      </c>
      <c r="G85" s="160" t="s">
        <v>124</v>
      </c>
      <c r="H85" s="82" t="s">
        <v>1643</v>
      </c>
      <c r="I85" s="94" t="s">
        <v>1775</v>
      </c>
      <c r="J85" s="537"/>
      <c r="K85" s="536"/>
      <c r="L85" s="536"/>
      <c r="M85" s="538"/>
      <c r="N85" s="536"/>
      <c r="O85" s="536"/>
      <c r="P85" s="536"/>
      <c r="Q85" s="539"/>
      <c r="R85" s="539"/>
      <c r="S85" s="538"/>
      <c r="T85" s="536"/>
      <c r="U85" s="536"/>
      <c r="V85" s="536"/>
      <c r="W85" s="536"/>
    </row>
    <row r="86" ht="15.75" customHeight="1">
      <c r="A86" s="536"/>
      <c r="B86" s="536"/>
      <c r="C86" s="536"/>
      <c r="D86" s="536"/>
      <c r="E86" s="82" t="s">
        <v>119</v>
      </c>
      <c r="F86" s="82" t="s">
        <v>120</v>
      </c>
      <c r="G86" s="160" t="s">
        <v>124</v>
      </c>
      <c r="H86" s="82" t="s">
        <v>1645</v>
      </c>
      <c r="I86" s="94" t="s">
        <v>1776</v>
      </c>
      <c r="J86" s="537"/>
      <c r="K86" s="536"/>
      <c r="L86" s="536"/>
      <c r="M86" s="538"/>
      <c r="N86" s="536"/>
      <c r="O86" s="536"/>
      <c r="P86" s="536"/>
      <c r="Q86" s="539"/>
      <c r="R86" s="539"/>
      <c r="S86" s="538"/>
      <c r="T86" s="536"/>
      <c r="U86" s="536"/>
      <c r="V86" s="536"/>
      <c r="W86" s="536"/>
    </row>
    <row r="87" ht="15.75" customHeight="1">
      <c r="A87" s="536"/>
      <c r="B87" s="536"/>
      <c r="C87" s="536"/>
      <c r="D87" s="536"/>
      <c r="E87" s="82" t="s">
        <v>119</v>
      </c>
      <c r="F87" s="82" t="s">
        <v>120</v>
      </c>
      <c r="G87" s="160" t="s">
        <v>124</v>
      </c>
      <c r="H87" s="82" t="s">
        <v>1638</v>
      </c>
      <c r="I87" s="94" t="s">
        <v>1777</v>
      </c>
      <c r="J87" s="537"/>
      <c r="K87" s="536"/>
      <c r="L87" s="536"/>
      <c r="M87" s="538"/>
      <c r="N87" s="536"/>
      <c r="O87" s="536"/>
      <c r="P87" s="536"/>
      <c r="Q87" s="539"/>
      <c r="R87" s="539"/>
      <c r="S87" s="538"/>
      <c r="T87" s="536"/>
      <c r="U87" s="536"/>
      <c r="V87" s="536"/>
      <c r="W87" s="536"/>
    </row>
    <row r="88" ht="15.75" customHeight="1">
      <c r="A88" s="536"/>
      <c r="B88" s="536"/>
      <c r="C88" s="210"/>
      <c r="D88" s="210"/>
      <c r="E88" s="82" t="s">
        <v>119</v>
      </c>
      <c r="F88" s="82" t="s">
        <v>120</v>
      </c>
      <c r="G88" s="160" t="s">
        <v>124</v>
      </c>
      <c r="H88" s="82" t="s">
        <v>1648</v>
      </c>
      <c r="I88" s="94" t="s">
        <v>1778</v>
      </c>
      <c r="J88" s="540"/>
      <c r="K88" s="210"/>
      <c r="L88" s="210"/>
      <c r="M88" s="213"/>
      <c r="N88" s="210"/>
      <c r="O88" s="210"/>
      <c r="P88" s="210"/>
      <c r="Q88" s="440"/>
      <c r="R88" s="440"/>
      <c r="S88" s="213"/>
      <c r="T88" s="210"/>
      <c r="U88" s="210"/>
      <c r="V88" s="210"/>
      <c r="W88" s="210"/>
    </row>
    <row r="89" ht="15.75" customHeight="1">
      <c r="A89" s="536"/>
      <c r="B89" s="536"/>
      <c r="C89" s="100">
        <v>2.0</v>
      </c>
      <c r="D89" s="58" t="s">
        <v>169</v>
      </c>
      <c r="E89" s="82" t="s">
        <v>119</v>
      </c>
      <c r="F89" s="82" t="s">
        <v>120</v>
      </c>
      <c r="G89" s="160" t="s">
        <v>124</v>
      </c>
      <c r="H89" s="82" t="s">
        <v>1636</v>
      </c>
      <c r="I89" s="94" t="s">
        <v>1779</v>
      </c>
      <c r="J89" s="527" t="s">
        <v>1638</v>
      </c>
      <c r="K89" s="556" t="s">
        <v>1780</v>
      </c>
      <c r="L89" s="557">
        <v>4.0</v>
      </c>
      <c r="M89" s="549" t="s">
        <v>1772</v>
      </c>
      <c r="N89" s="550">
        <v>4.0</v>
      </c>
      <c r="O89" s="558" t="s">
        <v>1781</v>
      </c>
      <c r="P89" s="559">
        <v>2.0</v>
      </c>
      <c r="Q89" s="532" t="s">
        <v>1774</v>
      </c>
      <c r="R89" s="533">
        <v>3.0</v>
      </c>
      <c r="S89" s="582">
        <f>_xlfn.MODE.SNGL(K89:R93)</f>
        <v>4</v>
      </c>
      <c r="T89" s="535"/>
      <c r="U89" s="535"/>
      <c r="V89" s="535"/>
      <c r="W89" s="535"/>
    </row>
    <row r="90" ht="15.75" customHeight="1">
      <c r="A90" s="536"/>
      <c r="B90" s="536"/>
      <c r="C90" s="536"/>
      <c r="D90" s="536"/>
      <c r="E90" s="82" t="s">
        <v>119</v>
      </c>
      <c r="F90" s="82" t="s">
        <v>120</v>
      </c>
      <c r="G90" s="160" t="s">
        <v>124</v>
      </c>
      <c r="H90" s="82" t="s">
        <v>1643</v>
      </c>
      <c r="I90" s="94" t="s">
        <v>1782</v>
      </c>
      <c r="J90" s="537"/>
      <c r="K90" s="536"/>
      <c r="L90" s="536"/>
      <c r="M90" s="538"/>
      <c r="N90" s="536"/>
      <c r="O90" s="536"/>
      <c r="P90" s="536"/>
      <c r="Q90" s="539"/>
      <c r="R90" s="539"/>
      <c r="S90" s="538"/>
      <c r="T90" s="536"/>
      <c r="U90" s="536"/>
      <c r="V90" s="536"/>
      <c r="W90" s="536"/>
    </row>
    <row r="91" ht="15.75" customHeight="1">
      <c r="A91" s="536"/>
      <c r="B91" s="536"/>
      <c r="C91" s="536"/>
      <c r="D91" s="536"/>
      <c r="E91" s="82" t="s">
        <v>119</v>
      </c>
      <c r="F91" s="82" t="s">
        <v>120</v>
      </c>
      <c r="G91" s="160" t="s">
        <v>124</v>
      </c>
      <c r="H91" s="82" t="s">
        <v>1645</v>
      </c>
      <c r="I91" s="94" t="s">
        <v>1783</v>
      </c>
      <c r="J91" s="537"/>
      <c r="K91" s="536"/>
      <c r="L91" s="536"/>
      <c r="M91" s="538"/>
      <c r="N91" s="536"/>
      <c r="O91" s="536"/>
      <c r="P91" s="536"/>
      <c r="Q91" s="539"/>
      <c r="R91" s="539"/>
      <c r="S91" s="538"/>
      <c r="T91" s="536"/>
      <c r="U91" s="536"/>
      <c r="V91" s="536"/>
      <c r="W91" s="536"/>
    </row>
    <row r="92" ht="15.75" customHeight="1">
      <c r="A92" s="536"/>
      <c r="B92" s="536"/>
      <c r="C92" s="536"/>
      <c r="D92" s="536"/>
      <c r="E92" s="82" t="s">
        <v>119</v>
      </c>
      <c r="F92" s="82" t="s">
        <v>120</v>
      </c>
      <c r="G92" s="160" t="s">
        <v>124</v>
      </c>
      <c r="H92" s="82" t="s">
        <v>1638</v>
      </c>
      <c r="I92" s="94" t="s">
        <v>1784</v>
      </c>
      <c r="J92" s="537"/>
      <c r="K92" s="536"/>
      <c r="L92" s="536"/>
      <c r="M92" s="538"/>
      <c r="N92" s="536"/>
      <c r="O92" s="536"/>
      <c r="P92" s="536"/>
      <c r="Q92" s="539"/>
      <c r="R92" s="539"/>
      <c r="S92" s="538"/>
      <c r="T92" s="536"/>
      <c r="U92" s="536"/>
      <c r="V92" s="536"/>
      <c r="W92" s="536"/>
    </row>
    <row r="93" ht="15.75" customHeight="1">
      <c r="A93" s="536"/>
      <c r="B93" s="536"/>
      <c r="C93" s="210"/>
      <c r="D93" s="210"/>
      <c r="E93" s="82" t="s">
        <v>119</v>
      </c>
      <c r="F93" s="82" t="s">
        <v>120</v>
      </c>
      <c r="G93" s="160" t="s">
        <v>124</v>
      </c>
      <c r="H93" s="82" t="s">
        <v>1648</v>
      </c>
      <c r="I93" s="94" t="s">
        <v>1785</v>
      </c>
      <c r="J93" s="540"/>
      <c r="K93" s="210"/>
      <c r="L93" s="210"/>
      <c r="M93" s="213"/>
      <c r="N93" s="210"/>
      <c r="O93" s="210"/>
      <c r="P93" s="210"/>
      <c r="Q93" s="440"/>
      <c r="R93" s="440"/>
      <c r="S93" s="213"/>
      <c r="T93" s="210"/>
      <c r="U93" s="210"/>
      <c r="V93" s="210"/>
      <c r="W93" s="210"/>
    </row>
    <row r="94" ht="15.75" customHeight="1">
      <c r="A94" s="536"/>
      <c r="B94" s="536"/>
      <c r="C94" s="100">
        <v>3.0</v>
      </c>
      <c r="D94" s="58" t="s">
        <v>1786</v>
      </c>
      <c r="E94" s="82" t="s">
        <v>119</v>
      </c>
      <c r="F94" s="82" t="s">
        <v>120</v>
      </c>
      <c r="G94" s="160" t="s">
        <v>124</v>
      </c>
      <c r="H94" s="82" t="s">
        <v>1636</v>
      </c>
      <c r="I94" s="94" t="s">
        <v>1787</v>
      </c>
      <c r="J94" s="527" t="s">
        <v>1638</v>
      </c>
      <c r="K94" s="556" t="s">
        <v>1788</v>
      </c>
      <c r="L94" s="557">
        <v>4.0</v>
      </c>
      <c r="M94" s="549" t="s">
        <v>1772</v>
      </c>
      <c r="N94" s="561">
        <v>4.0</v>
      </c>
      <c r="O94" s="558" t="s">
        <v>1789</v>
      </c>
      <c r="P94" s="559">
        <v>1.0</v>
      </c>
      <c r="Q94" s="532" t="s">
        <v>1774</v>
      </c>
      <c r="R94" s="533">
        <v>4.0</v>
      </c>
      <c r="S94" s="582">
        <f>_xlfn.MODE.SNGL(K94:R98)</f>
        <v>4</v>
      </c>
      <c r="T94" s="535"/>
      <c r="U94" s="535"/>
      <c r="V94" s="535"/>
      <c r="W94" s="535"/>
    </row>
    <row r="95" ht="15.75" customHeight="1">
      <c r="A95" s="536"/>
      <c r="B95" s="536"/>
      <c r="C95" s="536"/>
      <c r="D95" s="536"/>
      <c r="E95" s="82" t="s">
        <v>119</v>
      </c>
      <c r="F95" s="82" t="s">
        <v>120</v>
      </c>
      <c r="G95" s="160" t="s">
        <v>124</v>
      </c>
      <c r="H95" s="82" t="s">
        <v>1643</v>
      </c>
      <c r="I95" s="94" t="s">
        <v>1790</v>
      </c>
      <c r="J95" s="537"/>
      <c r="K95" s="536"/>
      <c r="L95" s="536"/>
      <c r="M95" s="538"/>
      <c r="N95" s="536"/>
      <c r="O95" s="536"/>
      <c r="P95" s="536"/>
      <c r="Q95" s="539"/>
      <c r="R95" s="539"/>
      <c r="S95" s="538"/>
      <c r="T95" s="536"/>
      <c r="U95" s="536"/>
      <c r="V95" s="536"/>
      <c r="W95" s="536"/>
    </row>
    <row r="96" ht="15.75" customHeight="1">
      <c r="A96" s="536"/>
      <c r="B96" s="536"/>
      <c r="C96" s="536"/>
      <c r="D96" s="536"/>
      <c r="E96" s="82" t="s">
        <v>119</v>
      </c>
      <c r="F96" s="82" t="s">
        <v>120</v>
      </c>
      <c r="G96" s="160" t="s">
        <v>124</v>
      </c>
      <c r="H96" s="82" t="s">
        <v>1645</v>
      </c>
      <c r="I96" s="94" t="s">
        <v>1791</v>
      </c>
      <c r="J96" s="537"/>
      <c r="K96" s="536"/>
      <c r="L96" s="536"/>
      <c r="M96" s="538"/>
      <c r="N96" s="536"/>
      <c r="O96" s="536"/>
      <c r="P96" s="536"/>
      <c r="Q96" s="539"/>
      <c r="R96" s="539"/>
      <c r="S96" s="538"/>
      <c r="T96" s="536"/>
      <c r="U96" s="536"/>
      <c r="V96" s="536"/>
      <c r="W96" s="536"/>
    </row>
    <row r="97" ht="15.75" customHeight="1">
      <c r="A97" s="536"/>
      <c r="B97" s="536"/>
      <c r="C97" s="536"/>
      <c r="D97" s="536"/>
      <c r="E97" s="82" t="s">
        <v>119</v>
      </c>
      <c r="F97" s="82" t="s">
        <v>120</v>
      </c>
      <c r="G97" s="160" t="s">
        <v>124</v>
      </c>
      <c r="H97" s="82" t="s">
        <v>1638</v>
      </c>
      <c r="I97" s="94" t="s">
        <v>1792</v>
      </c>
      <c r="J97" s="537"/>
      <c r="K97" s="536"/>
      <c r="L97" s="536"/>
      <c r="M97" s="538"/>
      <c r="N97" s="536"/>
      <c r="O97" s="536"/>
      <c r="P97" s="536"/>
      <c r="Q97" s="539"/>
      <c r="R97" s="539"/>
      <c r="S97" s="538"/>
      <c r="T97" s="536"/>
      <c r="U97" s="536"/>
      <c r="V97" s="536"/>
      <c r="W97" s="536"/>
    </row>
    <row r="98" ht="15.75" customHeight="1">
      <c r="A98" s="210"/>
      <c r="B98" s="210"/>
      <c r="C98" s="210"/>
      <c r="D98" s="210"/>
      <c r="E98" s="82" t="s">
        <v>119</v>
      </c>
      <c r="F98" s="82" t="s">
        <v>120</v>
      </c>
      <c r="G98" s="160" t="s">
        <v>124</v>
      </c>
      <c r="H98" s="82" t="s">
        <v>1648</v>
      </c>
      <c r="I98" s="94" t="s">
        <v>1793</v>
      </c>
      <c r="J98" s="540"/>
      <c r="K98" s="210"/>
      <c r="L98" s="210"/>
      <c r="M98" s="213"/>
      <c r="N98" s="210"/>
      <c r="O98" s="210"/>
      <c r="P98" s="210"/>
      <c r="Q98" s="440"/>
      <c r="R98" s="440"/>
      <c r="S98" s="213"/>
      <c r="T98" s="210"/>
      <c r="U98" s="210"/>
      <c r="V98" s="210"/>
      <c r="W98" s="210"/>
    </row>
    <row r="99" ht="15.75" customHeight="1">
      <c r="A99" s="144" t="s">
        <v>172</v>
      </c>
      <c r="B99" s="143" t="s">
        <v>173</v>
      </c>
      <c r="C99" s="62"/>
      <c r="D99" s="62"/>
      <c r="E99" s="62"/>
      <c r="F99" s="62"/>
      <c r="G99" s="63"/>
      <c r="H99" s="144"/>
      <c r="I99" s="144"/>
      <c r="J99" s="521"/>
      <c r="K99" s="565"/>
      <c r="L99" s="543"/>
      <c r="M99" s="544"/>
      <c r="N99" s="552"/>
      <c r="O99" s="553"/>
      <c r="P99" s="583">
        <v>45507.0</v>
      </c>
      <c r="Q99" s="583"/>
      <c r="R99" s="583"/>
      <c r="S99" s="524">
        <f>AVERAGE(S100:S124)</f>
        <v>3.6</v>
      </c>
      <c r="T99" s="525"/>
      <c r="U99" s="525"/>
      <c r="V99" s="526"/>
      <c r="W99" s="525"/>
    </row>
    <row r="100" ht="15.75" customHeight="1">
      <c r="A100" s="100" t="s">
        <v>1794</v>
      </c>
      <c r="B100" s="100"/>
      <c r="C100" s="100">
        <v>1.0</v>
      </c>
      <c r="D100" s="58" t="s">
        <v>174</v>
      </c>
      <c r="E100" s="82" t="s">
        <v>119</v>
      </c>
      <c r="F100" s="82" t="s">
        <v>120</v>
      </c>
      <c r="G100" s="160" t="s">
        <v>124</v>
      </c>
      <c r="H100" s="82" t="s">
        <v>1636</v>
      </c>
      <c r="I100" s="94" t="s">
        <v>1795</v>
      </c>
      <c r="J100" s="587" t="s">
        <v>1638</v>
      </c>
      <c r="K100" s="528" t="s">
        <v>1796</v>
      </c>
      <c r="L100" s="529">
        <v>4.0</v>
      </c>
      <c r="M100" s="549" t="s">
        <v>1797</v>
      </c>
      <c r="N100" s="561">
        <v>4.0</v>
      </c>
      <c r="O100" s="40" t="s">
        <v>1798</v>
      </c>
      <c r="P100" s="100">
        <v>1.0</v>
      </c>
      <c r="Q100" s="532" t="s">
        <v>1799</v>
      </c>
      <c r="R100" s="533">
        <v>4.0</v>
      </c>
      <c r="S100" s="582">
        <f>_xlfn.MODE.SNGL(K100:R104)</f>
        <v>4</v>
      </c>
      <c r="T100" s="535"/>
      <c r="U100" s="535"/>
      <c r="V100" s="535"/>
      <c r="W100" s="535"/>
    </row>
    <row r="101" ht="15.75" customHeight="1">
      <c r="A101" s="536"/>
      <c r="B101" s="536"/>
      <c r="C101" s="536"/>
      <c r="D101" s="536"/>
      <c r="E101" s="82" t="s">
        <v>119</v>
      </c>
      <c r="F101" s="82" t="s">
        <v>120</v>
      </c>
      <c r="G101" s="160" t="s">
        <v>124</v>
      </c>
      <c r="H101" s="82" t="s">
        <v>1643</v>
      </c>
      <c r="I101" s="94" t="s">
        <v>1800</v>
      </c>
      <c r="J101" s="588"/>
      <c r="K101" s="536"/>
      <c r="L101" s="536"/>
      <c r="M101" s="538"/>
      <c r="N101" s="536"/>
      <c r="O101" s="536"/>
      <c r="P101" s="536"/>
      <c r="Q101" s="539"/>
      <c r="R101" s="539"/>
      <c r="S101" s="538"/>
      <c r="T101" s="536"/>
      <c r="U101" s="536"/>
      <c r="V101" s="536"/>
      <c r="W101" s="536"/>
    </row>
    <row r="102" ht="15.75" customHeight="1">
      <c r="A102" s="536"/>
      <c r="B102" s="536"/>
      <c r="C102" s="536"/>
      <c r="D102" s="536"/>
      <c r="E102" s="82" t="s">
        <v>119</v>
      </c>
      <c r="F102" s="82" t="s">
        <v>120</v>
      </c>
      <c r="G102" s="160" t="s">
        <v>124</v>
      </c>
      <c r="H102" s="82" t="s">
        <v>1645</v>
      </c>
      <c r="I102" s="94" t="s">
        <v>1801</v>
      </c>
      <c r="J102" s="588"/>
      <c r="K102" s="536"/>
      <c r="L102" s="536"/>
      <c r="M102" s="538"/>
      <c r="N102" s="536"/>
      <c r="O102" s="536"/>
      <c r="P102" s="536"/>
      <c r="Q102" s="539"/>
      <c r="R102" s="539"/>
      <c r="S102" s="538"/>
      <c r="T102" s="536"/>
      <c r="U102" s="536"/>
      <c r="V102" s="536"/>
      <c r="W102" s="536"/>
    </row>
    <row r="103" ht="15.75" customHeight="1">
      <c r="A103" s="536"/>
      <c r="B103" s="536"/>
      <c r="C103" s="536"/>
      <c r="D103" s="536"/>
      <c r="E103" s="82" t="s">
        <v>119</v>
      </c>
      <c r="F103" s="82" t="s">
        <v>120</v>
      </c>
      <c r="G103" s="160" t="s">
        <v>124</v>
      </c>
      <c r="H103" s="82" t="s">
        <v>1638</v>
      </c>
      <c r="I103" s="94" t="s">
        <v>1802</v>
      </c>
      <c r="J103" s="588"/>
      <c r="K103" s="536"/>
      <c r="L103" s="536"/>
      <c r="M103" s="538"/>
      <c r="N103" s="536"/>
      <c r="O103" s="536"/>
      <c r="P103" s="536"/>
      <c r="Q103" s="539"/>
      <c r="R103" s="539"/>
      <c r="S103" s="538"/>
      <c r="T103" s="536"/>
      <c r="U103" s="536"/>
      <c r="V103" s="536"/>
      <c r="W103" s="536"/>
    </row>
    <row r="104" ht="15.75" customHeight="1">
      <c r="A104" s="536"/>
      <c r="B104" s="536"/>
      <c r="C104" s="210"/>
      <c r="D104" s="210"/>
      <c r="E104" s="82" t="s">
        <v>119</v>
      </c>
      <c r="F104" s="82" t="s">
        <v>120</v>
      </c>
      <c r="G104" s="160" t="s">
        <v>124</v>
      </c>
      <c r="H104" s="82" t="s">
        <v>1648</v>
      </c>
      <c r="I104" s="94" t="s">
        <v>1803</v>
      </c>
      <c r="J104" s="211"/>
      <c r="K104" s="210"/>
      <c r="L104" s="210"/>
      <c r="M104" s="213"/>
      <c r="N104" s="210"/>
      <c r="O104" s="210"/>
      <c r="P104" s="210"/>
      <c r="Q104" s="440"/>
      <c r="R104" s="440"/>
      <c r="S104" s="213"/>
      <c r="T104" s="210"/>
      <c r="U104" s="210"/>
      <c r="V104" s="210"/>
      <c r="W104" s="210"/>
    </row>
    <row r="105" ht="15.75" customHeight="1">
      <c r="A105" s="536"/>
      <c r="B105" s="536"/>
      <c r="C105" s="100">
        <v>2.0</v>
      </c>
      <c r="D105" s="58" t="s">
        <v>1804</v>
      </c>
      <c r="E105" s="82" t="s">
        <v>119</v>
      </c>
      <c r="F105" s="82" t="s">
        <v>120</v>
      </c>
      <c r="G105" s="160" t="s">
        <v>124</v>
      </c>
      <c r="H105" s="82" t="s">
        <v>1636</v>
      </c>
      <c r="I105" s="94" t="s">
        <v>1805</v>
      </c>
      <c r="J105" s="587" t="s">
        <v>1638</v>
      </c>
      <c r="K105" s="556" t="s">
        <v>1806</v>
      </c>
      <c r="L105" s="557">
        <v>4.0</v>
      </c>
      <c r="M105" s="549" t="s">
        <v>1797</v>
      </c>
      <c r="N105" s="561">
        <v>4.0</v>
      </c>
      <c r="O105" s="40" t="s">
        <v>1807</v>
      </c>
      <c r="P105" s="100">
        <v>1.0</v>
      </c>
      <c r="Q105" s="532" t="s">
        <v>1799</v>
      </c>
      <c r="R105" s="533">
        <v>3.0</v>
      </c>
      <c r="S105" s="582">
        <f>_xlfn.MODE.SNGL(K105:R109)</f>
        <v>4</v>
      </c>
      <c r="T105" s="535"/>
      <c r="U105" s="535"/>
      <c r="V105" s="535"/>
      <c r="W105" s="535"/>
    </row>
    <row r="106" ht="15.75" customHeight="1">
      <c r="A106" s="536"/>
      <c r="B106" s="536"/>
      <c r="C106" s="536"/>
      <c r="D106" s="536"/>
      <c r="E106" s="82" t="s">
        <v>119</v>
      </c>
      <c r="F106" s="82" t="s">
        <v>120</v>
      </c>
      <c r="G106" s="160" t="s">
        <v>124</v>
      </c>
      <c r="H106" s="82" t="s">
        <v>1643</v>
      </c>
      <c r="I106" s="94" t="s">
        <v>1808</v>
      </c>
      <c r="J106" s="588"/>
      <c r="K106" s="536"/>
      <c r="L106" s="536"/>
      <c r="M106" s="538"/>
      <c r="N106" s="536"/>
      <c r="O106" s="536"/>
      <c r="P106" s="536"/>
      <c r="Q106" s="539"/>
      <c r="R106" s="539"/>
      <c r="S106" s="538"/>
      <c r="T106" s="536"/>
      <c r="U106" s="536"/>
      <c r="V106" s="536"/>
      <c r="W106" s="536"/>
    </row>
    <row r="107" ht="15.75" customHeight="1">
      <c r="A107" s="536"/>
      <c r="B107" s="536"/>
      <c r="C107" s="536"/>
      <c r="D107" s="536"/>
      <c r="E107" s="82" t="s">
        <v>119</v>
      </c>
      <c r="F107" s="82" t="s">
        <v>120</v>
      </c>
      <c r="G107" s="160" t="s">
        <v>124</v>
      </c>
      <c r="H107" s="82" t="s">
        <v>1645</v>
      </c>
      <c r="I107" s="94" t="s">
        <v>1809</v>
      </c>
      <c r="J107" s="588"/>
      <c r="K107" s="536"/>
      <c r="L107" s="536"/>
      <c r="M107" s="538"/>
      <c r="N107" s="536"/>
      <c r="O107" s="536"/>
      <c r="P107" s="536"/>
      <c r="Q107" s="539"/>
      <c r="R107" s="539"/>
      <c r="S107" s="538"/>
      <c r="T107" s="536"/>
      <c r="U107" s="536"/>
      <c r="V107" s="536"/>
      <c r="W107" s="536"/>
    </row>
    <row r="108" ht="15.75" customHeight="1">
      <c r="A108" s="536"/>
      <c r="B108" s="536"/>
      <c r="C108" s="536"/>
      <c r="D108" s="536"/>
      <c r="E108" s="82" t="s">
        <v>119</v>
      </c>
      <c r="F108" s="82" t="s">
        <v>120</v>
      </c>
      <c r="G108" s="160" t="s">
        <v>124</v>
      </c>
      <c r="H108" s="82" t="s">
        <v>1638</v>
      </c>
      <c r="I108" s="94" t="s">
        <v>1810</v>
      </c>
      <c r="J108" s="588"/>
      <c r="K108" s="536"/>
      <c r="L108" s="536"/>
      <c r="M108" s="538"/>
      <c r="N108" s="536"/>
      <c r="O108" s="536"/>
      <c r="P108" s="536"/>
      <c r="Q108" s="539"/>
      <c r="R108" s="539"/>
      <c r="S108" s="538"/>
      <c r="T108" s="536"/>
      <c r="U108" s="536"/>
      <c r="V108" s="536"/>
      <c r="W108" s="536"/>
    </row>
    <row r="109" ht="15.75" customHeight="1">
      <c r="A109" s="536"/>
      <c r="B109" s="536"/>
      <c r="C109" s="210"/>
      <c r="D109" s="210"/>
      <c r="E109" s="82" t="s">
        <v>119</v>
      </c>
      <c r="F109" s="82" t="s">
        <v>120</v>
      </c>
      <c r="G109" s="160" t="s">
        <v>124</v>
      </c>
      <c r="H109" s="82" t="s">
        <v>1648</v>
      </c>
      <c r="I109" s="94" t="s">
        <v>1811</v>
      </c>
      <c r="J109" s="211"/>
      <c r="K109" s="210"/>
      <c r="L109" s="210"/>
      <c r="M109" s="213"/>
      <c r="N109" s="210"/>
      <c r="O109" s="210"/>
      <c r="P109" s="210"/>
      <c r="Q109" s="440"/>
      <c r="R109" s="440"/>
      <c r="S109" s="213"/>
      <c r="T109" s="210"/>
      <c r="U109" s="210"/>
      <c r="V109" s="210"/>
      <c r="W109" s="210"/>
    </row>
    <row r="110" ht="15.75" customHeight="1">
      <c r="A110" s="536"/>
      <c r="B110" s="536"/>
      <c r="C110" s="100">
        <v>3.0</v>
      </c>
      <c r="D110" s="58" t="s">
        <v>1812</v>
      </c>
      <c r="E110" s="82" t="s">
        <v>119</v>
      </c>
      <c r="F110" s="82" t="s">
        <v>120</v>
      </c>
      <c r="G110" s="160" t="s">
        <v>124</v>
      </c>
      <c r="H110" s="82" t="s">
        <v>1636</v>
      </c>
      <c r="I110" s="94" t="s">
        <v>1813</v>
      </c>
      <c r="J110" s="587" t="s">
        <v>1638</v>
      </c>
      <c r="K110" s="556" t="s">
        <v>1814</v>
      </c>
      <c r="L110" s="557">
        <v>4.0</v>
      </c>
      <c r="M110" s="549" t="s">
        <v>1797</v>
      </c>
      <c r="N110" s="561">
        <v>4.0</v>
      </c>
      <c r="O110" s="40" t="s">
        <v>1815</v>
      </c>
      <c r="P110" s="100">
        <v>1.0</v>
      </c>
      <c r="Q110" s="532" t="s">
        <v>1799</v>
      </c>
      <c r="R110" s="533">
        <v>3.0</v>
      </c>
      <c r="S110" s="582">
        <f>_xlfn.MODE.SNGL(K110:R114)</f>
        <v>4</v>
      </c>
      <c r="T110" s="535"/>
      <c r="U110" s="535"/>
      <c r="V110" s="535"/>
      <c r="W110" s="535"/>
    </row>
    <row r="111" ht="15.75" customHeight="1">
      <c r="A111" s="536"/>
      <c r="B111" s="536"/>
      <c r="C111" s="536"/>
      <c r="D111" s="536"/>
      <c r="E111" s="82" t="s">
        <v>119</v>
      </c>
      <c r="F111" s="82" t="s">
        <v>120</v>
      </c>
      <c r="G111" s="160" t="s">
        <v>124</v>
      </c>
      <c r="H111" s="82" t="s">
        <v>1643</v>
      </c>
      <c r="I111" s="94" t="s">
        <v>1816</v>
      </c>
      <c r="J111" s="588"/>
      <c r="K111" s="536"/>
      <c r="L111" s="536"/>
      <c r="M111" s="538"/>
      <c r="N111" s="536"/>
      <c r="O111" s="536"/>
      <c r="P111" s="536"/>
      <c r="Q111" s="539"/>
      <c r="R111" s="539"/>
      <c r="S111" s="538"/>
      <c r="T111" s="536"/>
      <c r="U111" s="536"/>
      <c r="V111" s="536"/>
      <c r="W111" s="536"/>
    </row>
    <row r="112" ht="15.75" customHeight="1">
      <c r="A112" s="536"/>
      <c r="B112" s="536"/>
      <c r="C112" s="536"/>
      <c r="D112" s="536"/>
      <c r="E112" s="82" t="s">
        <v>119</v>
      </c>
      <c r="F112" s="82" t="s">
        <v>120</v>
      </c>
      <c r="G112" s="160" t="s">
        <v>124</v>
      </c>
      <c r="H112" s="82" t="s">
        <v>1645</v>
      </c>
      <c r="I112" s="94" t="s">
        <v>1817</v>
      </c>
      <c r="J112" s="588"/>
      <c r="K112" s="536"/>
      <c r="L112" s="536"/>
      <c r="M112" s="538"/>
      <c r="N112" s="536"/>
      <c r="O112" s="536"/>
      <c r="P112" s="536"/>
      <c r="Q112" s="539"/>
      <c r="R112" s="539"/>
      <c r="S112" s="538"/>
      <c r="T112" s="536"/>
      <c r="U112" s="536"/>
      <c r="V112" s="536"/>
      <c r="W112" s="536"/>
    </row>
    <row r="113" ht="15.75" customHeight="1">
      <c r="A113" s="536"/>
      <c r="B113" s="536"/>
      <c r="C113" s="536"/>
      <c r="D113" s="536"/>
      <c r="E113" s="82" t="s">
        <v>119</v>
      </c>
      <c r="F113" s="82" t="s">
        <v>120</v>
      </c>
      <c r="G113" s="160" t="s">
        <v>124</v>
      </c>
      <c r="H113" s="82" t="s">
        <v>1638</v>
      </c>
      <c r="I113" s="94" t="s">
        <v>1818</v>
      </c>
      <c r="J113" s="588"/>
      <c r="K113" s="536"/>
      <c r="L113" s="536"/>
      <c r="M113" s="538"/>
      <c r="N113" s="536"/>
      <c r="O113" s="536"/>
      <c r="P113" s="536"/>
      <c r="Q113" s="539"/>
      <c r="R113" s="539"/>
      <c r="S113" s="538"/>
      <c r="T113" s="536"/>
      <c r="U113" s="536"/>
      <c r="V113" s="536"/>
      <c r="W113" s="536"/>
    </row>
    <row r="114" ht="15.75" customHeight="1">
      <c r="A114" s="536"/>
      <c r="B114" s="536"/>
      <c r="C114" s="210"/>
      <c r="D114" s="210"/>
      <c r="E114" s="82" t="s">
        <v>119</v>
      </c>
      <c r="F114" s="82" t="s">
        <v>120</v>
      </c>
      <c r="G114" s="160" t="s">
        <v>124</v>
      </c>
      <c r="H114" s="82" t="s">
        <v>1648</v>
      </c>
      <c r="I114" s="94" t="s">
        <v>1819</v>
      </c>
      <c r="J114" s="211"/>
      <c r="K114" s="210"/>
      <c r="L114" s="210"/>
      <c r="M114" s="213"/>
      <c r="N114" s="210"/>
      <c r="O114" s="210"/>
      <c r="P114" s="210"/>
      <c r="Q114" s="440"/>
      <c r="R114" s="440"/>
      <c r="S114" s="213"/>
      <c r="T114" s="210"/>
      <c r="U114" s="210"/>
      <c r="V114" s="210"/>
      <c r="W114" s="210"/>
    </row>
    <row r="115" ht="15.75" customHeight="1">
      <c r="A115" s="536"/>
      <c r="B115" s="536"/>
      <c r="C115" s="100">
        <v>4.0</v>
      </c>
      <c r="D115" s="58" t="s">
        <v>177</v>
      </c>
      <c r="E115" s="82" t="s">
        <v>119</v>
      </c>
      <c r="F115" s="82" t="s">
        <v>120</v>
      </c>
      <c r="G115" s="160" t="s">
        <v>124</v>
      </c>
      <c r="H115" s="82" t="s">
        <v>1636</v>
      </c>
      <c r="I115" s="94" t="s">
        <v>1820</v>
      </c>
      <c r="J115" s="587" t="s">
        <v>1638</v>
      </c>
      <c r="K115" s="556" t="s">
        <v>1821</v>
      </c>
      <c r="L115" s="557">
        <v>4.0</v>
      </c>
      <c r="M115" s="549" t="s">
        <v>1797</v>
      </c>
      <c r="N115" s="561">
        <v>3.0</v>
      </c>
      <c r="O115" s="40" t="s">
        <v>1822</v>
      </c>
      <c r="P115" s="100">
        <v>1.0</v>
      </c>
      <c r="Q115" s="532" t="s">
        <v>1799</v>
      </c>
      <c r="R115" s="533">
        <v>3.0</v>
      </c>
      <c r="S115" s="582">
        <f>_xlfn.MODE.SNGL(K115:R119)</f>
        <v>3</v>
      </c>
      <c r="T115" s="535"/>
      <c r="U115" s="535"/>
      <c r="V115" s="535"/>
      <c r="W115" s="535"/>
    </row>
    <row r="116" ht="15.75" customHeight="1">
      <c r="A116" s="536"/>
      <c r="B116" s="536"/>
      <c r="C116" s="536"/>
      <c r="D116" s="536"/>
      <c r="E116" s="82" t="s">
        <v>119</v>
      </c>
      <c r="F116" s="82" t="s">
        <v>120</v>
      </c>
      <c r="G116" s="160" t="s">
        <v>124</v>
      </c>
      <c r="H116" s="82" t="s">
        <v>1643</v>
      </c>
      <c r="I116" s="94" t="s">
        <v>1823</v>
      </c>
      <c r="J116" s="588"/>
      <c r="K116" s="536"/>
      <c r="L116" s="536"/>
      <c r="M116" s="538"/>
      <c r="N116" s="536"/>
      <c r="O116" s="536"/>
      <c r="P116" s="536"/>
      <c r="Q116" s="539"/>
      <c r="R116" s="539"/>
      <c r="S116" s="538"/>
      <c r="T116" s="536"/>
      <c r="U116" s="536"/>
      <c r="V116" s="536"/>
      <c r="W116" s="536"/>
    </row>
    <row r="117" ht="15.75" customHeight="1">
      <c r="A117" s="536"/>
      <c r="B117" s="536"/>
      <c r="C117" s="536"/>
      <c r="D117" s="536"/>
      <c r="E117" s="82" t="s">
        <v>119</v>
      </c>
      <c r="F117" s="82" t="s">
        <v>120</v>
      </c>
      <c r="G117" s="160" t="s">
        <v>124</v>
      </c>
      <c r="H117" s="82" t="s">
        <v>1645</v>
      </c>
      <c r="I117" s="94" t="s">
        <v>1824</v>
      </c>
      <c r="J117" s="588"/>
      <c r="K117" s="536"/>
      <c r="L117" s="536"/>
      <c r="M117" s="538"/>
      <c r="N117" s="536"/>
      <c r="O117" s="536"/>
      <c r="P117" s="536"/>
      <c r="Q117" s="539"/>
      <c r="R117" s="539"/>
      <c r="S117" s="538"/>
      <c r="T117" s="536"/>
      <c r="U117" s="536"/>
      <c r="V117" s="536"/>
      <c r="W117" s="536"/>
    </row>
    <row r="118" ht="15.75" customHeight="1">
      <c r="A118" s="536"/>
      <c r="B118" s="536"/>
      <c r="C118" s="536"/>
      <c r="D118" s="536"/>
      <c r="E118" s="82" t="s">
        <v>119</v>
      </c>
      <c r="F118" s="82" t="s">
        <v>120</v>
      </c>
      <c r="G118" s="160" t="s">
        <v>124</v>
      </c>
      <c r="H118" s="82" t="s">
        <v>1638</v>
      </c>
      <c r="I118" s="94" t="s">
        <v>1825</v>
      </c>
      <c r="J118" s="588"/>
      <c r="K118" s="536"/>
      <c r="L118" s="536"/>
      <c r="M118" s="538"/>
      <c r="N118" s="536"/>
      <c r="O118" s="536"/>
      <c r="P118" s="536"/>
      <c r="Q118" s="539"/>
      <c r="R118" s="539"/>
      <c r="S118" s="538"/>
      <c r="T118" s="536"/>
      <c r="U118" s="536"/>
      <c r="V118" s="536"/>
      <c r="W118" s="536"/>
    </row>
    <row r="119" ht="15.75" customHeight="1">
      <c r="A119" s="536"/>
      <c r="B119" s="536"/>
      <c r="C119" s="210"/>
      <c r="D119" s="210"/>
      <c r="E119" s="82" t="s">
        <v>119</v>
      </c>
      <c r="F119" s="82" t="s">
        <v>120</v>
      </c>
      <c r="G119" s="160" t="s">
        <v>124</v>
      </c>
      <c r="H119" s="82" t="s">
        <v>1648</v>
      </c>
      <c r="I119" s="94" t="s">
        <v>1826</v>
      </c>
      <c r="J119" s="211"/>
      <c r="K119" s="210"/>
      <c r="L119" s="210"/>
      <c r="M119" s="213"/>
      <c r="N119" s="210"/>
      <c r="O119" s="210"/>
      <c r="P119" s="210"/>
      <c r="Q119" s="440"/>
      <c r="R119" s="440"/>
      <c r="S119" s="213"/>
      <c r="T119" s="210"/>
      <c r="U119" s="210"/>
      <c r="V119" s="210"/>
      <c r="W119" s="210"/>
    </row>
    <row r="120" ht="15.75" customHeight="1">
      <c r="A120" s="536"/>
      <c r="B120" s="536"/>
      <c r="C120" s="100">
        <v>5.0</v>
      </c>
      <c r="D120" s="58" t="s">
        <v>178</v>
      </c>
      <c r="E120" s="82" t="s">
        <v>119</v>
      </c>
      <c r="F120" s="82" t="s">
        <v>120</v>
      </c>
      <c r="G120" s="160" t="s">
        <v>124</v>
      </c>
      <c r="H120" s="82" t="s">
        <v>1636</v>
      </c>
      <c r="I120" s="94" t="s">
        <v>1827</v>
      </c>
      <c r="J120" s="587" t="s">
        <v>1638</v>
      </c>
      <c r="K120" s="556" t="s">
        <v>1828</v>
      </c>
      <c r="L120" s="557">
        <v>4.0</v>
      </c>
      <c r="M120" s="549" t="s">
        <v>1797</v>
      </c>
      <c r="N120" s="561">
        <v>3.0</v>
      </c>
      <c r="O120" s="40" t="s">
        <v>1829</v>
      </c>
      <c r="P120" s="100">
        <v>1.0</v>
      </c>
      <c r="Q120" s="532" t="s">
        <v>1799</v>
      </c>
      <c r="R120" s="533">
        <v>3.0</v>
      </c>
      <c r="S120" s="582">
        <f>_xlfn.MODE.SNGL(K120:R124)</f>
        <v>3</v>
      </c>
      <c r="T120" s="535"/>
      <c r="U120" s="535"/>
      <c r="V120" s="535"/>
      <c r="W120" s="535"/>
    </row>
    <row r="121" ht="15.75" customHeight="1">
      <c r="A121" s="536"/>
      <c r="B121" s="536"/>
      <c r="C121" s="536"/>
      <c r="D121" s="536"/>
      <c r="E121" s="82" t="s">
        <v>119</v>
      </c>
      <c r="F121" s="82" t="s">
        <v>120</v>
      </c>
      <c r="G121" s="160" t="s">
        <v>124</v>
      </c>
      <c r="H121" s="82" t="s">
        <v>1643</v>
      </c>
      <c r="I121" s="94" t="s">
        <v>1830</v>
      </c>
      <c r="J121" s="588"/>
      <c r="K121" s="536"/>
      <c r="L121" s="536"/>
      <c r="M121" s="538"/>
      <c r="N121" s="536"/>
      <c r="O121" s="536"/>
      <c r="P121" s="536"/>
      <c r="Q121" s="539"/>
      <c r="R121" s="539"/>
      <c r="S121" s="538"/>
      <c r="T121" s="536"/>
      <c r="U121" s="536"/>
      <c r="V121" s="536"/>
      <c r="W121" s="536"/>
    </row>
    <row r="122" ht="15.75" customHeight="1">
      <c r="A122" s="536"/>
      <c r="B122" s="536"/>
      <c r="C122" s="536"/>
      <c r="D122" s="536"/>
      <c r="E122" s="82" t="s">
        <v>119</v>
      </c>
      <c r="F122" s="82" t="s">
        <v>120</v>
      </c>
      <c r="G122" s="160" t="s">
        <v>124</v>
      </c>
      <c r="H122" s="82" t="s">
        <v>1645</v>
      </c>
      <c r="I122" s="94" t="s">
        <v>1831</v>
      </c>
      <c r="J122" s="588"/>
      <c r="K122" s="536"/>
      <c r="L122" s="536"/>
      <c r="M122" s="538"/>
      <c r="N122" s="536"/>
      <c r="O122" s="536"/>
      <c r="P122" s="536"/>
      <c r="Q122" s="539"/>
      <c r="R122" s="539"/>
      <c r="S122" s="538"/>
      <c r="T122" s="536"/>
      <c r="U122" s="536"/>
      <c r="V122" s="536"/>
      <c r="W122" s="536"/>
    </row>
    <row r="123" ht="15.75" customHeight="1">
      <c r="A123" s="536"/>
      <c r="B123" s="536"/>
      <c r="C123" s="536"/>
      <c r="D123" s="536"/>
      <c r="E123" s="82" t="s">
        <v>119</v>
      </c>
      <c r="F123" s="82" t="s">
        <v>120</v>
      </c>
      <c r="G123" s="160" t="s">
        <v>124</v>
      </c>
      <c r="H123" s="82" t="s">
        <v>1638</v>
      </c>
      <c r="I123" s="94" t="s">
        <v>1832</v>
      </c>
      <c r="J123" s="588"/>
      <c r="K123" s="536"/>
      <c r="L123" s="536"/>
      <c r="M123" s="538"/>
      <c r="N123" s="536"/>
      <c r="O123" s="536"/>
      <c r="P123" s="536"/>
      <c r="Q123" s="539"/>
      <c r="R123" s="539"/>
      <c r="S123" s="538"/>
      <c r="T123" s="536"/>
      <c r="U123" s="536"/>
      <c r="V123" s="536"/>
      <c r="W123" s="536"/>
    </row>
    <row r="124" ht="15.75" customHeight="1">
      <c r="A124" s="210"/>
      <c r="B124" s="210"/>
      <c r="C124" s="210"/>
      <c r="D124" s="210"/>
      <c r="E124" s="82" t="s">
        <v>119</v>
      </c>
      <c r="F124" s="82" t="s">
        <v>120</v>
      </c>
      <c r="G124" s="160" t="s">
        <v>124</v>
      </c>
      <c r="H124" s="82" t="s">
        <v>1648</v>
      </c>
      <c r="I124" s="94" t="s">
        <v>1833</v>
      </c>
      <c r="J124" s="211"/>
      <c r="K124" s="210"/>
      <c r="L124" s="210"/>
      <c r="M124" s="213"/>
      <c r="N124" s="210"/>
      <c r="O124" s="210"/>
      <c r="P124" s="210"/>
      <c r="Q124" s="440"/>
      <c r="R124" s="440"/>
      <c r="S124" s="213"/>
      <c r="T124" s="210"/>
      <c r="U124" s="210"/>
      <c r="V124" s="210"/>
      <c r="W124" s="210"/>
    </row>
    <row r="125" ht="15.75" customHeight="1">
      <c r="A125" s="144" t="s">
        <v>180</v>
      </c>
      <c r="B125" s="143" t="s">
        <v>181</v>
      </c>
      <c r="C125" s="62"/>
      <c r="D125" s="62"/>
      <c r="E125" s="62"/>
      <c r="F125" s="62"/>
      <c r="G125" s="63"/>
      <c r="H125" s="144"/>
      <c r="I125" s="144"/>
      <c r="J125" s="541"/>
      <c r="K125" s="565"/>
      <c r="L125" s="543"/>
      <c r="M125" s="544"/>
      <c r="N125" s="552"/>
      <c r="O125" s="553"/>
      <c r="P125" s="547">
        <v>5.0</v>
      </c>
      <c r="Q125" s="547"/>
      <c r="R125" s="547"/>
      <c r="S125" s="548">
        <f>S126</f>
        <v>3</v>
      </c>
      <c r="T125" s="525"/>
      <c r="U125" s="525"/>
      <c r="V125" s="526"/>
      <c r="W125" s="525"/>
    </row>
    <row r="126" ht="15.75" customHeight="1">
      <c r="A126" s="100"/>
      <c r="B126" s="100"/>
      <c r="C126" s="100">
        <v>1.0</v>
      </c>
      <c r="D126" s="58" t="s">
        <v>1834</v>
      </c>
      <c r="E126" s="82" t="s">
        <v>119</v>
      </c>
      <c r="F126" s="82" t="s">
        <v>124</v>
      </c>
      <c r="G126" s="94" t="s">
        <v>124</v>
      </c>
      <c r="H126" s="82" t="s">
        <v>1636</v>
      </c>
      <c r="I126" s="50" t="s">
        <v>1835</v>
      </c>
      <c r="J126" s="587" t="s">
        <v>1638</v>
      </c>
      <c r="K126" s="589" t="s">
        <v>1836</v>
      </c>
      <c r="L126" s="529">
        <v>4.0</v>
      </c>
      <c r="M126" s="549" t="s">
        <v>1797</v>
      </c>
      <c r="N126" s="561">
        <v>3.0</v>
      </c>
      <c r="O126" s="40" t="s">
        <v>1837</v>
      </c>
      <c r="P126" s="100">
        <v>5.0</v>
      </c>
      <c r="Q126" s="532" t="s">
        <v>1838</v>
      </c>
      <c r="R126" s="533">
        <v>3.0</v>
      </c>
      <c r="S126" s="582">
        <f>_xlfn.MODE.SNGL(K126:R130)</f>
        <v>3</v>
      </c>
      <c r="T126" s="535"/>
      <c r="U126" s="535"/>
      <c r="V126" s="535"/>
      <c r="W126" s="535"/>
    </row>
    <row r="127" ht="15.75" customHeight="1">
      <c r="A127" s="536"/>
      <c r="B127" s="536"/>
      <c r="C127" s="536"/>
      <c r="D127" s="536"/>
      <c r="E127" s="82" t="s">
        <v>119</v>
      </c>
      <c r="F127" s="82" t="s">
        <v>124</v>
      </c>
      <c r="G127" s="94" t="s">
        <v>124</v>
      </c>
      <c r="H127" s="82" t="s">
        <v>1643</v>
      </c>
      <c r="I127" s="50" t="s">
        <v>1839</v>
      </c>
      <c r="J127" s="588"/>
      <c r="K127" s="536"/>
      <c r="L127" s="536"/>
      <c r="M127" s="538"/>
      <c r="N127" s="536"/>
      <c r="O127" s="536"/>
      <c r="P127" s="536"/>
      <c r="Q127" s="539"/>
      <c r="R127" s="539"/>
      <c r="S127" s="538"/>
      <c r="T127" s="536"/>
      <c r="U127" s="536"/>
      <c r="V127" s="536"/>
      <c r="W127" s="536"/>
    </row>
    <row r="128" ht="15.75" customHeight="1">
      <c r="A128" s="536"/>
      <c r="B128" s="536"/>
      <c r="C128" s="536"/>
      <c r="D128" s="536"/>
      <c r="E128" s="82" t="s">
        <v>119</v>
      </c>
      <c r="F128" s="82" t="s">
        <v>124</v>
      </c>
      <c r="G128" s="94" t="s">
        <v>124</v>
      </c>
      <c r="H128" s="82" t="s">
        <v>1645</v>
      </c>
      <c r="I128" s="50" t="s">
        <v>1840</v>
      </c>
      <c r="J128" s="588"/>
      <c r="K128" s="536"/>
      <c r="L128" s="536"/>
      <c r="M128" s="538"/>
      <c r="N128" s="536"/>
      <c r="O128" s="536"/>
      <c r="P128" s="536"/>
      <c r="Q128" s="539"/>
      <c r="R128" s="539"/>
      <c r="S128" s="538"/>
      <c r="T128" s="536"/>
      <c r="U128" s="536"/>
      <c r="V128" s="536"/>
      <c r="W128" s="536"/>
    </row>
    <row r="129" ht="15.75" customHeight="1">
      <c r="A129" s="536"/>
      <c r="B129" s="536"/>
      <c r="C129" s="536"/>
      <c r="D129" s="536"/>
      <c r="E129" s="82" t="s">
        <v>119</v>
      </c>
      <c r="F129" s="82" t="s">
        <v>124</v>
      </c>
      <c r="G129" s="94" t="s">
        <v>124</v>
      </c>
      <c r="H129" s="82" t="s">
        <v>1638</v>
      </c>
      <c r="I129" s="50" t="s">
        <v>1841</v>
      </c>
      <c r="J129" s="588"/>
      <c r="K129" s="536"/>
      <c r="L129" s="536"/>
      <c r="M129" s="538"/>
      <c r="N129" s="536"/>
      <c r="O129" s="536"/>
      <c r="P129" s="536"/>
      <c r="Q129" s="539"/>
      <c r="R129" s="539"/>
      <c r="S129" s="538"/>
      <c r="T129" s="536"/>
      <c r="U129" s="536"/>
      <c r="V129" s="536"/>
      <c r="W129" s="536"/>
    </row>
    <row r="130" ht="15.75" customHeight="1">
      <c r="A130" s="210"/>
      <c r="B130" s="210"/>
      <c r="C130" s="210"/>
      <c r="D130" s="210"/>
      <c r="E130" s="82" t="s">
        <v>119</v>
      </c>
      <c r="F130" s="82" t="s">
        <v>124</v>
      </c>
      <c r="G130" s="94" t="s">
        <v>124</v>
      </c>
      <c r="H130" s="82" t="s">
        <v>1648</v>
      </c>
      <c r="I130" s="50" t="s">
        <v>1842</v>
      </c>
      <c r="J130" s="211"/>
      <c r="K130" s="210"/>
      <c r="L130" s="210"/>
      <c r="M130" s="213"/>
      <c r="N130" s="210"/>
      <c r="O130" s="210"/>
      <c r="P130" s="210"/>
      <c r="Q130" s="440"/>
      <c r="R130" s="440"/>
      <c r="S130" s="213"/>
      <c r="T130" s="210"/>
      <c r="U130" s="210"/>
      <c r="V130" s="210"/>
      <c r="W130" s="210"/>
    </row>
    <row r="131" ht="15.75" customHeight="1">
      <c r="A131" s="144" t="s">
        <v>183</v>
      </c>
      <c r="B131" s="143" t="s">
        <v>184</v>
      </c>
      <c r="C131" s="62"/>
      <c r="D131" s="62"/>
      <c r="E131" s="62"/>
      <c r="F131" s="62"/>
      <c r="G131" s="63"/>
      <c r="H131" s="144"/>
      <c r="I131" s="144"/>
      <c r="J131" s="521"/>
      <c r="K131" s="570"/>
      <c r="L131" s="543"/>
      <c r="M131" s="544"/>
      <c r="N131" s="552"/>
      <c r="O131" s="553"/>
      <c r="P131" s="547">
        <v>4.0</v>
      </c>
      <c r="Q131" s="547"/>
      <c r="R131" s="547"/>
      <c r="S131" s="524">
        <f>S132</f>
        <v>4</v>
      </c>
      <c r="T131" s="525"/>
      <c r="U131" s="525"/>
      <c r="V131" s="526"/>
      <c r="W131" s="525"/>
    </row>
    <row r="132" ht="15.75" customHeight="1">
      <c r="A132" s="100"/>
      <c r="B132" s="100"/>
      <c r="C132" s="100">
        <v>1.0</v>
      </c>
      <c r="D132" s="58" t="s">
        <v>185</v>
      </c>
      <c r="E132" s="82" t="s">
        <v>119</v>
      </c>
      <c r="F132" s="82" t="s">
        <v>124</v>
      </c>
      <c r="G132" s="94" t="s">
        <v>124</v>
      </c>
      <c r="H132" s="82" t="s">
        <v>1636</v>
      </c>
      <c r="I132" s="94" t="s">
        <v>1843</v>
      </c>
      <c r="J132" s="587" t="s">
        <v>1638</v>
      </c>
      <c r="K132" s="528" t="s">
        <v>1844</v>
      </c>
      <c r="L132" s="529">
        <v>4.0</v>
      </c>
      <c r="M132" s="549" t="s">
        <v>1845</v>
      </c>
      <c r="N132" s="550">
        <v>5.0</v>
      </c>
      <c r="O132" s="40" t="s">
        <v>1846</v>
      </c>
      <c r="P132" s="100">
        <v>4.0</v>
      </c>
      <c r="Q132" s="532" t="s">
        <v>1847</v>
      </c>
      <c r="R132" s="533">
        <v>3.0</v>
      </c>
      <c r="S132" s="582">
        <f>_xlfn.MODE.SNGL(K132:R136)</f>
        <v>4</v>
      </c>
      <c r="T132" s="535"/>
      <c r="U132" s="535"/>
      <c r="V132" s="535"/>
      <c r="W132" s="535"/>
    </row>
    <row r="133" ht="15.75" customHeight="1">
      <c r="A133" s="536"/>
      <c r="B133" s="536"/>
      <c r="C133" s="536"/>
      <c r="D133" s="536"/>
      <c r="E133" s="82" t="s">
        <v>119</v>
      </c>
      <c r="F133" s="82" t="s">
        <v>124</v>
      </c>
      <c r="G133" s="94" t="s">
        <v>124</v>
      </c>
      <c r="H133" s="82" t="s">
        <v>1643</v>
      </c>
      <c r="I133" s="94" t="s">
        <v>1848</v>
      </c>
      <c r="J133" s="588"/>
      <c r="K133" s="536"/>
      <c r="L133" s="536"/>
      <c r="M133" s="538"/>
      <c r="N133" s="536"/>
      <c r="O133" s="536"/>
      <c r="P133" s="536"/>
      <c r="Q133" s="539"/>
      <c r="R133" s="539"/>
      <c r="S133" s="538"/>
      <c r="T133" s="536"/>
      <c r="U133" s="536"/>
      <c r="V133" s="536"/>
      <c r="W133" s="536"/>
    </row>
    <row r="134" ht="15.75" customHeight="1">
      <c r="A134" s="536"/>
      <c r="B134" s="536"/>
      <c r="C134" s="536"/>
      <c r="D134" s="536"/>
      <c r="E134" s="82" t="s">
        <v>119</v>
      </c>
      <c r="F134" s="82" t="s">
        <v>124</v>
      </c>
      <c r="G134" s="94" t="s">
        <v>124</v>
      </c>
      <c r="H134" s="82" t="s">
        <v>1645</v>
      </c>
      <c r="I134" s="94" t="s">
        <v>1849</v>
      </c>
      <c r="J134" s="588"/>
      <c r="K134" s="536"/>
      <c r="L134" s="536"/>
      <c r="M134" s="538"/>
      <c r="N134" s="536"/>
      <c r="O134" s="536"/>
      <c r="P134" s="536"/>
      <c r="Q134" s="539"/>
      <c r="R134" s="539"/>
      <c r="S134" s="538"/>
      <c r="T134" s="536"/>
      <c r="U134" s="536"/>
      <c r="V134" s="536"/>
      <c r="W134" s="536"/>
    </row>
    <row r="135" ht="15.75" customHeight="1">
      <c r="A135" s="536"/>
      <c r="B135" s="536"/>
      <c r="C135" s="536"/>
      <c r="D135" s="536"/>
      <c r="E135" s="82" t="s">
        <v>119</v>
      </c>
      <c r="F135" s="82" t="s">
        <v>124</v>
      </c>
      <c r="G135" s="94" t="s">
        <v>124</v>
      </c>
      <c r="H135" s="82" t="s">
        <v>1638</v>
      </c>
      <c r="I135" s="94" t="s">
        <v>1850</v>
      </c>
      <c r="J135" s="588"/>
      <c r="K135" s="536"/>
      <c r="L135" s="536"/>
      <c r="M135" s="538"/>
      <c r="N135" s="536"/>
      <c r="O135" s="536"/>
      <c r="P135" s="536"/>
      <c r="Q135" s="539"/>
      <c r="R135" s="539"/>
      <c r="S135" s="538"/>
      <c r="T135" s="536"/>
      <c r="U135" s="536"/>
      <c r="V135" s="536"/>
      <c r="W135" s="536"/>
    </row>
    <row r="136" ht="15.75" customHeight="1">
      <c r="A136" s="210"/>
      <c r="B136" s="210"/>
      <c r="C136" s="210"/>
      <c r="D136" s="210"/>
      <c r="E136" s="82" t="s">
        <v>119</v>
      </c>
      <c r="F136" s="82" t="s">
        <v>124</v>
      </c>
      <c r="G136" s="94" t="s">
        <v>124</v>
      </c>
      <c r="H136" s="82" t="s">
        <v>1648</v>
      </c>
      <c r="I136" s="94" t="s">
        <v>1851</v>
      </c>
      <c r="J136" s="211"/>
      <c r="K136" s="210"/>
      <c r="L136" s="210"/>
      <c r="M136" s="213"/>
      <c r="N136" s="210"/>
      <c r="O136" s="210"/>
      <c r="P136" s="210"/>
      <c r="Q136" s="440"/>
      <c r="R136" s="440"/>
      <c r="S136" s="213"/>
      <c r="T136" s="210"/>
      <c r="U136" s="210"/>
      <c r="V136" s="210"/>
      <c r="W136" s="210"/>
    </row>
    <row r="137" ht="15.75" customHeight="1">
      <c r="A137" s="144" t="s">
        <v>186</v>
      </c>
      <c r="B137" s="143" t="s">
        <v>187</v>
      </c>
      <c r="C137" s="62"/>
      <c r="D137" s="62"/>
      <c r="E137" s="62"/>
      <c r="F137" s="62"/>
      <c r="G137" s="63"/>
      <c r="H137" s="144"/>
      <c r="I137" s="144"/>
      <c r="J137" s="541"/>
      <c r="K137" s="565"/>
      <c r="L137" s="543"/>
      <c r="M137" s="544"/>
      <c r="N137" s="552"/>
      <c r="O137" s="553"/>
      <c r="P137" s="547">
        <v>4.0</v>
      </c>
      <c r="Q137" s="547"/>
      <c r="R137" s="547"/>
      <c r="S137" s="548">
        <f>S138</f>
        <v>4</v>
      </c>
      <c r="T137" s="525"/>
      <c r="U137" s="525"/>
      <c r="V137" s="526"/>
      <c r="W137" s="525"/>
    </row>
    <row r="138" ht="15.75" customHeight="1">
      <c r="A138" s="100"/>
      <c r="B138" s="100"/>
      <c r="C138" s="100">
        <v>1.0</v>
      </c>
      <c r="D138" s="58" t="s">
        <v>1852</v>
      </c>
      <c r="E138" s="82" t="s">
        <v>119</v>
      </c>
      <c r="F138" s="82" t="s">
        <v>124</v>
      </c>
      <c r="G138" s="94" t="s">
        <v>124</v>
      </c>
      <c r="H138" s="82" t="s">
        <v>1636</v>
      </c>
      <c r="I138" s="50" t="s">
        <v>1853</v>
      </c>
      <c r="J138" s="587" t="s">
        <v>1638</v>
      </c>
      <c r="K138" s="528" t="s">
        <v>1854</v>
      </c>
      <c r="L138" s="529">
        <v>4.0</v>
      </c>
      <c r="M138" s="549" t="s">
        <v>1855</v>
      </c>
      <c r="N138" s="550">
        <v>4.0</v>
      </c>
      <c r="O138" s="40" t="s">
        <v>1856</v>
      </c>
      <c r="P138" s="100">
        <v>3.0</v>
      </c>
      <c r="Q138" s="532" t="s">
        <v>1857</v>
      </c>
      <c r="R138" s="533">
        <v>3.0</v>
      </c>
      <c r="S138" s="582">
        <f>_xlfn.MODE.SNGL(K138:R142)</f>
        <v>4</v>
      </c>
      <c r="T138" s="535"/>
      <c r="U138" s="535"/>
      <c r="V138" s="535"/>
      <c r="W138" s="535"/>
    </row>
    <row r="139" ht="15.75" customHeight="1">
      <c r="A139" s="536"/>
      <c r="B139" s="536"/>
      <c r="C139" s="536"/>
      <c r="D139" s="536"/>
      <c r="E139" s="82" t="s">
        <v>119</v>
      </c>
      <c r="F139" s="82" t="s">
        <v>124</v>
      </c>
      <c r="G139" s="94" t="s">
        <v>124</v>
      </c>
      <c r="H139" s="82" t="s">
        <v>1643</v>
      </c>
      <c r="I139" s="50" t="s">
        <v>1858</v>
      </c>
      <c r="J139" s="588"/>
      <c r="K139" s="536"/>
      <c r="L139" s="536"/>
      <c r="M139" s="538"/>
      <c r="N139" s="536"/>
      <c r="O139" s="536"/>
      <c r="P139" s="536"/>
      <c r="Q139" s="539"/>
      <c r="R139" s="539"/>
      <c r="S139" s="538"/>
      <c r="T139" s="536"/>
      <c r="U139" s="536"/>
      <c r="V139" s="536"/>
      <c r="W139" s="536"/>
    </row>
    <row r="140" ht="15.75" customHeight="1">
      <c r="A140" s="536"/>
      <c r="B140" s="536"/>
      <c r="C140" s="536"/>
      <c r="D140" s="536"/>
      <c r="E140" s="82" t="s">
        <v>119</v>
      </c>
      <c r="F140" s="82" t="s">
        <v>124</v>
      </c>
      <c r="G140" s="94" t="s">
        <v>124</v>
      </c>
      <c r="H140" s="82" t="s">
        <v>1645</v>
      </c>
      <c r="I140" s="50" t="s">
        <v>1859</v>
      </c>
      <c r="J140" s="588"/>
      <c r="K140" s="536"/>
      <c r="L140" s="536"/>
      <c r="M140" s="538"/>
      <c r="N140" s="536"/>
      <c r="O140" s="536"/>
      <c r="P140" s="536"/>
      <c r="Q140" s="539"/>
      <c r="R140" s="539"/>
      <c r="S140" s="538"/>
      <c r="T140" s="536"/>
      <c r="U140" s="536"/>
      <c r="V140" s="536"/>
      <c r="W140" s="536"/>
    </row>
    <row r="141" ht="15.75" customHeight="1">
      <c r="A141" s="536"/>
      <c r="B141" s="536"/>
      <c r="C141" s="536"/>
      <c r="D141" s="536"/>
      <c r="E141" s="82" t="s">
        <v>119</v>
      </c>
      <c r="F141" s="82" t="s">
        <v>124</v>
      </c>
      <c r="G141" s="94" t="s">
        <v>124</v>
      </c>
      <c r="H141" s="82" t="s">
        <v>1638</v>
      </c>
      <c r="I141" s="50" t="s">
        <v>1860</v>
      </c>
      <c r="J141" s="588"/>
      <c r="K141" s="536"/>
      <c r="L141" s="536"/>
      <c r="M141" s="538"/>
      <c r="N141" s="536"/>
      <c r="O141" s="536"/>
      <c r="P141" s="536"/>
      <c r="Q141" s="539"/>
      <c r="R141" s="539"/>
      <c r="S141" s="538"/>
      <c r="T141" s="536"/>
      <c r="U141" s="536"/>
      <c r="V141" s="536"/>
      <c r="W141" s="536"/>
    </row>
    <row r="142" ht="15.75" customHeight="1">
      <c r="A142" s="210"/>
      <c r="B142" s="210"/>
      <c r="C142" s="210"/>
      <c r="D142" s="210"/>
      <c r="E142" s="82" t="s">
        <v>119</v>
      </c>
      <c r="F142" s="82" t="s">
        <v>124</v>
      </c>
      <c r="G142" s="94" t="s">
        <v>124</v>
      </c>
      <c r="H142" s="82" t="s">
        <v>1648</v>
      </c>
      <c r="I142" s="50" t="s">
        <v>1861</v>
      </c>
      <c r="J142" s="211"/>
      <c r="K142" s="210"/>
      <c r="L142" s="210"/>
      <c r="M142" s="213"/>
      <c r="N142" s="210"/>
      <c r="O142" s="210"/>
      <c r="P142" s="210"/>
      <c r="Q142" s="440"/>
      <c r="R142" s="440"/>
      <c r="S142" s="213"/>
      <c r="T142" s="210"/>
      <c r="U142" s="210"/>
      <c r="V142" s="210"/>
      <c r="W142" s="210"/>
    </row>
    <row r="143" ht="15.75" customHeight="1">
      <c r="A143" s="144" t="s">
        <v>189</v>
      </c>
      <c r="B143" s="143" t="s">
        <v>190</v>
      </c>
      <c r="C143" s="62"/>
      <c r="D143" s="62"/>
      <c r="E143" s="62"/>
      <c r="F143" s="62"/>
      <c r="G143" s="63"/>
      <c r="H143" s="144"/>
      <c r="I143" s="144"/>
      <c r="J143" s="541"/>
      <c r="K143" s="565"/>
      <c r="L143" s="543"/>
      <c r="M143" s="544"/>
      <c r="N143" s="552"/>
      <c r="O143" s="553"/>
      <c r="P143" s="547">
        <v>5.0</v>
      </c>
      <c r="Q143" s="547"/>
      <c r="R143" s="547"/>
      <c r="S143" s="548">
        <f>S144</f>
        <v>4</v>
      </c>
      <c r="T143" s="525"/>
      <c r="U143" s="525"/>
      <c r="V143" s="526"/>
      <c r="W143" s="525"/>
    </row>
    <row r="144" ht="15.75" customHeight="1">
      <c r="A144" s="100"/>
      <c r="B144" s="100"/>
      <c r="C144" s="100">
        <v>1.0</v>
      </c>
      <c r="D144" s="58" t="s">
        <v>1862</v>
      </c>
      <c r="E144" s="82" t="s">
        <v>119</v>
      </c>
      <c r="F144" s="82" t="s">
        <v>124</v>
      </c>
      <c r="G144" s="94" t="s">
        <v>124</v>
      </c>
      <c r="H144" s="82" t="s">
        <v>1636</v>
      </c>
      <c r="I144" s="50" t="s">
        <v>1863</v>
      </c>
      <c r="J144" s="587" t="s">
        <v>1638</v>
      </c>
      <c r="K144" s="589" t="s">
        <v>1864</v>
      </c>
      <c r="L144" s="529">
        <v>4.0</v>
      </c>
      <c r="M144" s="549" t="s">
        <v>1865</v>
      </c>
      <c r="N144" s="561">
        <v>4.0</v>
      </c>
      <c r="O144" s="40" t="s">
        <v>1866</v>
      </c>
      <c r="P144" s="100">
        <v>3.0</v>
      </c>
      <c r="Q144" s="590" t="s">
        <v>1867</v>
      </c>
      <c r="R144" s="533">
        <v>1.0</v>
      </c>
      <c r="S144" s="582">
        <f>_xlfn.MODE.SNGL(K144:R148)</f>
        <v>4</v>
      </c>
      <c r="T144" s="535"/>
      <c r="U144" s="535"/>
      <c r="V144" s="535"/>
      <c r="W144" s="535"/>
    </row>
    <row r="145" ht="15.75" customHeight="1">
      <c r="A145" s="536"/>
      <c r="B145" s="536"/>
      <c r="C145" s="536"/>
      <c r="D145" s="536"/>
      <c r="E145" s="82" t="s">
        <v>119</v>
      </c>
      <c r="F145" s="82" t="s">
        <v>124</v>
      </c>
      <c r="G145" s="94" t="s">
        <v>124</v>
      </c>
      <c r="H145" s="82" t="s">
        <v>1643</v>
      </c>
      <c r="I145" s="50" t="s">
        <v>1868</v>
      </c>
      <c r="J145" s="588"/>
      <c r="K145" s="536"/>
      <c r="L145" s="536"/>
      <c r="M145" s="538"/>
      <c r="N145" s="536"/>
      <c r="O145" s="536"/>
      <c r="P145" s="536"/>
      <c r="Q145" s="539"/>
      <c r="R145" s="539"/>
      <c r="S145" s="538"/>
      <c r="T145" s="536"/>
      <c r="U145" s="536"/>
      <c r="V145" s="536"/>
      <c r="W145" s="536"/>
    </row>
    <row r="146" ht="15.75" customHeight="1">
      <c r="A146" s="536"/>
      <c r="B146" s="536"/>
      <c r="C146" s="536"/>
      <c r="D146" s="536"/>
      <c r="E146" s="82" t="s">
        <v>119</v>
      </c>
      <c r="F146" s="82" t="s">
        <v>124</v>
      </c>
      <c r="G146" s="94" t="s">
        <v>124</v>
      </c>
      <c r="H146" s="82" t="s">
        <v>1645</v>
      </c>
      <c r="I146" s="50" t="s">
        <v>1869</v>
      </c>
      <c r="J146" s="588"/>
      <c r="K146" s="536"/>
      <c r="L146" s="536"/>
      <c r="M146" s="538"/>
      <c r="N146" s="536"/>
      <c r="O146" s="536"/>
      <c r="P146" s="536"/>
      <c r="Q146" s="539"/>
      <c r="R146" s="539"/>
      <c r="S146" s="538"/>
      <c r="T146" s="536"/>
      <c r="U146" s="536"/>
      <c r="V146" s="536"/>
      <c r="W146" s="536"/>
    </row>
    <row r="147" ht="15.75" customHeight="1">
      <c r="A147" s="536"/>
      <c r="B147" s="536"/>
      <c r="C147" s="536"/>
      <c r="D147" s="536"/>
      <c r="E147" s="82" t="s">
        <v>119</v>
      </c>
      <c r="F147" s="82" t="s">
        <v>124</v>
      </c>
      <c r="G147" s="94" t="s">
        <v>124</v>
      </c>
      <c r="H147" s="82" t="s">
        <v>1638</v>
      </c>
      <c r="I147" s="50" t="s">
        <v>1870</v>
      </c>
      <c r="J147" s="588"/>
      <c r="K147" s="536"/>
      <c r="L147" s="536"/>
      <c r="M147" s="538"/>
      <c r="N147" s="536"/>
      <c r="O147" s="536"/>
      <c r="P147" s="536"/>
      <c r="Q147" s="539"/>
      <c r="R147" s="539"/>
      <c r="S147" s="538"/>
      <c r="T147" s="536"/>
      <c r="U147" s="536"/>
      <c r="V147" s="536"/>
      <c r="W147" s="536"/>
    </row>
    <row r="148" ht="15.75" customHeight="1">
      <c r="A148" s="210"/>
      <c r="B148" s="210"/>
      <c r="C148" s="210"/>
      <c r="D148" s="210"/>
      <c r="E148" s="82" t="s">
        <v>119</v>
      </c>
      <c r="F148" s="82" t="s">
        <v>124</v>
      </c>
      <c r="G148" s="94" t="s">
        <v>124</v>
      </c>
      <c r="H148" s="82" t="s">
        <v>1648</v>
      </c>
      <c r="I148" s="50" t="s">
        <v>1871</v>
      </c>
      <c r="J148" s="211"/>
      <c r="K148" s="210"/>
      <c r="L148" s="210"/>
      <c r="M148" s="213"/>
      <c r="N148" s="210"/>
      <c r="O148" s="210"/>
      <c r="P148" s="210"/>
      <c r="Q148" s="440"/>
      <c r="R148" s="440"/>
      <c r="S148" s="213"/>
      <c r="T148" s="210"/>
      <c r="U148" s="210"/>
      <c r="V148" s="210"/>
      <c r="W148" s="210"/>
    </row>
    <row r="149" ht="15.75" customHeight="1">
      <c r="A149" s="144" t="s">
        <v>192</v>
      </c>
      <c r="B149" s="143" t="s">
        <v>193</v>
      </c>
      <c r="C149" s="62"/>
      <c r="D149" s="62"/>
      <c r="E149" s="62"/>
      <c r="F149" s="62"/>
      <c r="G149" s="63"/>
      <c r="H149" s="144"/>
      <c r="I149" s="144"/>
      <c r="J149" s="541"/>
      <c r="K149" s="565"/>
      <c r="L149" s="543"/>
      <c r="M149" s="544"/>
      <c r="N149" s="552"/>
      <c r="O149" s="553"/>
      <c r="P149" s="547">
        <v>4.0</v>
      </c>
      <c r="Q149" s="547"/>
      <c r="R149" s="547"/>
      <c r="S149" s="548">
        <f>S150</f>
        <v>4</v>
      </c>
      <c r="T149" s="525"/>
      <c r="U149" s="525"/>
      <c r="V149" s="526"/>
      <c r="W149" s="525"/>
    </row>
    <row r="150" ht="15.75" customHeight="1">
      <c r="A150" s="568"/>
      <c r="B150" s="568"/>
      <c r="C150" s="568">
        <v>1.0</v>
      </c>
      <c r="D150" s="591" t="s">
        <v>1872</v>
      </c>
      <c r="E150" s="82" t="s">
        <v>119</v>
      </c>
      <c r="F150" s="150" t="s">
        <v>124</v>
      </c>
      <c r="G150" s="150" t="s">
        <v>124</v>
      </c>
      <c r="H150" s="168" t="s">
        <v>1636</v>
      </c>
      <c r="I150" s="167" t="s">
        <v>1873</v>
      </c>
      <c r="J150" s="587" t="s">
        <v>1638</v>
      </c>
      <c r="K150" s="528" t="s">
        <v>1874</v>
      </c>
      <c r="L150" s="529">
        <v>3.0</v>
      </c>
      <c r="M150" s="549" t="s">
        <v>1875</v>
      </c>
      <c r="N150" s="561">
        <v>4.0</v>
      </c>
      <c r="O150" s="554" t="s">
        <v>1876</v>
      </c>
      <c r="P150" s="555">
        <v>4.0</v>
      </c>
      <c r="Q150" s="532" t="s">
        <v>1877</v>
      </c>
      <c r="R150" s="533">
        <v>4.0</v>
      </c>
      <c r="S150" s="582">
        <f>_xlfn.MODE.SNGL(K150:R154)</f>
        <v>4</v>
      </c>
      <c r="T150" s="535"/>
      <c r="U150" s="535"/>
      <c r="V150" s="535"/>
      <c r="W150" s="535"/>
    </row>
    <row r="151" ht="15.75" customHeight="1">
      <c r="A151" s="536"/>
      <c r="B151" s="536"/>
      <c r="C151" s="536"/>
      <c r="D151" s="536"/>
      <c r="E151" s="82" t="s">
        <v>119</v>
      </c>
      <c r="F151" s="150" t="s">
        <v>124</v>
      </c>
      <c r="G151" s="150" t="s">
        <v>124</v>
      </c>
      <c r="H151" s="168" t="s">
        <v>1643</v>
      </c>
      <c r="I151" s="167" t="s">
        <v>1878</v>
      </c>
      <c r="J151" s="588"/>
      <c r="K151" s="536"/>
      <c r="L151" s="536"/>
      <c r="M151" s="538"/>
      <c r="N151" s="536"/>
      <c r="O151" s="536"/>
      <c r="P151" s="536"/>
      <c r="Q151" s="539"/>
      <c r="R151" s="539"/>
      <c r="S151" s="538"/>
      <c r="T151" s="536"/>
      <c r="U151" s="536"/>
      <c r="V151" s="536"/>
      <c r="W151" s="536"/>
    </row>
    <row r="152" ht="15.75" customHeight="1">
      <c r="A152" s="536"/>
      <c r="B152" s="536"/>
      <c r="C152" s="536"/>
      <c r="D152" s="536"/>
      <c r="E152" s="82" t="s">
        <v>119</v>
      </c>
      <c r="F152" s="150" t="s">
        <v>124</v>
      </c>
      <c r="G152" s="150" t="s">
        <v>124</v>
      </c>
      <c r="H152" s="168" t="s">
        <v>1645</v>
      </c>
      <c r="I152" s="167" t="s">
        <v>1879</v>
      </c>
      <c r="J152" s="588"/>
      <c r="K152" s="536"/>
      <c r="L152" s="536"/>
      <c r="M152" s="538"/>
      <c r="N152" s="536"/>
      <c r="O152" s="536"/>
      <c r="P152" s="536"/>
      <c r="Q152" s="539"/>
      <c r="R152" s="539"/>
      <c r="S152" s="538"/>
      <c r="T152" s="536"/>
      <c r="U152" s="536"/>
      <c r="V152" s="536"/>
      <c r="W152" s="536"/>
    </row>
    <row r="153" ht="15.75" customHeight="1">
      <c r="A153" s="536"/>
      <c r="B153" s="536"/>
      <c r="C153" s="536"/>
      <c r="D153" s="536"/>
      <c r="E153" s="82" t="s">
        <v>119</v>
      </c>
      <c r="F153" s="150" t="s">
        <v>124</v>
      </c>
      <c r="G153" s="150" t="s">
        <v>124</v>
      </c>
      <c r="H153" s="168" t="s">
        <v>1638</v>
      </c>
      <c r="I153" s="167" t="s">
        <v>1880</v>
      </c>
      <c r="J153" s="588"/>
      <c r="K153" s="536"/>
      <c r="L153" s="536"/>
      <c r="M153" s="538"/>
      <c r="N153" s="536"/>
      <c r="O153" s="536"/>
      <c r="P153" s="536"/>
      <c r="Q153" s="539"/>
      <c r="R153" s="539"/>
      <c r="S153" s="538"/>
      <c r="T153" s="536"/>
      <c r="U153" s="536"/>
      <c r="V153" s="536"/>
      <c r="W153" s="536"/>
    </row>
    <row r="154" ht="15.75" customHeight="1">
      <c r="A154" s="210"/>
      <c r="B154" s="210"/>
      <c r="C154" s="210"/>
      <c r="D154" s="210"/>
      <c r="E154" s="82" t="s">
        <v>119</v>
      </c>
      <c r="F154" s="150" t="s">
        <v>124</v>
      </c>
      <c r="G154" s="150" t="s">
        <v>124</v>
      </c>
      <c r="H154" s="168" t="s">
        <v>1648</v>
      </c>
      <c r="I154" s="167" t="s">
        <v>1881</v>
      </c>
      <c r="J154" s="211"/>
      <c r="K154" s="210"/>
      <c r="L154" s="210"/>
      <c r="M154" s="213"/>
      <c r="N154" s="210"/>
      <c r="O154" s="210"/>
      <c r="P154" s="210"/>
      <c r="Q154" s="440"/>
      <c r="R154" s="440"/>
      <c r="S154" s="213"/>
      <c r="T154" s="210"/>
      <c r="U154" s="210"/>
      <c r="V154" s="210"/>
      <c r="W154" s="210"/>
    </row>
    <row r="155" ht="15.75" customHeight="1">
      <c r="A155" s="144" t="s">
        <v>195</v>
      </c>
      <c r="B155" s="143" t="s">
        <v>196</v>
      </c>
      <c r="C155" s="62"/>
      <c r="D155" s="62"/>
      <c r="E155" s="62"/>
      <c r="F155" s="62"/>
      <c r="G155" s="63"/>
      <c r="H155" s="144"/>
      <c r="I155" s="144"/>
      <c r="J155" s="541"/>
      <c r="K155" s="542"/>
      <c r="L155" s="543"/>
      <c r="M155" s="544"/>
      <c r="N155" s="552"/>
      <c r="O155" s="553"/>
      <c r="P155" s="547">
        <v>2.0</v>
      </c>
      <c r="Q155" s="547"/>
      <c r="R155" s="547"/>
      <c r="S155" s="548">
        <f>S156</f>
        <v>4</v>
      </c>
      <c r="T155" s="525"/>
      <c r="U155" s="525"/>
      <c r="V155" s="526"/>
      <c r="W155" s="525"/>
    </row>
    <row r="156" ht="15.75" customHeight="1">
      <c r="A156" s="100"/>
      <c r="B156" s="100"/>
      <c r="C156" s="100">
        <v>1.0</v>
      </c>
      <c r="D156" s="58" t="s">
        <v>197</v>
      </c>
      <c r="E156" s="82" t="s">
        <v>119</v>
      </c>
      <c r="F156" s="150" t="s">
        <v>124</v>
      </c>
      <c r="G156" s="150" t="s">
        <v>124</v>
      </c>
      <c r="H156" s="82" t="s">
        <v>1636</v>
      </c>
      <c r="I156" s="94" t="s">
        <v>1882</v>
      </c>
      <c r="J156" s="587" t="s">
        <v>1638</v>
      </c>
      <c r="K156" s="528" t="s">
        <v>1883</v>
      </c>
      <c r="L156" s="529">
        <v>4.0</v>
      </c>
      <c r="M156" s="549" t="s">
        <v>1875</v>
      </c>
      <c r="N156" s="550">
        <v>4.0</v>
      </c>
      <c r="O156" s="40" t="s">
        <v>1884</v>
      </c>
      <c r="P156" s="100">
        <v>3.0</v>
      </c>
      <c r="Q156" s="532" t="s">
        <v>1885</v>
      </c>
      <c r="R156" s="533">
        <v>2.0</v>
      </c>
      <c r="S156" s="582">
        <f>_xlfn.MODE.SNGL(K156:R160)</f>
        <v>4</v>
      </c>
      <c r="T156" s="535"/>
      <c r="U156" s="535"/>
      <c r="V156" s="535"/>
      <c r="W156" s="535"/>
    </row>
    <row r="157" ht="15.75" customHeight="1">
      <c r="A157" s="536"/>
      <c r="B157" s="536"/>
      <c r="C157" s="536"/>
      <c r="D157" s="536"/>
      <c r="E157" s="82" t="s">
        <v>119</v>
      </c>
      <c r="F157" s="150" t="s">
        <v>124</v>
      </c>
      <c r="G157" s="150" t="s">
        <v>124</v>
      </c>
      <c r="H157" s="82" t="s">
        <v>1643</v>
      </c>
      <c r="I157" s="94" t="s">
        <v>1886</v>
      </c>
      <c r="J157" s="588"/>
      <c r="K157" s="536"/>
      <c r="L157" s="536"/>
      <c r="M157" s="538"/>
      <c r="N157" s="536"/>
      <c r="O157" s="536"/>
      <c r="P157" s="536"/>
      <c r="Q157" s="539"/>
      <c r="R157" s="539"/>
      <c r="S157" s="538"/>
      <c r="T157" s="536"/>
      <c r="U157" s="536"/>
      <c r="V157" s="536"/>
      <c r="W157" s="536"/>
    </row>
    <row r="158" ht="15.75" customHeight="1">
      <c r="A158" s="536"/>
      <c r="B158" s="536"/>
      <c r="C158" s="536"/>
      <c r="D158" s="536"/>
      <c r="E158" s="82" t="s">
        <v>119</v>
      </c>
      <c r="F158" s="150" t="s">
        <v>124</v>
      </c>
      <c r="G158" s="150" t="s">
        <v>124</v>
      </c>
      <c r="H158" s="82" t="s">
        <v>1645</v>
      </c>
      <c r="I158" s="94" t="s">
        <v>1887</v>
      </c>
      <c r="J158" s="588"/>
      <c r="K158" s="536"/>
      <c r="L158" s="536"/>
      <c r="M158" s="538"/>
      <c r="N158" s="536"/>
      <c r="O158" s="536"/>
      <c r="P158" s="536"/>
      <c r="Q158" s="539"/>
      <c r="R158" s="539"/>
      <c r="S158" s="538"/>
      <c r="T158" s="536"/>
      <c r="U158" s="536"/>
      <c r="V158" s="536"/>
      <c r="W158" s="536"/>
    </row>
    <row r="159" ht="15.75" customHeight="1">
      <c r="A159" s="536"/>
      <c r="B159" s="536"/>
      <c r="C159" s="536"/>
      <c r="D159" s="536"/>
      <c r="E159" s="82" t="s">
        <v>119</v>
      </c>
      <c r="F159" s="150" t="s">
        <v>124</v>
      </c>
      <c r="G159" s="150" t="s">
        <v>124</v>
      </c>
      <c r="H159" s="82" t="s">
        <v>1638</v>
      </c>
      <c r="I159" s="94" t="s">
        <v>1888</v>
      </c>
      <c r="J159" s="588"/>
      <c r="K159" s="536"/>
      <c r="L159" s="536"/>
      <c r="M159" s="538"/>
      <c r="N159" s="536"/>
      <c r="O159" s="536"/>
      <c r="P159" s="536"/>
      <c r="Q159" s="539"/>
      <c r="R159" s="539"/>
      <c r="S159" s="538"/>
      <c r="T159" s="536"/>
      <c r="U159" s="536"/>
      <c r="V159" s="536"/>
      <c r="W159" s="536"/>
    </row>
    <row r="160" ht="15.75" customHeight="1">
      <c r="A160" s="210"/>
      <c r="B160" s="210"/>
      <c r="C160" s="210"/>
      <c r="D160" s="210"/>
      <c r="E160" s="82" t="s">
        <v>119</v>
      </c>
      <c r="F160" s="150" t="s">
        <v>124</v>
      </c>
      <c r="G160" s="150" t="s">
        <v>124</v>
      </c>
      <c r="H160" s="82" t="s">
        <v>1648</v>
      </c>
      <c r="I160" s="94" t="s">
        <v>1889</v>
      </c>
      <c r="J160" s="211"/>
      <c r="K160" s="210"/>
      <c r="L160" s="210"/>
      <c r="M160" s="213"/>
      <c r="N160" s="210"/>
      <c r="O160" s="210"/>
      <c r="P160" s="210"/>
      <c r="Q160" s="440"/>
      <c r="R160" s="440"/>
      <c r="S160" s="213"/>
      <c r="T160" s="210"/>
      <c r="U160" s="210"/>
      <c r="V160" s="210"/>
      <c r="W160" s="210"/>
    </row>
    <row r="161" ht="15.75" customHeight="1">
      <c r="A161" s="144" t="s">
        <v>198</v>
      </c>
      <c r="B161" s="143" t="s">
        <v>199</v>
      </c>
      <c r="C161" s="62"/>
      <c r="D161" s="62"/>
      <c r="E161" s="62"/>
      <c r="F161" s="62"/>
      <c r="G161" s="63"/>
      <c r="H161" s="144"/>
      <c r="I161" s="144"/>
      <c r="J161" s="541"/>
      <c r="K161" s="542"/>
      <c r="L161" s="592"/>
      <c r="M161" s="544"/>
      <c r="N161" s="552"/>
      <c r="O161" s="553"/>
      <c r="P161" s="547">
        <v>2.0</v>
      </c>
      <c r="Q161" s="547"/>
      <c r="R161" s="547"/>
      <c r="S161" s="548">
        <f>S162</f>
        <v>4</v>
      </c>
      <c r="T161" s="525"/>
      <c r="U161" s="525"/>
      <c r="V161" s="526"/>
      <c r="W161" s="525"/>
    </row>
    <row r="162" ht="15.75" customHeight="1">
      <c r="A162" s="100"/>
      <c r="B162" s="100"/>
      <c r="C162" s="100">
        <v>1.0</v>
      </c>
      <c r="D162" s="58" t="s">
        <v>200</v>
      </c>
      <c r="E162" s="82" t="s">
        <v>119</v>
      </c>
      <c r="F162" s="150" t="s">
        <v>124</v>
      </c>
      <c r="G162" s="150" t="s">
        <v>124</v>
      </c>
      <c r="H162" s="82" t="s">
        <v>1636</v>
      </c>
      <c r="I162" s="94" t="s">
        <v>1890</v>
      </c>
      <c r="J162" s="587" t="s">
        <v>1638</v>
      </c>
      <c r="K162" s="528" t="s">
        <v>1891</v>
      </c>
      <c r="L162" s="529">
        <v>4.0</v>
      </c>
      <c r="M162" s="549" t="s">
        <v>1892</v>
      </c>
      <c r="N162" s="550">
        <v>3.0</v>
      </c>
      <c r="O162" s="593" t="s">
        <v>1893</v>
      </c>
      <c r="P162" s="555">
        <v>3.0</v>
      </c>
      <c r="Q162" s="532" t="s">
        <v>1894</v>
      </c>
      <c r="R162" s="533">
        <v>4.0</v>
      </c>
      <c r="S162" s="582">
        <f>_xlfn.MODE.SNGL(K162:R166)</f>
        <v>4</v>
      </c>
      <c r="T162" s="535"/>
      <c r="U162" s="535"/>
      <c r="V162" s="535"/>
      <c r="W162" s="535"/>
    </row>
    <row r="163" ht="15.75" customHeight="1">
      <c r="A163" s="536"/>
      <c r="B163" s="536"/>
      <c r="C163" s="536"/>
      <c r="D163" s="536"/>
      <c r="E163" s="82" t="s">
        <v>119</v>
      </c>
      <c r="F163" s="150" t="s">
        <v>124</v>
      </c>
      <c r="G163" s="150" t="s">
        <v>124</v>
      </c>
      <c r="H163" s="82" t="s">
        <v>1643</v>
      </c>
      <c r="I163" s="94" t="s">
        <v>1895</v>
      </c>
      <c r="J163" s="588"/>
      <c r="K163" s="536"/>
      <c r="L163" s="536"/>
      <c r="M163" s="538"/>
      <c r="N163" s="536"/>
      <c r="O163" s="536"/>
      <c r="P163" s="536"/>
      <c r="Q163" s="539"/>
      <c r="R163" s="539"/>
      <c r="S163" s="538"/>
      <c r="T163" s="536"/>
      <c r="U163" s="536"/>
      <c r="V163" s="536"/>
      <c r="W163" s="536"/>
    </row>
    <row r="164" ht="15.75" customHeight="1">
      <c r="A164" s="536"/>
      <c r="B164" s="536"/>
      <c r="C164" s="536"/>
      <c r="D164" s="536"/>
      <c r="E164" s="82" t="s">
        <v>119</v>
      </c>
      <c r="F164" s="150" t="s">
        <v>124</v>
      </c>
      <c r="G164" s="150" t="s">
        <v>124</v>
      </c>
      <c r="H164" s="82" t="s">
        <v>1645</v>
      </c>
      <c r="I164" s="94" t="s">
        <v>1896</v>
      </c>
      <c r="J164" s="588"/>
      <c r="K164" s="536"/>
      <c r="L164" s="536"/>
      <c r="M164" s="538"/>
      <c r="N164" s="536"/>
      <c r="O164" s="536"/>
      <c r="P164" s="536"/>
      <c r="Q164" s="539"/>
      <c r="R164" s="539"/>
      <c r="S164" s="538"/>
      <c r="T164" s="536"/>
      <c r="U164" s="536"/>
      <c r="V164" s="536"/>
      <c r="W164" s="536"/>
    </row>
    <row r="165" ht="15.75" customHeight="1">
      <c r="A165" s="536"/>
      <c r="B165" s="536"/>
      <c r="C165" s="536"/>
      <c r="D165" s="536"/>
      <c r="E165" s="82" t="s">
        <v>119</v>
      </c>
      <c r="F165" s="150" t="s">
        <v>124</v>
      </c>
      <c r="G165" s="150" t="s">
        <v>124</v>
      </c>
      <c r="H165" s="82" t="s">
        <v>1638</v>
      </c>
      <c r="I165" s="94" t="s">
        <v>1897</v>
      </c>
      <c r="J165" s="588"/>
      <c r="K165" s="536"/>
      <c r="L165" s="536"/>
      <c r="M165" s="538"/>
      <c r="N165" s="536"/>
      <c r="O165" s="536"/>
      <c r="P165" s="536"/>
      <c r="Q165" s="539"/>
      <c r="R165" s="539"/>
      <c r="S165" s="538"/>
      <c r="T165" s="536"/>
      <c r="U165" s="536"/>
      <c r="V165" s="536"/>
      <c r="W165" s="536"/>
    </row>
    <row r="166" ht="15.75" customHeight="1">
      <c r="A166" s="210"/>
      <c r="B166" s="210"/>
      <c r="C166" s="210"/>
      <c r="D166" s="210"/>
      <c r="E166" s="82" t="s">
        <v>119</v>
      </c>
      <c r="F166" s="150" t="s">
        <v>124</v>
      </c>
      <c r="G166" s="150" t="s">
        <v>124</v>
      </c>
      <c r="H166" s="82" t="s">
        <v>1648</v>
      </c>
      <c r="I166" s="94" t="s">
        <v>1898</v>
      </c>
      <c r="J166" s="211"/>
      <c r="K166" s="210"/>
      <c r="L166" s="210"/>
      <c r="M166" s="213"/>
      <c r="N166" s="210"/>
      <c r="O166" s="210"/>
      <c r="P166" s="210"/>
      <c r="Q166" s="440"/>
      <c r="R166" s="440"/>
      <c r="S166" s="213"/>
      <c r="T166" s="210"/>
      <c r="U166" s="210"/>
      <c r="V166" s="210"/>
      <c r="W166" s="210"/>
    </row>
    <row r="167" ht="15.75" customHeight="1">
      <c r="A167" s="144" t="s">
        <v>201</v>
      </c>
      <c r="B167" s="143" t="s">
        <v>202</v>
      </c>
      <c r="C167" s="62"/>
      <c r="D167" s="62"/>
      <c r="E167" s="62"/>
      <c r="F167" s="62"/>
      <c r="G167" s="63"/>
      <c r="H167" s="144"/>
      <c r="I167" s="144"/>
      <c r="J167" s="541"/>
      <c r="K167" s="565"/>
      <c r="L167" s="592"/>
      <c r="M167" s="544"/>
      <c r="N167" s="552"/>
      <c r="O167" s="553"/>
      <c r="P167" s="547">
        <v>5.0</v>
      </c>
      <c r="Q167" s="547"/>
      <c r="R167" s="547"/>
      <c r="S167" s="548">
        <f>S168</f>
        <v>5</v>
      </c>
      <c r="T167" s="525"/>
      <c r="U167" s="525"/>
      <c r="V167" s="526"/>
      <c r="W167" s="525"/>
    </row>
    <row r="168" ht="15.75" customHeight="1">
      <c r="A168" s="100"/>
      <c r="B168" s="100"/>
      <c r="C168" s="100">
        <v>1.0</v>
      </c>
      <c r="D168" s="58" t="s">
        <v>203</v>
      </c>
      <c r="E168" s="82" t="s">
        <v>119</v>
      </c>
      <c r="F168" s="150" t="s">
        <v>124</v>
      </c>
      <c r="G168" s="150" t="s">
        <v>124</v>
      </c>
      <c r="H168" s="82" t="s">
        <v>1636</v>
      </c>
      <c r="I168" s="94" t="s">
        <v>1899</v>
      </c>
      <c r="J168" s="587" t="s">
        <v>1638</v>
      </c>
      <c r="K168" s="528" t="s">
        <v>1900</v>
      </c>
      <c r="L168" s="529">
        <v>4.0</v>
      </c>
      <c r="M168" s="594" t="s">
        <v>1901</v>
      </c>
      <c r="N168" s="550">
        <v>5.0</v>
      </c>
      <c r="O168" s="554" t="s">
        <v>1902</v>
      </c>
      <c r="P168" s="555">
        <v>5.0</v>
      </c>
      <c r="Q168" s="532" t="s">
        <v>1903</v>
      </c>
      <c r="R168" s="533">
        <v>1.0</v>
      </c>
      <c r="S168" s="582">
        <f>_xlfn.MODE.SNGL(K168:R172)</f>
        <v>5</v>
      </c>
      <c r="T168" s="535"/>
      <c r="U168" s="535"/>
      <c r="V168" s="535"/>
      <c r="W168" s="535"/>
    </row>
    <row r="169" ht="15.75" customHeight="1">
      <c r="A169" s="536"/>
      <c r="B169" s="536"/>
      <c r="C169" s="536"/>
      <c r="D169" s="536"/>
      <c r="E169" s="82" t="s">
        <v>119</v>
      </c>
      <c r="F169" s="150" t="s">
        <v>124</v>
      </c>
      <c r="G169" s="150" t="s">
        <v>124</v>
      </c>
      <c r="H169" s="82" t="s">
        <v>1643</v>
      </c>
      <c r="I169" s="94" t="s">
        <v>1904</v>
      </c>
      <c r="J169" s="588"/>
      <c r="K169" s="536"/>
      <c r="L169" s="536"/>
      <c r="M169" s="538"/>
      <c r="N169" s="536"/>
      <c r="O169" s="536"/>
      <c r="P169" s="536"/>
      <c r="Q169" s="539"/>
      <c r="R169" s="539"/>
      <c r="S169" s="538"/>
      <c r="T169" s="536"/>
      <c r="U169" s="536"/>
      <c r="V169" s="536"/>
      <c r="W169" s="536"/>
    </row>
    <row r="170" ht="15.75" customHeight="1">
      <c r="A170" s="536"/>
      <c r="B170" s="536"/>
      <c r="C170" s="536"/>
      <c r="D170" s="536"/>
      <c r="E170" s="82" t="s">
        <v>119</v>
      </c>
      <c r="F170" s="150" t="s">
        <v>124</v>
      </c>
      <c r="G170" s="150" t="s">
        <v>124</v>
      </c>
      <c r="H170" s="82" t="s">
        <v>1645</v>
      </c>
      <c r="I170" s="94" t="s">
        <v>1905</v>
      </c>
      <c r="J170" s="588"/>
      <c r="K170" s="536"/>
      <c r="L170" s="536"/>
      <c r="M170" s="538"/>
      <c r="N170" s="536"/>
      <c r="O170" s="536"/>
      <c r="P170" s="536"/>
      <c r="Q170" s="539"/>
      <c r="R170" s="539"/>
      <c r="S170" s="538"/>
      <c r="T170" s="536"/>
      <c r="U170" s="536"/>
      <c r="V170" s="536"/>
      <c r="W170" s="536"/>
    </row>
    <row r="171" ht="15.75" customHeight="1">
      <c r="A171" s="536"/>
      <c r="B171" s="536"/>
      <c r="C171" s="536"/>
      <c r="D171" s="536"/>
      <c r="E171" s="82" t="s">
        <v>119</v>
      </c>
      <c r="F171" s="150" t="s">
        <v>124</v>
      </c>
      <c r="G171" s="150" t="s">
        <v>124</v>
      </c>
      <c r="H171" s="82" t="s">
        <v>1638</v>
      </c>
      <c r="I171" s="94" t="s">
        <v>1906</v>
      </c>
      <c r="J171" s="588"/>
      <c r="K171" s="536"/>
      <c r="L171" s="536"/>
      <c r="M171" s="538"/>
      <c r="N171" s="536"/>
      <c r="O171" s="536"/>
      <c r="P171" s="536"/>
      <c r="Q171" s="539"/>
      <c r="R171" s="539"/>
      <c r="S171" s="538"/>
      <c r="T171" s="536"/>
      <c r="U171" s="536"/>
      <c r="V171" s="536"/>
      <c r="W171" s="536"/>
    </row>
    <row r="172" ht="15.75" customHeight="1">
      <c r="A172" s="210"/>
      <c r="B172" s="210"/>
      <c r="C172" s="210"/>
      <c r="D172" s="210"/>
      <c r="E172" s="82" t="s">
        <v>119</v>
      </c>
      <c r="F172" s="150" t="s">
        <v>124</v>
      </c>
      <c r="G172" s="150" t="s">
        <v>124</v>
      </c>
      <c r="H172" s="82" t="s">
        <v>1648</v>
      </c>
      <c r="I172" s="94" t="s">
        <v>1907</v>
      </c>
      <c r="J172" s="211"/>
      <c r="K172" s="210"/>
      <c r="L172" s="210"/>
      <c r="M172" s="213"/>
      <c r="N172" s="210"/>
      <c r="O172" s="210"/>
      <c r="P172" s="210"/>
      <c r="Q172" s="440"/>
      <c r="R172" s="440"/>
      <c r="S172" s="213"/>
      <c r="T172" s="210"/>
      <c r="U172" s="210"/>
      <c r="V172" s="210"/>
      <c r="W172" s="210"/>
    </row>
    <row r="173" ht="15.75" customHeight="1">
      <c r="A173" s="144" t="s">
        <v>204</v>
      </c>
      <c r="B173" s="143" t="s">
        <v>205</v>
      </c>
      <c r="C173" s="62"/>
      <c r="D173" s="62"/>
      <c r="E173" s="62"/>
      <c r="F173" s="62"/>
      <c r="G173" s="63"/>
      <c r="H173" s="144"/>
      <c r="I173" s="144"/>
      <c r="J173" s="541"/>
      <c r="K173" s="542"/>
      <c r="L173" s="543"/>
      <c r="M173" s="544"/>
      <c r="N173" s="552"/>
      <c r="O173" s="553"/>
      <c r="P173" s="547">
        <v>3.0</v>
      </c>
      <c r="Q173" s="547"/>
      <c r="R173" s="547"/>
      <c r="S173" s="548">
        <f>S174</f>
        <v>3</v>
      </c>
      <c r="T173" s="525"/>
      <c r="U173" s="525"/>
      <c r="V173" s="526"/>
      <c r="W173" s="525"/>
    </row>
    <row r="174" ht="15.75" customHeight="1">
      <c r="A174" s="100"/>
      <c r="B174" s="100"/>
      <c r="C174" s="100">
        <v>1.0</v>
      </c>
      <c r="D174" s="58" t="s">
        <v>206</v>
      </c>
      <c r="E174" s="82" t="s">
        <v>119</v>
      </c>
      <c r="F174" s="150" t="s">
        <v>124</v>
      </c>
      <c r="G174" s="150" t="s">
        <v>124</v>
      </c>
      <c r="H174" s="82" t="s">
        <v>1636</v>
      </c>
      <c r="I174" s="94" t="s">
        <v>1908</v>
      </c>
      <c r="J174" s="587" t="s">
        <v>1638</v>
      </c>
      <c r="K174" s="528" t="s">
        <v>1909</v>
      </c>
      <c r="L174" s="529">
        <v>3.0</v>
      </c>
      <c r="M174" s="594" t="s">
        <v>1910</v>
      </c>
      <c r="N174" s="550">
        <v>5.0</v>
      </c>
      <c r="O174" s="554" t="s">
        <v>1911</v>
      </c>
      <c r="P174" s="555">
        <v>3.0</v>
      </c>
      <c r="Q174" s="532" t="s">
        <v>1912</v>
      </c>
      <c r="R174" s="533">
        <v>2.0</v>
      </c>
      <c r="S174" s="582">
        <f>_xlfn.MODE.SNGL(K174:R178)</f>
        <v>3</v>
      </c>
      <c r="T174" s="535"/>
      <c r="U174" s="535"/>
      <c r="V174" s="535"/>
      <c r="W174" s="535"/>
    </row>
    <row r="175" ht="15.75" customHeight="1">
      <c r="A175" s="536"/>
      <c r="B175" s="536"/>
      <c r="C175" s="536"/>
      <c r="D175" s="536"/>
      <c r="E175" s="82" t="s">
        <v>119</v>
      </c>
      <c r="F175" s="150" t="s">
        <v>124</v>
      </c>
      <c r="G175" s="150" t="s">
        <v>124</v>
      </c>
      <c r="H175" s="82" t="s">
        <v>1643</v>
      </c>
      <c r="I175" s="94" t="s">
        <v>1913</v>
      </c>
      <c r="J175" s="588"/>
      <c r="K175" s="536"/>
      <c r="L175" s="536"/>
      <c r="M175" s="538"/>
      <c r="N175" s="536"/>
      <c r="O175" s="536"/>
      <c r="P175" s="536"/>
      <c r="Q175" s="539"/>
      <c r="R175" s="539"/>
      <c r="S175" s="538"/>
      <c r="T175" s="536"/>
      <c r="U175" s="536"/>
      <c r="V175" s="536"/>
      <c r="W175" s="536"/>
    </row>
    <row r="176" ht="15.75" customHeight="1">
      <c r="A176" s="536"/>
      <c r="B176" s="536"/>
      <c r="C176" s="536"/>
      <c r="D176" s="536"/>
      <c r="E176" s="82" t="s">
        <v>119</v>
      </c>
      <c r="F176" s="150" t="s">
        <v>124</v>
      </c>
      <c r="G176" s="150" t="s">
        <v>124</v>
      </c>
      <c r="H176" s="82" t="s">
        <v>1645</v>
      </c>
      <c r="I176" s="94" t="s">
        <v>1914</v>
      </c>
      <c r="J176" s="588"/>
      <c r="K176" s="536"/>
      <c r="L176" s="536"/>
      <c r="M176" s="538"/>
      <c r="N176" s="536"/>
      <c r="O176" s="536"/>
      <c r="P176" s="536"/>
      <c r="Q176" s="539"/>
      <c r="R176" s="539"/>
      <c r="S176" s="538"/>
      <c r="T176" s="536"/>
      <c r="U176" s="536"/>
      <c r="V176" s="536"/>
      <c r="W176" s="536"/>
    </row>
    <row r="177" ht="15.75" customHeight="1">
      <c r="A177" s="536"/>
      <c r="B177" s="536"/>
      <c r="C177" s="536"/>
      <c r="D177" s="536"/>
      <c r="E177" s="82" t="s">
        <v>119</v>
      </c>
      <c r="F177" s="150" t="s">
        <v>124</v>
      </c>
      <c r="G177" s="150" t="s">
        <v>124</v>
      </c>
      <c r="H177" s="82" t="s">
        <v>1638</v>
      </c>
      <c r="I177" s="94" t="s">
        <v>1915</v>
      </c>
      <c r="J177" s="588"/>
      <c r="K177" s="536"/>
      <c r="L177" s="536"/>
      <c r="M177" s="538"/>
      <c r="N177" s="536"/>
      <c r="O177" s="536"/>
      <c r="P177" s="536"/>
      <c r="Q177" s="539"/>
      <c r="R177" s="539"/>
      <c r="S177" s="538"/>
      <c r="T177" s="536"/>
      <c r="U177" s="536"/>
      <c r="V177" s="536"/>
      <c r="W177" s="536"/>
    </row>
    <row r="178" ht="15.75" customHeight="1">
      <c r="A178" s="210"/>
      <c r="B178" s="210"/>
      <c r="C178" s="210"/>
      <c r="D178" s="210"/>
      <c r="E178" s="82" t="s">
        <v>119</v>
      </c>
      <c r="F178" s="150" t="s">
        <v>124</v>
      </c>
      <c r="G178" s="150" t="s">
        <v>124</v>
      </c>
      <c r="H178" s="82" t="s">
        <v>1648</v>
      </c>
      <c r="I178" s="94" t="s">
        <v>1916</v>
      </c>
      <c r="J178" s="211"/>
      <c r="K178" s="210"/>
      <c r="L178" s="210"/>
      <c r="M178" s="213"/>
      <c r="N178" s="210"/>
      <c r="O178" s="210"/>
      <c r="P178" s="210"/>
      <c r="Q178" s="440"/>
      <c r="R178" s="440"/>
      <c r="S178" s="213"/>
      <c r="T178" s="210"/>
      <c r="U178" s="210"/>
      <c r="V178" s="210"/>
      <c r="W178" s="210"/>
    </row>
    <row r="179" ht="15.75" customHeight="1">
      <c r="A179" s="144" t="s">
        <v>207</v>
      </c>
      <c r="B179" s="143" t="s">
        <v>208</v>
      </c>
      <c r="C179" s="62"/>
      <c r="D179" s="62"/>
      <c r="E179" s="62"/>
      <c r="F179" s="62"/>
      <c r="G179" s="63"/>
      <c r="H179" s="144"/>
      <c r="I179" s="144"/>
      <c r="J179" s="541"/>
      <c r="K179" s="542"/>
      <c r="L179" s="543"/>
      <c r="M179" s="544"/>
      <c r="N179" s="552"/>
      <c r="O179" s="553"/>
      <c r="P179" s="547">
        <v>3.0</v>
      </c>
      <c r="Q179" s="547"/>
      <c r="R179" s="547"/>
      <c r="S179" s="548">
        <f>S180</f>
        <v>5</v>
      </c>
      <c r="T179" s="525"/>
      <c r="U179" s="525"/>
      <c r="V179" s="526"/>
      <c r="W179" s="525"/>
    </row>
    <row r="180" ht="15.75" customHeight="1">
      <c r="A180" s="100"/>
      <c r="B180" s="100"/>
      <c r="C180" s="100">
        <v>1.0</v>
      </c>
      <c r="D180" s="58" t="s">
        <v>209</v>
      </c>
      <c r="E180" s="82" t="s">
        <v>119</v>
      </c>
      <c r="F180" s="150" t="s">
        <v>124</v>
      </c>
      <c r="G180" s="150" t="s">
        <v>124</v>
      </c>
      <c r="H180" s="82" t="s">
        <v>1636</v>
      </c>
      <c r="I180" s="94" t="s">
        <v>1917</v>
      </c>
      <c r="J180" s="587" t="s">
        <v>1638</v>
      </c>
      <c r="K180" s="528" t="s">
        <v>1918</v>
      </c>
      <c r="L180" s="529">
        <v>5.0</v>
      </c>
      <c r="M180" s="594" t="s">
        <v>1919</v>
      </c>
      <c r="N180" s="550">
        <v>5.0</v>
      </c>
      <c r="O180" s="554" t="s">
        <v>1920</v>
      </c>
      <c r="P180" s="555">
        <v>3.0</v>
      </c>
      <c r="Q180" s="532" t="s">
        <v>1921</v>
      </c>
      <c r="R180" s="533">
        <v>2.0</v>
      </c>
      <c r="S180" s="582">
        <f>_xlfn.MODE.SNGL(K180:R184)</f>
        <v>5</v>
      </c>
      <c r="T180" s="535"/>
      <c r="U180" s="535"/>
      <c r="V180" s="535"/>
      <c r="W180" s="535"/>
    </row>
    <row r="181" ht="15.75" customHeight="1">
      <c r="A181" s="536"/>
      <c r="B181" s="536"/>
      <c r="C181" s="536"/>
      <c r="D181" s="536"/>
      <c r="E181" s="82" t="s">
        <v>119</v>
      </c>
      <c r="F181" s="150" t="s">
        <v>124</v>
      </c>
      <c r="G181" s="150" t="s">
        <v>124</v>
      </c>
      <c r="H181" s="82" t="s">
        <v>1643</v>
      </c>
      <c r="I181" s="94" t="s">
        <v>1922</v>
      </c>
      <c r="J181" s="588"/>
      <c r="K181" s="536"/>
      <c r="L181" s="536"/>
      <c r="M181" s="538"/>
      <c r="N181" s="536"/>
      <c r="O181" s="536"/>
      <c r="P181" s="536"/>
      <c r="Q181" s="539"/>
      <c r="R181" s="539"/>
      <c r="S181" s="538"/>
      <c r="T181" s="536"/>
      <c r="U181" s="536"/>
      <c r="V181" s="536"/>
      <c r="W181" s="536"/>
    </row>
    <row r="182" ht="15.75" customHeight="1">
      <c r="A182" s="536"/>
      <c r="B182" s="536"/>
      <c r="C182" s="536"/>
      <c r="D182" s="536"/>
      <c r="E182" s="82" t="s">
        <v>119</v>
      </c>
      <c r="F182" s="150" t="s">
        <v>124</v>
      </c>
      <c r="G182" s="150" t="s">
        <v>124</v>
      </c>
      <c r="H182" s="82" t="s">
        <v>1645</v>
      </c>
      <c r="I182" s="94" t="s">
        <v>1923</v>
      </c>
      <c r="J182" s="588"/>
      <c r="K182" s="536"/>
      <c r="L182" s="536"/>
      <c r="M182" s="538"/>
      <c r="N182" s="536"/>
      <c r="O182" s="536"/>
      <c r="P182" s="536"/>
      <c r="Q182" s="539"/>
      <c r="R182" s="539"/>
      <c r="S182" s="538"/>
      <c r="T182" s="536"/>
      <c r="U182" s="536"/>
      <c r="V182" s="536"/>
      <c r="W182" s="536"/>
    </row>
    <row r="183" ht="15.75" customHeight="1">
      <c r="A183" s="536"/>
      <c r="B183" s="536"/>
      <c r="C183" s="536"/>
      <c r="D183" s="536"/>
      <c r="E183" s="82" t="s">
        <v>119</v>
      </c>
      <c r="F183" s="150" t="s">
        <v>124</v>
      </c>
      <c r="G183" s="150" t="s">
        <v>124</v>
      </c>
      <c r="H183" s="82" t="s">
        <v>1638</v>
      </c>
      <c r="I183" s="94" t="s">
        <v>1924</v>
      </c>
      <c r="J183" s="588"/>
      <c r="K183" s="536"/>
      <c r="L183" s="536"/>
      <c r="M183" s="538"/>
      <c r="N183" s="536"/>
      <c r="O183" s="536"/>
      <c r="P183" s="536"/>
      <c r="Q183" s="539"/>
      <c r="R183" s="539"/>
      <c r="S183" s="538"/>
      <c r="T183" s="536"/>
      <c r="U183" s="536"/>
      <c r="V183" s="536"/>
      <c r="W183" s="536"/>
    </row>
    <row r="184" ht="15.75" customHeight="1">
      <c r="A184" s="210"/>
      <c r="B184" s="210"/>
      <c r="C184" s="210"/>
      <c r="D184" s="210"/>
      <c r="E184" s="82" t="s">
        <v>119</v>
      </c>
      <c r="F184" s="150" t="s">
        <v>124</v>
      </c>
      <c r="G184" s="150" t="s">
        <v>124</v>
      </c>
      <c r="H184" s="82" t="s">
        <v>1648</v>
      </c>
      <c r="I184" s="94" t="s">
        <v>1925</v>
      </c>
      <c r="J184" s="211"/>
      <c r="K184" s="210"/>
      <c r="L184" s="210"/>
      <c r="M184" s="213"/>
      <c r="N184" s="210"/>
      <c r="O184" s="210"/>
      <c r="P184" s="210"/>
      <c r="Q184" s="440"/>
      <c r="R184" s="440"/>
      <c r="S184" s="213"/>
      <c r="T184" s="210"/>
      <c r="U184" s="210"/>
      <c r="V184" s="210"/>
      <c r="W184" s="210"/>
    </row>
    <row r="185" ht="15.75" customHeight="1">
      <c r="A185" s="144" t="s">
        <v>210</v>
      </c>
      <c r="B185" s="143" t="s">
        <v>211</v>
      </c>
      <c r="C185" s="62"/>
      <c r="D185" s="62"/>
      <c r="E185" s="62"/>
      <c r="F185" s="62"/>
      <c r="G185" s="63"/>
      <c r="H185" s="144"/>
      <c r="I185" s="144"/>
      <c r="J185" s="541"/>
      <c r="K185" s="542"/>
      <c r="L185" s="543"/>
      <c r="M185" s="595"/>
      <c r="N185" s="552"/>
      <c r="O185" s="553"/>
      <c r="P185" s="547">
        <v>3.0</v>
      </c>
      <c r="Q185" s="547"/>
      <c r="R185" s="547"/>
      <c r="S185" s="548">
        <f>S186</f>
        <v>3</v>
      </c>
      <c r="T185" s="525"/>
      <c r="U185" s="525"/>
      <c r="V185" s="526"/>
      <c r="W185" s="525"/>
    </row>
    <row r="186" ht="15.75" customHeight="1">
      <c r="A186" s="100"/>
      <c r="B186" s="100"/>
      <c r="C186" s="100">
        <v>1.0</v>
      </c>
      <c r="D186" s="58" t="s">
        <v>212</v>
      </c>
      <c r="E186" s="82" t="s">
        <v>119</v>
      </c>
      <c r="F186" s="150" t="s">
        <v>124</v>
      </c>
      <c r="G186" s="150" t="s">
        <v>124</v>
      </c>
      <c r="H186" s="82" t="s">
        <v>1636</v>
      </c>
      <c r="I186" s="94" t="s">
        <v>1926</v>
      </c>
      <c r="J186" s="587" t="s">
        <v>1638</v>
      </c>
      <c r="K186" s="528" t="s">
        <v>1927</v>
      </c>
      <c r="L186" s="529">
        <v>5.0</v>
      </c>
      <c r="M186" s="594" t="s">
        <v>1928</v>
      </c>
      <c r="N186" s="550">
        <v>3.0</v>
      </c>
      <c r="O186" s="554" t="s">
        <v>1929</v>
      </c>
      <c r="P186" s="555">
        <v>3.0</v>
      </c>
      <c r="Q186" s="532" t="s">
        <v>1930</v>
      </c>
      <c r="R186" s="533">
        <v>4.0</v>
      </c>
      <c r="S186" s="582">
        <f>_xlfn.MODE.SNGL(K186:R190)</f>
        <v>3</v>
      </c>
      <c r="T186" s="535"/>
      <c r="U186" s="535"/>
      <c r="V186" s="535"/>
      <c r="W186" s="535"/>
    </row>
    <row r="187" ht="15.75" customHeight="1">
      <c r="A187" s="536"/>
      <c r="B187" s="536"/>
      <c r="C187" s="536"/>
      <c r="D187" s="536"/>
      <c r="E187" s="82" t="s">
        <v>119</v>
      </c>
      <c r="F187" s="150" t="s">
        <v>124</v>
      </c>
      <c r="G187" s="150" t="s">
        <v>124</v>
      </c>
      <c r="H187" s="82" t="s">
        <v>1643</v>
      </c>
      <c r="I187" s="94" t="s">
        <v>1931</v>
      </c>
      <c r="J187" s="588"/>
      <c r="K187" s="536"/>
      <c r="L187" s="536"/>
      <c r="M187" s="594" t="s">
        <v>1932</v>
      </c>
      <c r="N187" s="536"/>
      <c r="O187" s="536"/>
      <c r="P187" s="536"/>
      <c r="Q187" s="539"/>
      <c r="R187" s="539"/>
      <c r="S187" s="538"/>
      <c r="T187" s="536"/>
      <c r="U187" s="536"/>
      <c r="V187" s="536"/>
      <c r="W187" s="536"/>
    </row>
    <row r="188" ht="15.75" customHeight="1">
      <c r="A188" s="536"/>
      <c r="B188" s="536"/>
      <c r="C188" s="536"/>
      <c r="D188" s="536"/>
      <c r="E188" s="82" t="s">
        <v>119</v>
      </c>
      <c r="F188" s="150" t="s">
        <v>124</v>
      </c>
      <c r="G188" s="150" t="s">
        <v>124</v>
      </c>
      <c r="H188" s="82" t="s">
        <v>1645</v>
      </c>
      <c r="I188" s="94" t="s">
        <v>1933</v>
      </c>
      <c r="J188" s="588"/>
      <c r="K188" s="536"/>
      <c r="L188" s="536"/>
      <c r="M188" s="594"/>
      <c r="N188" s="536"/>
      <c r="O188" s="536"/>
      <c r="P188" s="536"/>
      <c r="Q188" s="539"/>
      <c r="R188" s="539"/>
      <c r="S188" s="538"/>
      <c r="T188" s="536"/>
      <c r="U188" s="536"/>
      <c r="V188" s="536"/>
      <c r="W188" s="536"/>
    </row>
    <row r="189" ht="15.75" customHeight="1">
      <c r="A189" s="536"/>
      <c r="B189" s="536"/>
      <c r="C189" s="536"/>
      <c r="D189" s="536"/>
      <c r="E189" s="82" t="s">
        <v>119</v>
      </c>
      <c r="F189" s="150" t="s">
        <v>124</v>
      </c>
      <c r="G189" s="150" t="s">
        <v>124</v>
      </c>
      <c r="H189" s="82" t="s">
        <v>1638</v>
      </c>
      <c r="I189" s="94" t="s">
        <v>1934</v>
      </c>
      <c r="J189" s="588"/>
      <c r="K189" s="536"/>
      <c r="L189" s="536"/>
      <c r="M189" s="594"/>
      <c r="N189" s="536"/>
      <c r="O189" s="536"/>
      <c r="P189" s="536"/>
      <c r="Q189" s="539"/>
      <c r="R189" s="539"/>
      <c r="S189" s="538"/>
      <c r="T189" s="536"/>
      <c r="U189" s="536"/>
      <c r="V189" s="536"/>
      <c r="W189" s="536"/>
    </row>
    <row r="190" ht="15.75" customHeight="1">
      <c r="A190" s="210"/>
      <c r="B190" s="210"/>
      <c r="C190" s="210"/>
      <c r="D190" s="210"/>
      <c r="E190" s="82" t="s">
        <v>119</v>
      </c>
      <c r="F190" s="150" t="s">
        <v>124</v>
      </c>
      <c r="G190" s="150" t="s">
        <v>124</v>
      </c>
      <c r="H190" s="82" t="s">
        <v>1648</v>
      </c>
      <c r="I190" s="94" t="s">
        <v>1935</v>
      </c>
      <c r="J190" s="211"/>
      <c r="K190" s="210"/>
      <c r="L190" s="210"/>
      <c r="M190" s="596"/>
      <c r="N190" s="210"/>
      <c r="O190" s="210"/>
      <c r="P190" s="210"/>
      <c r="Q190" s="440"/>
      <c r="R190" s="440"/>
      <c r="S190" s="213"/>
      <c r="T190" s="210"/>
      <c r="U190" s="210"/>
      <c r="V190" s="210"/>
      <c r="W190" s="210"/>
    </row>
    <row r="191" ht="15.75" customHeight="1">
      <c r="A191" s="144" t="s">
        <v>213</v>
      </c>
      <c r="B191" s="143" t="s">
        <v>214</v>
      </c>
      <c r="C191" s="62"/>
      <c r="D191" s="62"/>
      <c r="E191" s="62"/>
      <c r="F191" s="62"/>
      <c r="G191" s="63"/>
      <c r="H191" s="144"/>
      <c r="I191" s="144"/>
      <c r="J191" s="541"/>
      <c r="K191" s="542"/>
      <c r="L191" s="543"/>
      <c r="M191" s="595"/>
      <c r="N191" s="552"/>
      <c r="O191" s="553"/>
      <c r="P191" s="547">
        <v>3.0</v>
      </c>
      <c r="Q191" s="547"/>
      <c r="R191" s="547"/>
      <c r="S191" s="548">
        <f>AVERAGE(S192:S211)</f>
        <v>3</v>
      </c>
      <c r="T191" s="525"/>
      <c r="U191" s="525"/>
      <c r="V191" s="526"/>
      <c r="W191" s="525"/>
    </row>
    <row r="192" ht="15.75" customHeight="1">
      <c r="A192" s="100"/>
      <c r="B192" s="100"/>
      <c r="C192" s="100">
        <v>1.0</v>
      </c>
      <c r="D192" s="58" t="s">
        <v>1936</v>
      </c>
      <c r="E192" s="82" t="s">
        <v>119</v>
      </c>
      <c r="F192" s="150" t="s">
        <v>124</v>
      </c>
      <c r="G192" s="150" t="s">
        <v>124</v>
      </c>
      <c r="H192" s="82" t="s">
        <v>1636</v>
      </c>
      <c r="I192" s="597" t="s">
        <v>1937</v>
      </c>
      <c r="J192" s="587" t="s">
        <v>1638</v>
      </c>
      <c r="K192" s="598" t="s">
        <v>1938</v>
      </c>
      <c r="L192" s="529">
        <v>5.0</v>
      </c>
      <c r="M192" s="594" t="s">
        <v>1939</v>
      </c>
      <c r="N192" s="550">
        <v>3.0</v>
      </c>
      <c r="O192" s="554" t="s">
        <v>1940</v>
      </c>
      <c r="P192" s="555">
        <v>3.0</v>
      </c>
      <c r="Q192" s="532" t="s">
        <v>1941</v>
      </c>
      <c r="R192" s="533">
        <v>3.0</v>
      </c>
      <c r="S192" s="582">
        <f>_xlfn.MODE.SNGL(L192:R196)</f>
        <v>3</v>
      </c>
      <c r="T192" s="535"/>
      <c r="U192" s="535"/>
      <c r="V192" s="535"/>
      <c r="W192" s="535"/>
    </row>
    <row r="193" ht="15.75" customHeight="1">
      <c r="A193" s="536"/>
      <c r="B193" s="536"/>
      <c r="C193" s="536"/>
      <c r="D193" s="536"/>
      <c r="E193" s="82" t="s">
        <v>119</v>
      </c>
      <c r="F193" s="150" t="s">
        <v>124</v>
      </c>
      <c r="G193" s="150" t="s">
        <v>124</v>
      </c>
      <c r="H193" s="82" t="s">
        <v>1643</v>
      </c>
      <c r="I193" s="50" t="s">
        <v>1942</v>
      </c>
      <c r="J193" s="588"/>
      <c r="K193" s="536"/>
      <c r="L193" s="536"/>
      <c r="M193" s="538"/>
      <c r="N193" s="536"/>
      <c r="O193" s="536"/>
      <c r="P193" s="536"/>
      <c r="Q193" s="539"/>
      <c r="R193" s="539"/>
      <c r="S193" s="538"/>
      <c r="T193" s="536"/>
      <c r="U193" s="536"/>
      <c r="V193" s="536"/>
      <c r="W193" s="536"/>
    </row>
    <row r="194" ht="15.75" customHeight="1">
      <c r="A194" s="536"/>
      <c r="B194" s="536"/>
      <c r="C194" s="536"/>
      <c r="D194" s="536"/>
      <c r="E194" s="82" t="s">
        <v>119</v>
      </c>
      <c r="F194" s="150" t="s">
        <v>124</v>
      </c>
      <c r="G194" s="150" t="s">
        <v>124</v>
      </c>
      <c r="H194" s="82" t="s">
        <v>1645</v>
      </c>
      <c r="I194" s="50" t="s">
        <v>1943</v>
      </c>
      <c r="J194" s="588"/>
      <c r="K194" s="536"/>
      <c r="L194" s="536"/>
      <c r="M194" s="538"/>
      <c r="N194" s="536"/>
      <c r="O194" s="536"/>
      <c r="P194" s="536"/>
      <c r="Q194" s="539"/>
      <c r="R194" s="539"/>
      <c r="S194" s="538"/>
      <c r="T194" s="536"/>
      <c r="U194" s="536"/>
      <c r="V194" s="536"/>
      <c r="W194" s="536"/>
    </row>
    <row r="195" ht="15.75" customHeight="1">
      <c r="A195" s="536"/>
      <c r="B195" s="536"/>
      <c r="C195" s="536"/>
      <c r="D195" s="536"/>
      <c r="E195" s="82" t="s">
        <v>119</v>
      </c>
      <c r="F195" s="150" t="s">
        <v>124</v>
      </c>
      <c r="G195" s="150" t="s">
        <v>124</v>
      </c>
      <c r="H195" s="82" t="s">
        <v>1638</v>
      </c>
      <c r="I195" s="50" t="s">
        <v>1944</v>
      </c>
      <c r="J195" s="588"/>
      <c r="K195" s="536"/>
      <c r="L195" s="536"/>
      <c r="M195" s="538"/>
      <c r="N195" s="536"/>
      <c r="O195" s="536"/>
      <c r="P195" s="536"/>
      <c r="Q195" s="539"/>
      <c r="R195" s="539"/>
      <c r="S195" s="538"/>
      <c r="T195" s="536"/>
      <c r="U195" s="536"/>
      <c r="V195" s="536"/>
      <c r="W195" s="536"/>
    </row>
    <row r="196" ht="15.75" customHeight="1">
      <c r="A196" s="536"/>
      <c r="B196" s="536"/>
      <c r="C196" s="210"/>
      <c r="D196" s="210"/>
      <c r="E196" s="82" t="s">
        <v>119</v>
      </c>
      <c r="F196" s="150" t="s">
        <v>124</v>
      </c>
      <c r="G196" s="150" t="s">
        <v>124</v>
      </c>
      <c r="H196" s="82" t="s">
        <v>1648</v>
      </c>
      <c r="I196" s="50" t="s">
        <v>1945</v>
      </c>
      <c r="J196" s="211"/>
      <c r="K196" s="210"/>
      <c r="L196" s="210"/>
      <c r="M196" s="213"/>
      <c r="N196" s="210"/>
      <c r="O196" s="210"/>
      <c r="P196" s="210"/>
      <c r="Q196" s="440"/>
      <c r="R196" s="440"/>
      <c r="S196" s="213"/>
      <c r="T196" s="210"/>
      <c r="U196" s="210"/>
      <c r="V196" s="210"/>
      <c r="W196" s="210"/>
    </row>
    <row r="197" ht="15.75" customHeight="1">
      <c r="A197" s="536"/>
      <c r="B197" s="536"/>
      <c r="C197" s="100">
        <v>2.0</v>
      </c>
      <c r="D197" s="58" t="s">
        <v>1946</v>
      </c>
      <c r="E197" s="82" t="s">
        <v>119</v>
      </c>
      <c r="F197" s="82" t="s">
        <v>120</v>
      </c>
      <c r="G197" s="160" t="s">
        <v>124</v>
      </c>
      <c r="H197" s="82" t="s">
        <v>1636</v>
      </c>
      <c r="I197" s="94" t="s">
        <v>1947</v>
      </c>
      <c r="J197" s="587" t="s">
        <v>1638</v>
      </c>
      <c r="K197" s="556" t="s">
        <v>1948</v>
      </c>
      <c r="L197" s="557">
        <v>4.0</v>
      </c>
      <c r="M197" s="594" t="s">
        <v>1949</v>
      </c>
      <c r="N197" s="550">
        <v>3.0</v>
      </c>
      <c r="O197" s="554" t="s">
        <v>1950</v>
      </c>
      <c r="P197" s="555">
        <v>5.0</v>
      </c>
      <c r="Q197" s="599"/>
      <c r="R197" s="599"/>
      <c r="S197" s="582">
        <f>_xlfn.MODE.SNGL(K197:R201)</f>
        <v>3</v>
      </c>
      <c r="T197" s="535"/>
      <c r="U197" s="535"/>
      <c r="V197" s="535"/>
      <c r="W197" s="535"/>
    </row>
    <row r="198" ht="15.75" customHeight="1">
      <c r="A198" s="536"/>
      <c r="B198" s="536"/>
      <c r="C198" s="536"/>
      <c r="D198" s="536"/>
      <c r="E198" s="82" t="s">
        <v>119</v>
      </c>
      <c r="F198" s="82" t="s">
        <v>120</v>
      </c>
      <c r="G198" s="160" t="s">
        <v>124</v>
      </c>
      <c r="H198" s="82" t="s">
        <v>1643</v>
      </c>
      <c r="I198" s="94" t="s">
        <v>1951</v>
      </c>
      <c r="J198" s="588"/>
      <c r="K198" s="536"/>
      <c r="L198" s="536"/>
      <c r="M198" s="538"/>
      <c r="N198" s="536"/>
      <c r="O198" s="536"/>
      <c r="P198" s="536"/>
      <c r="Q198" s="532" t="s">
        <v>1941</v>
      </c>
      <c r="R198" s="533">
        <v>3.0</v>
      </c>
      <c r="S198" s="538"/>
      <c r="T198" s="536"/>
      <c r="U198" s="536"/>
      <c r="V198" s="536"/>
      <c r="W198" s="536"/>
    </row>
    <row r="199" ht="15.75" customHeight="1">
      <c r="A199" s="536"/>
      <c r="B199" s="536"/>
      <c r="C199" s="536"/>
      <c r="D199" s="536"/>
      <c r="E199" s="82" t="s">
        <v>119</v>
      </c>
      <c r="F199" s="82" t="s">
        <v>120</v>
      </c>
      <c r="G199" s="160" t="s">
        <v>124</v>
      </c>
      <c r="H199" s="82" t="s">
        <v>1645</v>
      </c>
      <c r="I199" s="94" t="s">
        <v>1952</v>
      </c>
      <c r="J199" s="588"/>
      <c r="K199" s="536"/>
      <c r="L199" s="536"/>
      <c r="M199" s="538"/>
      <c r="N199" s="536"/>
      <c r="O199" s="536"/>
      <c r="P199" s="536"/>
      <c r="Q199" s="539"/>
      <c r="R199" s="539"/>
      <c r="S199" s="538"/>
      <c r="T199" s="536"/>
      <c r="U199" s="536"/>
      <c r="V199" s="536"/>
      <c r="W199" s="536"/>
    </row>
    <row r="200" ht="15.75" customHeight="1">
      <c r="A200" s="536"/>
      <c r="B200" s="536"/>
      <c r="C200" s="536"/>
      <c r="D200" s="536"/>
      <c r="E200" s="82" t="s">
        <v>119</v>
      </c>
      <c r="F200" s="82" t="s">
        <v>120</v>
      </c>
      <c r="G200" s="160" t="s">
        <v>124</v>
      </c>
      <c r="H200" s="82" t="s">
        <v>1638</v>
      </c>
      <c r="I200" s="94" t="s">
        <v>1953</v>
      </c>
      <c r="J200" s="588"/>
      <c r="K200" s="536"/>
      <c r="L200" s="536"/>
      <c r="M200" s="538"/>
      <c r="N200" s="536"/>
      <c r="O200" s="536"/>
      <c r="P200" s="536"/>
      <c r="Q200" s="539"/>
      <c r="R200" s="539"/>
      <c r="S200" s="538"/>
      <c r="T200" s="536"/>
      <c r="U200" s="536"/>
      <c r="V200" s="536"/>
      <c r="W200" s="536"/>
    </row>
    <row r="201" ht="15.75" customHeight="1">
      <c r="A201" s="536"/>
      <c r="B201" s="536"/>
      <c r="C201" s="210"/>
      <c r="D201" s="210"/>
      <c r="E201" s="82" t="s">
        <v>119</v>
      </c>
      <c r="F201" s="82" t="s">
        <v>120</v>
      </c>
      <c r="G201" s="160" t="s">
        <v>124</v>
      </c>
      <c r="H201" s="82" t="s">
        <v>1648</v>
      </c>
      <c r="I201" s="94" t="s">
        <v>1954</v>
      </c>
      <c r="J201" s="211"/>
      <c r="K201" s="210"/>
      <c r="L201" s="210"/>
      <c r="M201" s="213"/>
      <c r="N201" s="210"/>
      <c r="O201" s="210"/>
      <c r="P201" s="210"/>
      <c r="Q201" s="440"/>
      <c r="R201" s="440"/>
      <c r="S201" s="213"/>
      <c r="T201" s="210"/>
      <c r="U201" s="210"/>
      <c r="V201" s="210"/>
      <c r="W201" s="210"/>
    </row>
    <row r="202" ht="15.75" customHeight="1">
      <c r="A202" s="536"/>
      <c r="B202" s="536"/>
      <c r="C202" s="100">
        <v>3.0</v>
      </c>
      <c r="D202" s="58" t="s">
        <v>217</v>
      </c>
      <c r="E202" s="82" t="s">
        <v>119</v>
      </c>
      <c r="F202" s="82" t="s">
        <v>120</v>
      </c>
      <c r="G202" s="160" t="s">
        <v>124</v>
      </c>
      <c r="H202" s="82" t="s">
        <v>1636</v>
      </c>
      <c r="I202" s="94" t="s">
        <v>1955</v>
      </c>
      <c r="J202" s="587" t="s">
        <v>1638</v>
      </c>
      <c r="K202" s="556" t="s">
        <v>1956</v>
      </c>
      <c r="L202" s="557">
        <v>3.0</v>
      </c>
      <c r="M202" s="594" t="s">
        <v>1957</v>
      </c>
      <c r="N202" s="550">
        <v>3.0</v>
      </c>
      <c r="O202" s="558" t="s">
        <v>1958</v>
      </c>
      <c r="P202" s="559">
        <v>2.0</v>
      </c>
      <c r="Q202" s="532" t="s">
        <v>1941</v>
      </c>
      <c r="R202" s="533">
        <v>2.0</v>
      </c>
      <c r="S202" s="582">
        <f>_xlfn.MODE.SNGL(K202:R206)</f>
        <v>3</v>
      </c>
      <c r="T202" s="535"/>
      <c r="U202" s="535"/>
      <c r="V202" s="535"/>
      <c r="W202" s="535"/>
    </row>
    <row r="203" ht="15.75" customHeight="1">
      <c r="A203" s="536"/>
      <c r="B203" s="536"/>
      <c r="C203" s="536"/>
      <c r="D203" s="536"/>
      <c r="E203" s="82" t="s">
        <v>119</v>
      </c>
      <c r="F203" s="82" t="s">
        <v>120</v>
      </c>
      <c r="G203" s="160" t="s">
        <v>124</v>
      </c>
      <c r="H203" s="82" t="s">
        <v>1643</v>
      </c>
      <c r="I203" s="94" t="s">
        <v>1959</v>
      </c>
      <c r="J203" s="588"/>
      <c r="K203" s="536"/>
      <c r="L203" s="536"/>
      <c r="M203" s="538"/>
      <c r="N203" s="536"/>
      <c r="O203" s="536"/>
      <c r="P203" s="536"/>
      <c r="Q203" s="539"/>
      <c r="R203" s="539"/>
      <c r="S203" s="538"/>
      <c r="T203" s="536"/>
      <c r="U203" s="536"/>
      <c r="V203" s="536"/>
      <c r="W203" s="536"/>
    </row>
    <row r="204" ht="15.75" customHeight="1">
      <c r="A204" s="536"/>
      <c r="B204" s="536"/>
      <c r="C204" s="536"/>
      <c r="D204" s="536"/>
      <c r="E204" s="82" t="s">
        <v>119</v>
      </c>
      <c r="F204" s="82" t="s">
        <v>120</v>
      </c>
      <c r="G204" s="160" t="s">
        <v>124</v>
      </c>
      <c r="H204" s="82" t="s">
        <v>1645</v>
      </c>
      <c r="I204" s="94" t="s">
        <v>1960</v>
      </c>
      <c r="J204" s="588"/>
      <c r="K204" s="536"/>
      <c r="L204" s="536"/>
      <c r="M204" s="538"/>
      <c r="N204" s="536"/>
      <c r="O204" s="536"/>
      <c r="P204" s="536"/>
      <c r="Q204" s="539"/>
      <c r="R204" s="539"/>
      <c r="S204" s="538"/>
      <c r="T204" s="536"/>
      <c r="U204" s="536"/>
      <c r="V204" s="536"/>
      <c r="W204" s="536"/>
    </row>
    <row r="205" ht="15.75" customHeight="1">
      <c r="A205" s="536"/>
      <c r="B205" s="536"/>
      <c r="C205" s="536"/>
      <c r="D205" s="536"/>
      <c r="E205" s="82" t="s">
        <v>119</v>
      </c>
      <c r="F205" s="82" t="s">
        <v>120</v>
      </c>
      <c r="G205" s="160" t="s">
        <v>124</v>
      </c>
      <c r="H205" s="82" t="s">
        <v>1638</v>
      </c>
      <c r="I205" s="94" t="s">
        <v>1961</v>
      </c>
      <c r="J205" s="588"/>
      <c r="K205" s="536"/>
      <c r="L205" s="536"/>
      <c r="M205" s="538"/>
      <c r="N205" s="536"/>
      <c r="O205" s="536"/>
      <c r="P205" s="536"/>
      <c r="Q205" s="539"/>
      <c r="R205" s="539"/>
      <c r="S205" s="538"/>
      <c r="T205" s="536"/>
      <c r="U205" s="536"/>
      <c r="V205" s="536"/>
      <c r="W205" s="536"/>
    </row>
    <row r="206" ht="15.75" customHeight="1">
      <c r="A206" s="536"/>
      <c r="B206" s="536"/>
      <c r="C206" s="210"/>
      <c r="D206" s="210"/>
      <c r="E206" s="82" t="s">
        <v>119</v>
      </c>
      <c r="F206" s="82" t="s">
        <v>120</v>
      </c>
      <c r="G206" s="160" t="s">
        <v>124</v>
      </c>
      <c r="H206" s="82" t="s">
        <v>1648</v>
      </c>
      <c r="I206" s="94" t="s">
        <v>1962</v>
      </c>
      <c r="J206" s="211"/>
      <c r="K206" s="210"/>
      <c r="L206" s="210"/>
      <c r="M206" s="213"/>
      <c r="N206" s="210"/>
      <c r="O206" s="210"/>
      <c r="P206" s="210"/>
      <c r="Q206" s="440"/>
      <c r="R206" s="440"/>
      <c r="S206" s="213"/>
      <c r="T206" s="210"/>
      <c r="U206" s="210"/>
      <c r="V206" s="210"/>
      <c r="W206" s="210"/>
    </row>
    <row r="207" ht="15.75" customHeight="1">
      <c r="A207" s="536"/>
      <c r="B207" s="536"/>
      <c r="C207" s="100">
        <v>4.0</v>
      </c>
      <c r="D207" s="58" t="s">
        <v>218</v>
      </c>
      <c r="E207" s="82" t="s">
        <v>119</v>
      </c>
      <c r="F207" s="82" t="s">
        <v>120</v>
      </c>
      <c r="G207" s="160" t="s">
        <v>124</v>
      </c>
      <c r="H207" s="82" t="s">
        <v>1636</v>
      </c>
      <c r="I207" s="94" t="s">
        <v>1963</v>
      </c>
      <c r="J207" s="587" t="s">
        <v>1638</v>
      </c>
      <c r="K207" s="556" t="s">
        <v>1964</v>
      </c>
      <c r="L207" s="557">
        <v>3.0</v>
      </c>
      <c r="M207" s="594" t="s">
        <v>1957</v>
      </c>
      <c r="N207" s="561">
        <v>3.0</v>
      </c>
      <c r="O207" s="558" t="s">
        <v>1965</v>
      </c>
      <c r="P207" s="559">
        <v>1.0</v>
      </c>
      <c r="Q207" s="532" t="s">
        <v>1966</v>
      </c>
      <c r="R207" s="533">
        <v>3.0</v>
      </c>
      <c r="S207" s="582">
        <f>_xlfn.MODE.SNGL(K207:R211)</f>
        <v>3</v>
      </c>
      <c r="T207" s="535"/>
      <c r="U207" s="535"/>
      <c r="V207" s="535"/>
      <c r="W207" s="535"/>
    </row>
    <row r="208" ht="15.75" customHeight="1">
      <c r="A208" s="536"/>
      <c r="B208" s="536"/>
      <c r="C208" s="536"/>
      <c r="D208" s="536"/>
      <c r="E208" s="82" t="s">
        <v>119</v>
      </c>
      <c r="F208" s="82" t="s">
        <v>120</v>
      </c>
      <c r="G208" s="160" t="s">
        <v>124</v>
      </c>
      <c r="H208" s="82" t="s">
        <v>1643</v>
      </c>
      <c r="I208" s="94" t="s">
        <v>1967</v>
      </c>
      <c r="J208" s="588"/>
      <c r="K208" s="536"/>
      <c r="L208" s="536"/>
      <c r="M208" s="538"/>
      <c r="N208" s="536"/>
      <c r="O208" s="536"/>
      <c r="P208" s="536"/>
      <c r="Q208" s="539"/>
      <c r="R208" s="539"/>
      <c r="S208" s="538"/>
      <c r="T208" s="536"/>
      <c r="U208" s="536"/>
      <c r="V208" s="536"/>
      <c r="W208" s="536"/>
    </row>
    <row r="209" ht="15.75" customHeight="1">
      <c r="A209" s="536"/>
      <c r="B209" s="536"/>
      <c r="C209" s="536"/>
      <c r="D209" s="536"/>
      <c r="E209" s="82" t="s">
        <v>119</v>
      </c>
      <c r="F209" s="82" t="s">
        <v>120</v>
      </c>
      <c r="G209" s="160" t="s">
        <v>124</v>
      </c>
      <c r="H209" s="82" t="s">
        <v>1645</v>
      </c>
      <c r="I209" s="94" t="s">
        <v>1968</v>
      </c>
      <c r="J209" s="588"/>
      <c r="K209" s="536"/>
      <c r="L209" s="536"/>
      <c r="M209" s="538"/>
      <c r="N209" s="536"/>
      <c r="O209" s="536"/>
      <c r="P209" s="536"/>
      <c r="Q209" s="539"/>
      <c r="R209" s="539"/>
      <c r="S209" s="538"/>
      <c r="T209" s="536"/>
      <c r="U209" s="536"/>
      <c r="V209" s="536"/>
      <c r="W209" s="536"/>
    </row>
    <row r="210" ht="15.75" customHeight="1">
      <c r="A210" s="536"/>
      <c r="B210" s="536"/>
      <c r="C210" s="536"/>
      <c r="D210" s="536"/>
      <c r="E210" s="82" t="s">
        <v>119</v>
      </c>
      <c r="F210" s="82" t="s">
        <v>120</v>
      </c>
      <c r="G210" s="160" t="s">
        <v>124</v>
      </c>
      <c r="H210" s="82" t="s">
        <v>1638</v>
      </c>
      <c r="I210" s="94" t="s">
        <v>1969</v>
      </c>
      <c r="J210" s="588"/>
      <c r="K210" s="536"/>
      <c r="L210" s="536"/>
      <c r="M210" s="538"/>
      <c r="N210" s="536"/>
      <c r="O210" s="536"/>
      <c r="P210" s="536"/>
      <c r="Q210" s="539"/>
      <c r="R210" s="539"/>
      <c r="S210" s="538"/>
      <c r="T210" s="536"/>
      <c r="U210" s="536"/>
      <c r="V210" s="536"/>
      <c r="W210" s="536"/>
    </row>
    <row r="211" ht="15.75" customHeight="1">
      <c r="A211" s="210"/>
      <c r="B211" s="210"/>
      <c r="C211" s="210"/>
      <c r="D211" s="210"/>
      <c r="E211" s="82" t="s">
        <v>119</v>
      </c>
      <c r="F211" s="82" t="s">
        <v>120</v>
      </c>
      <c r="G211" s="160" t="s">
        <v>124</v>
      </c>
      <c r="H211" s="82" t="s">
        <v>1648</v>
      </c>
      <c r="I211" s="94" t="s">
        <v>1970</v>
      </c>
      <c r="J211" s="211"/>
      <c r="K211" s="210"/>
      <c r="L211" s="210"/>
      <c r="M211" s="213"/>
      <c r="N211" s="210"/>
      <c r="O211" s="210"/>
      <c r="P211" s="210"/>
      <c r="Q211" s="440"/>
      <c r="R211" s="440"/>
      <c r="S211" s="213"/>
      <c r="T211" s="210"/>
      <c r="U211" s="210"/>
      <c r="V211" s="210"/>
      <c r="W211" s="210"/>
    </row>
    <row r="212" ht="15.75" customHeight="1">
      <c r="A212" s="144" t="s">
        <v>220</v>
      </c>
      <c r="B212" s="143" t="s">
        <v>221</v>
      </c>
      <c r="C212" s="62"/>
      <c r="D212" s="62"/>
      <c r="E212" s="62"/>
      <c r="F212" s="62"/>
      <c r="G212" s="63"/>
      <c r="H212" s="144"/>
      <c r="I212" s="144"/>
      <c r="J212" s="541"/>
      <c r="K212" s="542"/>
      <c r="L212" s="543"/>
      <c r="M212" s="595"/>
      <c r="N212" s="552"/>
      <c r="O212" s="553"/>
      <c r="P212" s="547">
        <v>3.0</v>
      </c>
      <c r="Q212" s="547"/>
      <c r="R212" s="547"/>
      <c r="S212" s="548">
        <f>S213</f>
        <v>4</v>
      </c>
      <c r="T212" s="525"/>
      <c r="U212" s="525"/>
      <c r="V212" s="526"/>
      <c r="W212" s="525"/>
    </row>
    <row r="213" ht="15.75" customHeight="1">
      <c r="A213" s="100"/>
      <c r="B213" s="100"/>
      <c r="C213" s="100">
        <v>1.0</v>
      </c>
      <c r="D213" s="58" t="s">
        <v>222</v>
      </c>
      <c r="E213" s="82" t="s">
        <v>119</v>
      </c>
      <c r="F213" s="160" t="s">
        <v>124</v>
      </c>
      <c r="G213" s="160" t="s">
        <v>124</v>
      </c>
      <c r="H213" s="82" t="s">
        <v>1636</v>
      </c>
      <c r="I213" s="597" t="s">
        <v>1971</v>
      </c>
      <c r="J213" s="587" t="s">
        <v>1638</v>
      </c>
      <c r="K213" s="574" t="s">
        <v>1972</v>
      </c>
      <c r="L213" s="529">
        <v>4.0</v>
      </c>
      <c r="M213" s="594" t="s">
        <v>1973</v>
      </c>
      <c r="N213" s="550">
        <v>4.0</v>
      </c>
      <c r="O213" s="554" t="s">
        <v>1974</v>
      </c>
      <c r="P213" s="600">
        <v>3.0</v>
      </c>
      <c r="Q213" s="532" t="s">
        <v>1966</v>
      </c>
      <c r="R213" s="533">
        <v>3.0</v>
      </c>
      <c r="S213" s="582">
        <f>_xlfn.MODE.SNGL(K213:R217)</f>
        <v>4</v>
      </c>
      <c r="T213" s="535"/>
      <c r="U213" s="535"/>
      <c r="V213" s="535"/>
      <c r="W213" s="535"/>
    </row>
    <row r="214" ht="15.75" customHeight="1">
      <c r="A214" s="536"/>
      <c r="B214" s="536"/>
      <c r="C214" s="536"/>
      <c r="D214" s="536"/>
      <c r="E214" s="82" t="s">
        <v>119</v>
      </c>
      <c r="F214" s="160" t="s">
        <v>124</v>
      </c>
      <c r="G214" s="160" t="s">
        <v>124</v>
      </c>
      <c r="H214" s="82" t="s">
        <v>1643</v>
      </c>
      <c r="I214" s="50" t="s">
        <v>1975</v>
      </c>
      <c r="J214" s="588"/>
      <c r="K214" s="536"/>
      <c r="L214" s="536"/>
      <c r="M214" s="538"/>
      <c r="N214" s="536"/>
      <c r="O214" s="536"/>
      <c r="P214" s="536"/>
      <c r="Q214" s="539"/>
      <c r="R214" s="539"/>
      <c r="S214" s="538"/>
      <c r="T214" s="536"/>
      <c r="U214" s="536"/>
      <c r="V214" s="536"/>
      <c r="W214" s="536"/>
    </row>
    <row r="215" ht="15.75" customHeight="1">
      <c r="A215" s="536"/>
      <c r="B215" s="536"/>
      <c r="C215" s="536"/>
      <c r="D215" s="536"/>
      <c r="E215" s="82" t="s">
        <v>119</v>
      </c>
      <c r="F215" s="160" t="s">
        <v>124</v>
      </c>
      <c r="G215" s="160" t="s">
        <v>124</v>
      </c>
      <c r="H215" s="82" t="s">
        <v>1645</v>
      </c>
      <c r="I215" s="50" t="s">
        <v>1974</v>
      </c>
      <c r="J215" s="588"/>
      <c r="K215" s="536"/>
      <c r="L215" s="536"/>
      <c r="M215" s="538"/>
      <c r="N215" s="536"/>
      <c r="O215" s="536"/>
      <c r="P215" s="536"/>
      <c r="Q215" s="539"/>
      <c r="R215" s="539"/>
      <c r="S215" s="538"/>
      <c r="T215" s="536"/>
      <c r="U215" s="536"/>
      <c r="V215" s="536"/>
      <c r="W215" s="536"/>
    </row>
    <row r="216" ht="15.75" customHeight="1">
      <c r="A216" s="536"/>
      <c r="B216" s="536"/>
      <c r="C216" s="536"/>
      <c r="D216" s="536"/>
      <c r="E216" s="82" t="s">
        <v>119</v>
      </c>
      <c r="F216" s="160" t="s">
        <v>124</v>
      </c>
      <c r="G216" s="160" t="s">
        <v>124</v>
      </c>
      <c r="H216" s="82" t="s">
        <v>1638</v>
      </c>
      <c r="I216" s="50" t="s">
        <v>1976</v>
      </c>
      <c r="J216" s="588"/>
      <c r="K216" s="536"/>
      <c r="L216" s="536"/>
      <c r="M216" s="538"/>
      <c r="N216" s="536"/>
      <c r="O216" s="536"/>
      <c r="P216" s="536"/>
      <c r="Q216" s="539"/>
      <c r="R216" s="539"/>
      <c r="S216" s="538"/>
      <c r="T216" s="536"/>
      <c r="U216" s="536"/>
      <c r="V216" s="536"/>
      <c r="W216" s="536"/>
    </row>
    <row r="217" ht="15.75" customHeight="1">
      <c r="A217" s="210"/>
      <c r="B217" s="210"/>
      <c r="C217" s="210"/>
      <c r="D217" s="210"/>
      <c r="E217" s="82" t="s">
        <v>119</v>
      </c>
      <c r="F217" s="160" t="s">
        <v>124</v>
      </c>
      <c r="G217" s="160" t="s">
        <v>124</v>
      </c>
      <c r="H217" s="82" t="s">
        <v>1648</v>
      </c>
      <c r="I217" s="597" t="s">
        <v>1977</v>
      </c>
      <c r="J217" s="211"/>
      <c r="K217" s="210"/>
      <c r="L217" s="210"/>
      <c r="M217" s="213"/>
      <c r="N217" s="210"/>
      <c r="O217" s="210"/>
      <c r="P217" s="210"/>
      <c r="Q217" s="440"/>
      <c r="R217" s="440"/>
      <c r="S217" s="213"/>
      <c r="T217" s="210"/>
      <c r="U217" s="210"/>
      <c r="V217" s="210"/>
      <c r="W217" s="210"/>
    </row>
    <row r="218" ht="15.75" customHeight="1">
      <c r="A218" s="144" t="s">
        <v>223</v>
      </c>
      <c r="B218" s="143" t="s">
        <v>224</v>
      </c>
      <c r="C218" s="62"/>
      <c r="D218" s="62"/>
      <c r="E218" s="62"/>
      <c r="F218" s="62"/>
      <c r="G218" s="63"/>
      <c r="H218" s="144"/>
      <c r="I218" s="144"/>
      <c r="J218" s="541"/>
      <c r="K218" s="542"/>
      <c r="L218" s="543"/>
      <c r="M218" s="595"/>
      <c r="N218" s="552"/>
      <c r="O218" s="553"/>
      <c r="P218" s="547">
        <v>2.0</v>
      </c>
      <c r="Q218" s="547"/>
      <c r="R218" s="547"/>
      <c r="S218" s="548">
        <f>AVERAGE(S219:S233)</f>
        <v>3.333333333</v>
      </c>
      <c r="T218" s="525"/>
      <c r="U218" s="525"/>
      <c r="V218" s="526"/>
      <c r="W218" s="525"/>
    </row>
    <row r="219" ht="15.75" customHeight="1">
      <c r="A219" s="100"/>
      <c r="B219" s="100"/>
      <c r="C219" s="100">
        <v>1.0</v>
      </c>
      <c r="D219" s="58" t="s">
        <v>1978</v>
      </c>
      <c r="E219" s="82" t="s">
        <v>119</v>
      </c>
      <c r="F219" s="160" t="s">
        <v>124</v>
      </c>
      <c r="G219" s="160" t="s">
        <v>124</v>
      </c>
      <c r="H219" s="82" t="s">
        <v>1636</v>
      </c>
      <c r="I219" s="50" t="s">
        <v>1979</v>
      </c>
      <c r="J219" s="587" t="s">
        <v>1638</v>
      </c>
      <c r="K219" s="528" t="s">
        <v>1980</v>
      </c>
      <c r="L219" s="529">
        <v>4.0</v>
      </c>
      <c r="M219" s="594" t="s">
        <v>1981</v>
      </c>
      <c r="N219" s="550">
        <v>4.0</v>
      </c>
      <c r="O219" s="554" t="s">
        <v>1982</v>
      </c>
      <c r="P219" s="555">
        <v>3.0</v>
      </c>
      <c r="Q219" s="532" t="s">
        <v>1966</v>
      </c>
      <c r="R219" s="533">
        <v>3.0</v>
      </c>
      <c r="S219" s="582">
        <f>_xlfn.MODE.SNGL(K219:R223)</f>
        <v>4</v>
      </c>
      <c r="T219" s="535"/>
      <c r="U219" s="535"/>
      <c r="V219" s="535"/>
      <c r="W219" s="535"/>
    </row>
    <row r="220" ht="15.75" customHeight="1">
      <c r="A220" s="536"/>
      <c r="B220" s="536"/>
      <c r="C220" s="536"/>
      <c r="D220" s="536"/>
      <c r="E220" s="82" t="s">
        <v>119</v>
      </c>
      <c r="F220" s="160" t="s">
        <v>124</v>
      </c>
      <c r="G220" s="160" t="s">
        <v>124</v>
      </c>
      <c r="H220" s="82" t="s">
        <v>1643</v>
      </c>
      <c r="I220" s="597" t="s">
        <v>1983</v>
      </c>
      <c r="J220" s="588"/>
      <c r="K220" s="536"/>
      <c r="L220" s="536"/>
      <c r="M220" s="538"/>
      <c r="N220" s="536"/>
      <c r="O220" s="536"/>
      <c r="P220" s="536"/>
      <c r="Q220" s="539"/>
      <c r="R220" s="539"/>
      <c r="S220" s="538"/>
      <c r="T220" s="536"/>
      <c r="U220" s="536"/>
      <c r="V220" s="536"/>
      <c r="W220" s="536"/>
    </row>
    <row r="221" ht="15.75" customHeight="1">
      <c r="A221" s="536"/>
      <c r="B221" s="536"/>
      <c r="C221" s="536"/>
      <c r="D221" s="536"/>
      <c r="E221" s="82" t="s">
        <v>119</v>
      </c>
      <c r="F221" s="160" t="s">
        <v>124</v>
      </c>
      <c r="G221" s="160" t="s">
        <v>124</v>
      </c>
      <c r="H221" s="82" t="s">
        <v>1645</v>
      </c>
      <c r="I221" s="50" t="s">
        <v>1984</v>
      </c>
      <c r="J221" s="588"/>
      <c r="K221" s="536"/>
      <c r="L221" s="536"/>
      <c r="M221" s="538"/>
      <c r="N221" s="536"/>
      <c r="O221" s="536"/>
      <c r="P221" s="536"/>
      <c r="Q221" s="539"/>
      <c r="R221" s="539"/>
      <c r="S221" s="538"/>
      <c r="T221" s="536"/>
      <c r="U221" s="536"/>
      <c r="V221" s="536"/>
      <c r="W221" s="536"/>
    </row>
    <row r="222" ht="15.75" customHeight="1">
      <c r="A222" s="536"/>
      <c r="B222" s="536"/>
      <c r="C222" s="536"/>
      <c r="D222" s="536"/>
      <c r="E222" s="82" t="s">
        <v>119</v>
      </c>
      <c r="F222" s="160" t="s">
        <v>124</v>
      </c>
      <c r="G222" s="160" t="s">
        <v>124</v>
      </c>
      <c r="H222" s="82" t="s">
        <v>1638</v>
      </c>
      <c r="I222" s="50" t="s">
        <v>1985</v>
      </c>
      <c r="J222" s="588"/>
      <c r="K222" s="536"/>
      <c r="L222" s="536"/>
      <c r="M222" s="538"/>
      <c r="N222" s="536"/>
      <c r="O222" s="536"/>
      <c r="P222" s="536"/>
      <c r="Q222" s="539"/>
      <c r="R222" s="539"/>
      <c r="S222" s="538"/>
      <c r="T222" s="536"/>
      <c r="U222" s="536"/>
      <c r="V222" s="536"/>
      <c r="W222" s="536"/>
    </row>
    <row r="223" ht="15.75" customHeight="1">
      <c r="A223" s="536"/>
      <c r="B223" s="536"/>
      <c r="C223" s="210"/>
      <c r="D223" s="210"/>
      <c r="E223" s="82" t="s">
        <v>119</v>
      </c>
      <c r="F223" s="160" t="s">
        <v>124</v>
      </c>
      <c r="G223" s="160" t="s">
        <v>124</v>
      </c>
      <c r="H223" s="82" t="s">
        <v>1648</v>
      </c>
      <c r="I223" s="50" t="s">
        <v>1986</v>
      </c>
      <c r="J223" s="211"/>
      <c r="K223" s="210"/>
      <c r="L223" s="210"/>
      <c r="M223" s="213"/>
      <c r="N223" s="210"/>
      <c r="O223" s="210"/>
      <c r="P223" s="210"/>
      <c r="Q223" s="440"/>
      <c r="R223" s="440"/>
      <c r="S223" s="213"/>
      <c r="T223" s="210"/>
      <c r="U223" s="210"/>
      <c r="V223" s="210"/>
      <c r="W223" s="210"/>
    </row>
    <row r="224" ht="15.75" customHeight="1">
      <c r="A224" s="536"/>
      <c r="B224" s="536"/>
      <c r="C224" s="100">
        <v>2.0</v>
      </c>
      <c r="D224" s="58" t="s">
        <v>226</v>
      </c>
      <c r="E224" s="82" t="s">
        <v>119</v>
      </c>
      <c r="F224" s="82" t="s">
        <v>120</v>
      </c>
      <c r="G224" s="160" t="s">
        <v>124</v>
      </c>
      <c r="H224" s="82" t="s">
        <v>1636</v>
      </c>
      <c r="I224" s="94" t="s">
        <v>1987</v>
      </c>
      <c r="J224" s="587" t="s">
        <v>1638</v>
      </c>
      <c r="K224" s="556" t="s">
        <v>1988</v>
      </c>
      <c r="L224" s="557">
        <v>3.0</v>
      </c>
      <c r="M224" s="594" t="s">
        <v>1981</v>
      </c>
      <c r="N224" s="561">
        <v>3.0</v>
      </c>
      <c r="O224" s="554" t="s">
        <v>1989</v>
      </c>
      <c r="P224" s="555">
        <v>3.0</v>
      </c>
      <c r="Q224" s="532" t="s">
        <v>1990</v>
      </c>
      <c r="R224" s="533">
        <v>3.0</v>
      </c>
      <c r="S224" s="582">
        <f>_xlfn.MODE.SNGL(K224:R228)</f>
        <v>3</v>
      </c>
      <c r="T224" s="535"/>
      <c r="U224" s="535"/>
      <c r="V224" s="535"/>
      <c r="W224" s="535"/>
    </row>
    <row r="225" ht="15.75" customHeight="1">
      <c r="A225" s="536"/>
      <c r="B225" s="536"/>
      <c r="C225" s="536"/>
      <c r="D225" s="536"/>
      <c r="E225" s="82" t="s">
        <v>119</v>
      </c>
      <c r="F225" s="82" t="s">
        <v>120</v>
      </c>
      <c r="G225" s="160" t="s">
        <v>124</v>
      </c>
      <c r="H225" s="82" t="s">
        <v>1643</v>
      </c>
      <c r="I225" s="94" t="s">
        <v>1991</v>
      </c>
      <c r="J225" s="588"/>
      <c r="K225" s="536"/>
      <c r="L225" s="536"/>
      <c r="M225" s="538"/>
      <c r="N225" s="536"/>
      <c r="O225" s="536"/>
      <c r="P225" s="536"/>
      <c r="Q225" s="539"/>
      <c r="R225" s="539"/>
      <c r="S225" s="538"/>
      <c r="T225" s="536"/>
      <c r="U225" s="536"/>
      <c r="V225" s="536"/>
      <c r="W225" s="536"/>
    </row>
    <row r="226" ht="15.75" customHeight="1">
      <c r="A226" s="536"/>
      <c r="B226" s="536"/>
      <c r="C226" s="536"/>
      <c r="D226" s="536"/>
      <c r="E226" s="82" t="s">
        <v>119</v>
      </c>
      <c r="F226" s="82" t="s">
        <v>120</v>
      </c>
      <c r="G226" s="160" t="s">
        <v>124</v>
      </c>
      <c r="H226" s="82" t="s">
        <v>1645</v>
      </c>
      <c r="I226" s="94" t="s">
        <v>1992</v>
      </c>
      <c r="J226" s="588"/>
      <c r="K226" s="536"/>
      <c r="L226" s="536"/>
      <c r="M226" s="538"/>
      <c r="N226" s="536"/>
      <c r="O226" s="536"/>
      <c r="P226" s="536"/>
      <c r="Q226" s="539"/>
      <c r="R226" s="539"/>
      <c r="S226" s="538"/>
      <c r="T226" s="536"/>
      <c r="U226" s="536"/>
      <c r="V226" s="536"/>
      <c r="W226" s="536"/>
    </row>
    <row r="227" ht="15.75" customHeight="1">
      <c r="A227" s="536"/>
      <c r="B227" s="536"/>
      <c r="C227" s="536"/>
      <c r="D227" s="536"/>
      <c r="E227" s="82" t="s">
        <v>119</v>
      </c>
      <c r="F227" s="82" t="s">
        <v>120</v>
      </c>
      <c r="G227" s="160" t="s">
        <v>124</v>
      </c>
      <c r="H227" s="82" t="s">
        <v>1638</v>
      </c>
      <c r="I227" s="94" t="s">
        <v>1993</v>
      </c>
      <c r="J227" s="588"/>
      <c r="K227" s="536"/>
      <c r="L227" s="536"/>
      <c r="M227" s="538"/>
      <c r="N227" s="536"/>
      <c r="O227" s="536"/>
      <c r="P227" s="536"/>
      <c r="Q227" s="539"/>
      <c r="R227" s="539"/>
      <c r="S227" s="538"/>
      <c r="T227" s="536"/>
      <c r="U227" s="536"/>
      <c r="V227" s="536"/>
      <c r="W227" s="536"/>
    </row>
    <row r="228" ht="15.75" customHeight="1">
      <c r="A228" s="536"/>
      <c r="B228" s="536"/>
      <c r="C228" s="210"/>
      <c r="D228" s="210"/>
      <c r="E228" s="82" t="s">
        <v>119</v>
      </c>
      <c r="F228" s="82" t="s">
        <v>120</v>
      </c>
      <c r="G228" s="160" t="s">
        <v>124</v>
      </c>
      <c r="H228" s="82" t="s">
        <v>1648</v>
      </c>
      <c r="I228" s="94" t="s">
        <v>1994</v>
      </c>
      <c r="J228" s="211"/>
      <c r="K228" s="210"/>
      <c r="L228" s="210"/>
      <c r="M228" s="213"/>
      <c r="N228" s="210"/>
      <c r="O228" s="210"/>
      <c r="P228" s="210"/>
      <c r="Q228" s="440"/>
      <c r="R228" s="440"/>
      <c r="S228" s="213"/>
      <c r="T228" s="210"/>
      <c r="U228" s="210"/>
      <c r="V228" s="210"/>
      <c r="W228" s="210"/>
    </row>
    <row r="229" ht="15.75" customHeight="1">
      <c r="A229" s="536"/>
      <c r="B229" s="536"/>
      <c r="C229" s="100">
        <v>3.0</v>
      </c>
      <c r="D229" s="58" t="s">
        <v>227</v>
      </c>
      <c r="E229" s="82" t="s">
        <v>119</v>
      </c>
      <c r="F229" s="82" t="s">
        <v>120</v>
      </c>
      <c r="G229" s="160" t="s">
        <v>124</v>
      </c>
      <c r="H229" s="82" t="s">
        <v>1636</v>
      </c>
      <c r="I229" s="94" t="s">
        <v>1995</v>
      </c>
      <c r="J229" s="587" t="s">
        <v>1638</v>
      </c>
      <c r="K229" s="556" t="s">
        <v>1996</v>
      </c>
      <c r="L229" s="557">
        <v>3.0</v>
      </c>
      <c r="M229" s="594" t="s">
        <v>1981</v>
      </c>
      <c r="N229" s="550">
        <v>4.0</v>
      </c>
      <c r="O229" s="554" t="s">
        <v>1997</v>
      </c>
      <c r="P229" s="555">
        <v>1.0</v>
      </c>
      <c r="Q229" s="532" t="s">
        <v>1990</v>
      </c>
      <c r="R229" s="533">
        <v>3.0</v>
      </c>
      <c r="S229" s="582">
        <f>_xlfn.MODE.SNGL(K229:R233)</f>
        <v>3</v>
      </c>
      <c r="T229" s="535"/>
      <c r="U229" s="535"/>
      <c r="V229" s="535"/>
      <c r="W229" s="535"/>
    </row>
    <row r="230" ht="15.75" customHeight="1">
      <c r="A230" s="536"/>
      <c r="B230" s="536"/>
      <c r="C230" s="536"/>
      <c r="D230" s="536"/>
      <c r="E230" s="82" t="s">
        <v>119</v>
      </c>
      <c r="F230" s="82" t="s">
        <v>120</v>
      </c>
      <c r="G230" s="160" t="s">
        <v>124</v>
      </c>
      <c r="H230" s="82" t="s">
        <v>1643</v>
      </c>
      <c r="I230" s="94" t="s">
        <v>1998</v>
      </c>
      <c r="J230" s="588"/>
      <c r="K230" s="536"/>
      <c r="L230" s="536"/>
      <c r="M230" s="538"/>
      <c r="N230" s="536"/>
      <c r="O230" s="536"/>
      <c r="P230" s="536"/>
      <c r="Q230" s="539"/>
      <c r="R230" s="539"/>
      <c r="S230" s="538"/>
      <c r="T230" s="536"/>
      <c r="U230" s="536"/>
      <c r="V230" s="536"/>
      <c r="W230" s="536"/>
    </row>
    <row r="231" ht="15.75" customHeight="1">
      <c r="A231" s="536"/>
      <c r="B231" s="536"/>
      <c r="C231" s="536"/>
      <c r="D231" s="536"/>
      <c r="E231" s="82" t="s">
        <v>119</v>
      </c>
      <c r="F231" s="82" t="s">
        <v>120</v>
      </c>
      <c r="G231" s="160" t="s">
        <v>124</v>
      </c>
      <c r="H231" s="82" t="s">
        <v>1645</v>
      </c>
      <c r="I231" s="94" t="s">
        <v>1999</v>
      </c>
      <c r="J231" s="588"/>
      <c r="K231" s="536"/>
      <c r="L231" s="536"/>
      <c r="M231" s="538"/>
      <c r="N231" s="536"/>
      <c r="O231" s="536"/>
      <c r="P231" s="536"/>
      <c r="Q231" s="539"/>
      <c r="R231" s="539"/>
      <c r="S231" s="538"/>
      <c r="T231" s="536"/>
      <c r="U231" s="536"/>
      <c r="V231" s="536"/>
      <c r="W231" s="536"/>
    </row>
    <row r="232" ht="15.75" customHeight="1">
      <c r="A232" s="536"/>
      <c r="B232" s="536"/>
      <c r="C232" s="536"/>
      <c r="D232" s="536"/>
      <c r="E232" s="82" t="s">
        <v>119</v>
      </c>
      <c r="F232" s="82" t="s">
        <v>120</v>
      </c>
      <c r="G232" s="160" t="s">
        <v>124</v>
      </c>
      <c r="H232" s="82" t="s">
        <v>1638</v>
      </c>
      <c r="I232" s="94" t="s">
        <v>2000</v>
      </c>
      <c r="J232" s="588"/>
      <c r="K232" s="536"/>
      <c r="L232" s="536"/>
      <c r="M232" s="538"/>
      <c r="N232" s="536"/>
      <c r="O232" s="536"/>
      <c r="P232" s="536"/>
      <c r="Q232" s="539"/>
      <c r="R232" s="539"/>
      <c r="S232" s="538"/>
      <c r="T232" s="536"/>
      <c r="U232" s="536"/>
      <c r="V232" s="536"/>
      <c r="W232" s="536"/>
    </row>
    <row r="233" ht="15.75" customHeight="1">
      <c r="A233" s="210"/>
      <c r="B233" s="210"/>
      <c r="C233" s="210"/>
      <c r="D233" s="210"/>
      <c r="E233" s="82" t="s">
        <v>119</v>
      </c>
      <c r="F233" s="82" t="s">
        <v>120</v>
      </c>
      <c r="G233" s="160" t="s">
        <v>124</v>
      </c>
      <c r="H233" s="82" t="s">
        <v>1648</v>
      </c>
      <c r="I233" s="94" t="s">
        <v>2001</v>
      </c>
      <c r="J233" s="211"/>
      <c r="K233" s="210"/>
      <c r="L233" s="210"/>
      <c r="M233" s="213"/>
      <c r="N233" s="210"/>
      <c r="O233" s="210"/>
      <c r="P233" s="210"/>
      <c r="Q233" s="440"/>
      <c r="R233" s="440"/>
      <c r="S233" s="213"/>
      <c r="T233" s="210"/>
      <c r="U233" s="210"/>
      <c r="V233" s="210"/>
      <c r="W233" s="210"/>
    </row>
    <row r="234" ht="15.75" customHeight="1">
      <c r="A234" s="144" t="s">
        <v>228</v>
      </c>
      <c r="B234" s="143" t="s">
        <v>229</v>
      </c>
      <c r="C234" s="62"/>
      <c r="D234" s="62"/>
      <c r="E234" s="62"/>
      <c r="F234" s="62"/>
      <c r="G234" s="63"/>
      <c r="H234" s="144"/>
      <c r="I234" s="144"/>
      <c r="J234" s="541"/>
      <c r="K234" s="565"/>
      <c r="L234" s="543"/>
      <c r="M234" s="595"/>
      <c r="N234" s="552"/>
      <c r="O234" s="553"/>
      <c r="P234" s="583">
        <v>45415.0</v>
      </c>
      <c r="Q234" s="583"/>
      <c r="R234" s="583"/>
      <c r="S234" s="548">
        <f>AVERAGE(S235:S244)</f>
        <v>3.5</v>
      </c>
      <c r="T234" s="525"/>
      <c r="U234" s="525"/>
      <c r="V234" s="526"/>
      <c r="W234" s="525"/>
    </row>
    <row r="235" ht="15.75" customHeight="1">
      <c r="A235" s="100"/>
      <c r="B235" s="100"/>
      <c r="C235" s="100">
        <v>1.0</v>
      </c>
      <c r="D235" s="58" t="s">
        <v>230</v>
      </c>
      <c r="E235" s="82" t="s">
        <v>119</v>
      </c>
      <c r="F235" s="160" t="s">
        <v>124</v>
      </c>
      <c r="G235" s="160" t="s">
        <v>124</v>
      </c>
      <c r="H235" s="82" t="s">
        <v>1636</v>
      </c>
      <c r="I235" s="50" t="s">
        <v>2002</v>
      </c>
      <c r="J235" s="587" t="s">
        <v>1638</v>
      </c>
      <c r="K235" s="528" t="s">
        <v>2003</v>
      </c>
      <c r="L235" s="529">
        <v>3.0</v>
      </c>
      <c r="M235" s="594" t="s">
        <v>2004</v>
      </c>
      <c r="N235" s="561">
        <v>4.0</v>
      </c>
      <c r="O235" s="554" t="s">
        <v>2005</v>
      </c>
      <c r="P235" s="555">
        <v>4.0</v>
      </c>
      <c r="Q235" s="532" t="s">
        <v>2006</v>
      </c>
      <c r="R235" s="533">
        <v>2.0</v>
      </c>
      <c r="S235" s="582">
        <f>_xlfn.MODE.SNGL(K235:R239)</f>
        <v>4</v>
      </c>
      <c r="T235" s="535"/>
      <c r="U235" s="535"/>
      <c r="V235" s="535"/>
      <c r="W235" s="535"/>
    </row>
    <row r="236" ht="15.75" customHeight="1">
      <c r="A236" s="536"/>
      <c r="B236" s="536"/>
      <c r="C236" s="536"/>
      <c r="D236" s="536"/>
      <c r="E236" s="82" t="s">
        <v>119</v>
      </c>
      <c r="F236" s="160" t="s">
        <v>124</v>
      </c>
      <c r="G236" s="160" t="s">
        <v>124</v>
      </c>
      <c r="H236" s="82" t="s">
        <v>1643</v>
      </c>
      <c r="I236" s="597" t="s">
        <v>2007</v>
      </c>
      <c r="J236" s="588"/>
      <c r="K236" s="536"/>
      <c r="L236" s="536"/>
      <c r="M236" s="538"/>
      <c r="N236" s="536"/>
      <c r="O236" s="536"/>
      <c r="P236" s="536"/>
      <c r="Q236" s="539"/>
      <c r="R236" s="539"/>
      <c r="S236" s="538"/>
      <c r="T236" s="536"/>
      <c r="U236" s="536"/>
      <c r="V236" s="536"/>
      <c r="W236" s="536"/>
    </row>
    <row r="237" ht="15.75" customHeight="1">
      <c r="A237" s="536"/>
      <c r="B237" s="536"/>
      <c r="C237" s="536"/>
      <c r="D237" s="536"/>
      <c r="E237" s="82" t="s">
        <v>119</v>
      </c>
      <c r="F237" s="160" t="s">
        <v>124</v>
      </c>
      <c r="G237" s="160" t="s">
        <v>124</v>
      </c>
      <c r="H237" s="82" t="s">
        <v>1645</v>
      </c>
      <c r="I237" s="50" t="s">
        <v>2008</v>
      </c>
      <c r="J237" s="588"/>
      <c r="K237" s="536"/>
      <c r="L237" s="536"/>
      <c r="M237" s="538"/>
      <c r="N237" s="536"/>
      <c r="O237" s="536"/>
      <c r="P237" s="536"/>
      <c r="Q237" s="539"/>
      <c r="R237" s="539"/>
      <c r="S237" s="538"/>
      <c r="T237" s="536"/>
      <c r="U237" s="536"/>
      <c r="V237" s="536"/>
      <c r="W237" s="536"/>
    </row>
    <row r="238" ht="15.75" customHeight="1">
      <c r="A238" s="536"/>
      <c r="B238" s="536"/>
      <c r="C238" s="536"/>
      <c r="D238" s="536"/>
      <c r="E238" s="82" t="s">
        <v>119</v>
      </c>
      <c r="F238" s="160" t="s">
        <v>124</v>
      </c>
      <c r="G238" s="160" t="s">
        <v>124</v>
      </c>
      <c r="H238" s="82" t="s">
        <v>1638</v>
      </c>
      <c r="I238" s="50" t="s">
        <v>2009</v>
      </c>
      <c r="J238" s="588"/>
      <c r="K238" s="536"/>
      <c r="L238" s="536"/>
      <c r="M238" s="538"/>
      <c r="N238" s="536"/>
      <c r="O238" s="536"/>
      <c r="P238" s="536"/>
      <c r="Q238" s="539"/>
      <c r="R238" s="539"/>
      <c r="S238" s="538"/>
      <c r="T238" s="536"/>
      <c r="U238" s="536"/>
      <c r="V238" s="536"/>
      <c r="W238" s="536"/>
    </row>
    <row r="239" ht="15.75" customHeight="1">
      <c r="A239" s="536"/>
      <c r="B239" s="536"/>
      <c r="C239" s="210"/>
      <c r="D239" s="210"/>
      <c r="E239" s="82" t="s">
        <v>119</v>
      </c>
      <c r="F239" s="160" t="s">
        <v>124</v>
      </c>
      <c r="G239" s="160" t="s">
        <v>124</v>
      </c>
      <c r="H239" s="82" t="s">
        <v>1648</v>
      </c>
      <c r="I239" s="50" t="s">
        <v>2010</v>
      </c>
      <c r="J239" s="211"/>
      <c r="K239" s="210"/>
      <c r="L239" s="210"/>
      <c r="M239" s="213"/>
      <c r="N239" s="210"/>
      <c r="O239" s="210"/>
      <c r="P239" s="210"/>
      <c r="Q239" s="440"/>
      <c r="R239" s="440"/>
      <c r="S239" s="213"/>
      <c r="T239" s="210"/>
      <c r="U239" s="210"/>
      <c r="V239" s="210"/>
      <c r="W239" s="210"/>
    </row>
    <row r="240" ht="15.75" customHeight="1">
      <c r="A240" s="536"/>
      <c r="B240" s="536"/>
      <c r="C240" s="100">
        <v>2.0</v>
      </c>
      <c r="D240" s="58" t="s">
        <v>231</v>
      </c>
      <c r="E240" s="82" t="s">
        <v>119</v>
      </c>
      <c r="F240" s="82" t="s">
        <v>120</v>
      </c>
      <c r="G240" s="160" t="s">
        <v>124</v>
      </c>
      <c r="H240" s="82" t="s">
        <v>1636</v>
      </c>
      <c r="I240" s="94" t="s">
        <v>2011</v>
      </c>
      <c r="J240" s="587" t="s">
        <v>1638</v>
      </c>
      <c r="K240" s="556" t="s">
        <v>2012</v>
      </c>
      <c r="L240" s="557">
        <v>3.0</v>
      </c>
      <c r="M240" s="594" t="s">
        <v>2004</v>
      </c>
      <c r="N240" s="550">
        <v>3.0</v>
      </c>
      <c r="O240" s="558" t="s">
        <v>2013</v>
      </c>
      <c r="P240" s="559">
        <v>2.0</v>
      </c>
      <c r="Q240" s="532" t="s">
        <v>2006</v>
      </c>
      <c r="R240" s="533">
        <v>3.0</v>
      </c>
      <c r="S240" s="582">
        <f>_xlfn.MODE.SNGL(K240:R244)</f>
        <v>3</v>
      </c>
      <c r="T240" s="535"/>
      <c r="U240" s="535"/>
      <c r="V240" s="535"/>
      <c r="W240" s="535"/>
    </row>
    <row r="241" ht="15.75" customHeight="1">
      <c r="A241" s="536"/>
      <c r="B241" s="536"/>
      <c r="C241" s="536"/>
      <c r="D241" s="536"/>
      <c r="E241" s="82" t="s">
        <v>119</v>
      </c>
      <c r="F241" s="82" t="s">
        <v>120</v>
      </c>
      <c r="G241" s="160" t="s">
        <v>124</v>
      </c>
      <c r="H241" s="82" t="s">
        <v>1643</v>
      </c>
      <c r="I241" s="94" t="s">
        <v>2014</v>
      </c>
      <c r="J241" s="588"/>
      <c r="K241" s="536"/>
      <c r="L241" s="536"/>
      <c r="M241" s="538"/>
      <c r="N241" s="536"/>
      <c r="O241" s="536"/>
      <c r="P241" s="536"/>
      <c r="Q241" s="539"/>
      <c r="R241" s="539"/>
      <c r="S241" s="538"/>
      <c r="T241" s="536"/>
      <c r="U241" s="536"/>
      <c r="V241" s="536"/>
      <c r="W241" s="536"/>
    </row>
    <row r="242" ht="15.75" customHeight="1">
      <c r="A242" s="536"/>
      <c r="B242" s="536"/>
      <c r="C242" s="536"/>
      <c r="D242" s="536"/>
      <c r="E242" s="82" t="s">
        <v>119</v>
      </c>
      <c r="F242" s="82" t="s">
        <v>120</v>
      </c>
      <c r="G242" s="160" t="s">
        <v>124</v>
      </c>
      <c r="H242" s="82" t="s">
        <v>1645</v>
      </c>
      <c r="I242" s="94" t="s">
        <v>2015</v>
      </c>
      <c r="J242" s="588"/>
      <c r="K242" s="536"/>
      <c r="L242" s="536"/>
      <c r="M242" s="538"/>
      <c r="N242" s="536"/>
      <c r="O242" s="536"/>
      <c r="P242" s="536"/>
      <c r="Q242" s="539"/>
      <c r="R242" s="539"/>
      <c r="S242" s="538"/>
      <c r="T242" s="536"/>
      <c r="U242" s="536"/>
      <c r="V242" s="536"/>
      <c r="W242" s="536"/>
    </row>
    <row r="243" ht="15.75" customHeight="1">
      <c r="A243" s="536"/>
      <c r="B243" s="536"/>
      <c r="C243" s="536"/>
      <c r="D243" s="536"/>
      <c r="E243" s="82" t="s">
        <v>119</v>
      </c>
      <c r="F243" s="82" t="s">
        <v>120</v>
      </c>
      <c r="G243" s="160" t="s">
        <v>124</v>
      </c>
      <c r="H243" s="82" t="s">
        <v>1638</v>
      </c>
      <c r="I243" s="94" t="s">
        <v>2016</v>
      </c>
      <c r="J243" s="588"/>
      <c r="K243" s="536"/>
      <c r="L243" s="536"/>
      <c r="M243" s="538"/>
      <c r="N243" s="536"/>
      <c r="O243" s="536"/>
      <c r="P243" s="536"/>
      <c r="Q243" s="539"/>
      <c r="R243" s="539"/>
      <c r="S243" s="538"/>
      <c r="T243" s="536"/>
      <c r="U243" s="536"/>
      <c r="V243" s="536"/>
      <c r="W243" s="536"/>
    </row>
    <row r="244" ht="15.75" customHeight="1">
      <c r="A244" s="210"/>
      <c r="B244" s="210"/>
      <c r="C244" s="210"/>
      <c r="D244" s="210"/>
      <c r="E244" s="82" t="s">
        <v>119</v>
      </c>
      <c r="F244" s="82" t="s">
        <v>120</v>
      </c>
      <c r="G244" s="160" t="s">
        <v>124</v>
      </c>
      <c r="H244" s="82" t="s">
        <v>1648</v>
      </c>
      <c r="I244" s="94" t="s">
        <v>2017</v>
      </c>
      <c r="J244" s="601"/>
      <c r="K244" s="210"/>
      <c r="L244" s="210"/>
      <c r="M244" s="213"/>
      <c r="N244" s="210"/>
      <c r="O244" s="210"/>
      <c r="P244" s="210"/>
      <c r="Q244" s="440"/>
      <c r="R244" s="440"/>
      <c r="S244" s="213"/>
      <c r="T244" s="210"/>
      <c r="U244" s="210"/>
      <c r="V244" s="210"/>
      <c r="W244" s="210"/>
    </row>
    <row r="245" ht="15.75" customHeight="1">
      <c r="A245" s="8"/>
      <c r="B245" s="8"/>
      <c r="C245" s="9"/>
      <c r="D245" s="8"/>
      <c r="E245" s="8"/>
      <c r="F245" s="8"/>
      <c r="G245" s="9"/>
      <c r="H245" s="9"/>
      <c r="I245" s="8"/>
      <c r="J245" s="8"/>
      <c r="K245" s="8"/>
      <c r="L245" s="602"/>
      <c r="M245" s="8"/>
      <c r="N245" s="8"/>
      <c r="O245" s="8"/>
      <c r="P245" s="602"/>
      <c r="Q245" s="602"/>
      <c r="R245" s="602"/>
      <c r="S245" s="603">
        <v>2.334666667E9</v>
      </c>
      <c r="T245" s="510"/>
      <c r="U245" s="510"/>
      <c r="V245" s="510">
        <f>SUM(V5:V244)</f>
        <v>4</v>
      </c>
      <c r="W245" s="510"/>
    </row>
    <row r="246">
      <c r="L246" s="416"/>
      <c r="M246" s="293"/>
      <c r="P246" s="416"/>
      <c r="Q246" s="416"/>
      <c r="R246" s="416"/>
      <c r="S246" s="604"/>
      <c r="T246" s="605"/>
      <c r="U246" s="605"/>
      <c r="V246" s="605"/>
      <c r="W246" s="605"/>
    </row>
    <row r="247">
      <c r="L247" s="416"/>
      <c r="M247" s="293"/>
      <c r="P247" s="416"/>
      <c r="Q247" s="416"/>
      <c r="R247" s="416"/>
      <c r="S247" s="604"/>
      <c r="T247" s="605"/>
      <c r="U247" s="605"/>
      <c r="V247" s="605"/>
      <c r="W247" s="605"/>
    </row>
    <row r="248">
      <c r="L248" s="416"/>
      <c r="M248" s="293"/>
      <c r="P248" s="416"/>
      <c r="Q248" s="416"/>
      <c r="R248" s="416"/>
      <c r="S248" s="604"/>
      <c r="T248" s="605"/>
      <c r="U248" s="605"/>
      <c r="V248" s="605"/>
      <c r="W248" s="605"/>
    </row>
    <row r="249">
      <c r="L249" s="416"/>
      <c r="M249" s="293"/>
      <c r="P249" s="416"/>
      <c r="Q249" s="416"/>
      <c r="R249" s="416"/>
      <c r="S249" s="604"/>
      <c r="T249" s="605"/>
      <c r="U249" s="605"/>
      <c r="V249" s="605"/>
      <c r="W249" s="605"/>
    </row>
    <row r="250">
      <c r="L250" s="416"/>
      <c r="M250" s="293"/>
      <c r="P250" s="416"/>
      <c r="Q250" s="416"/>
      <c r="R250" s="416"/>
      <c r="S250" s="604"/>
      <c r="T250" s="605"/>
      <c r="U250" s="605"/>
      <c r="V250" s="605"/>
      <c r="W250" s="605"/>
    </row>
    <row r="251">
      <c r="L251" s="416"/>
      <c r="M251" s="293"/>
      <c r="P251" s="416"/>
      <c r="Q251" s="416"/>
      <c r="R251" s="416"/>
      <c r="S251" s="604"/>
      <c r="T251" s="605"/>
      <c r="U251" s="605"/>
      <c r="V251" s="605"/>
      <c r="W251" s="605"/>
    </row>
    <row r="252">
      <c r="L252" s="416"/>
      <c r="M252" s="293"/>
      <c r="P252" s="416"/>
      <c r="Q252" s="416"/>
      <c r="R252" s="416"/>
      <c r="S252" s="604"/>
      <c r="T252" s="605"/>
      <c r="U252" s="605"/>
      <c r="V252" s="605"/>
      <c r="W252" s="605"/>
    </row>
    <row r="253">
      <c r="L253" s="416"/>
      <c r="M253" s="293"/>
      <c r="P253" s="416"/>
      <c r="Q253" s="416"/>
      <c r="R253" s="416"/>
      <c r="S253" s="604"/>
      <c r="T253" s="605"/>
      <c r="U253" s="605"/>
      <c r="V253" s="605"/>
      <c r="W253" s="605"/>
    </row>
    <row r="254">
      <c r="L254" s="416"/>
      <c r="M254" s="293"/>
      <c r="P254" s="416"/>
      <c r="Q254" s="416"/>
      <c r="R254" s="416"/>
      <c r="S254" s="604"/>
      <c r="T254" s="605"/>
      <c r="U254" s="605"/>
      <c r="V254" s="605"/>
      <c r="W254" s="605"/>
    </row>
    <row r="255">
      <c r="L255" s="416"/>
      <c r="M255" s="293"/>
      <c r="P255" s="416"/>
      <c r="Q255" s="416"/>
      <c r="R255" s="416"/>
      <c r="S255" s="604"/>
      <c r="T255" s="605"/>
      <c r="U255" s="605"/>
      <c r="V255" s="605"/>
      <c r="W255" s="605"/>
    </row>
    <row r="256">
      <c r="L256" s="416"/>
      <c r="M256" s="293"/>
      <c r="P256" s="416"/>
      <c r="Q256" s="416"/>
      <c r="R256" s="416"/>
      <c r="S256" s="604"/>
      <c r="T256" s="605"/>
      <c r="U256" s="605"/>
      <c r="V256" s="605"/>
      <c r="W256" s="605"/>
    </row>
    <row r="257">
      <c r="L257" s="416"/>
      <c r="M257" s="293"/>
      <c r="P257" s="416"/>
      <c r="Q257" s="416"/>
      <c r="R257" s="416"/>
      <c r="S257" s="604"/>
      <c r="T257" s="605"/>
      <c r="U257" s="605"/>
      <c r="V257" s="605"/>
      <c r="W257" s="605"/>
    </row>
    <row r="258">
      <c r="L258" s="416"/>
      <c r="M258" s="293"/>
      <c r="P258" s="416"/>
      <c r="Q258" s="416"/>
      <c r="R258" s="416"/>
      <c r="S258" s="604"/>
      <c r="T258" s="605"/>
      <c r="U258" s="605"/>
      <c r="V258" s="605"/>
      <c r="W258" s="605"/>
    </row>
    <row r="259">
      <c r="L259" s="416"/>
      <c r="M259" s="293"/>
      <c r="P259" s="416"/>
      <c r="Q259" s="416"/>
      <c r="R259" s="416"/>
      <c r="S259" s="604"/>
      <c r="T259" s="605"/>
      <c r="U259" s="605"/>
      <c r="V259" s="605"/>
      <c r="W259" s="605"/>
    </row>
    <row r="260">
      <c r="L260" s="416"/>
      <c r="M260" s="293"/>
      <c r="P260" s="416"/>
      <c r="Q260" s="416"/>
      <c r="R260" s="416"/>
      <c r="S260" s="604"/>
      <c r="T260" s="605"/>
      <c r="U260" s="605"/>
      <c r="V260" s="605"/>
      <c r="W260" s="605"/>
    </row>
    <row r="261">
      <c r="L261" s="416"/>
      <c r="M261" s="293"/>
      <c r="P261" s="416"/>
      <c r="Q261" s="416"/>
      <c r="R261" s="416"/>
      <c r="S261" s="604"/>
      <c r="T261" s="605"/>
      <c r="U261" s="605"/>
      <c r="V261" s="605"/>
      <c r="W261" s="605"/>
    </row>
    <row r="262">
      <c r="L262" s="416"/>
      <c r="M262" s="293"/>
      <c r="P262" s="416"/>
      <c r="Q262" s="416"/>
      <c r="R262" s="416"/>
      <c r="S262" s="604"/>
      <c r="T262" s="605"/>
      <c r="U262" s="605"/>
      <c r="V262" s="605"/>
      <c r="W262" s="605"/>
    </row>
    <row r="263">
      <c r="L263" s="416"/>
      <c r="M263" s="293"/>
      <c r="P263" s="416"/>
      <c r="Q263" s="416"/>
      <c r="R263" s="416"/>
      <c r="S263" s="604"/>
      <c r="T263" s="605"/>
      <c r="U263" s="605"/>
      <c r="V263" s="605"/>
      <c r="W263" s="605"/>
    </row>
    <row r="264">
      <c r="L264" s="416"/>
      <c r="M264" s="293"/>
      <c r="P264" s="416"/>
      <c r="Q264" s="416"/>
      <c r="R264" s="416"/>
      <c r="S264" s="604"/>
      <c r="T264" s="605"/>
      <c r="U264" s="605"/>
      <c r="V264" s="605"/>
      <c r="W264" s="605"/>
    </row>
    <row r="265">
      <c r="L265" s="416"/>
      <c r="M265" s="293"/>
      <c r="P265" s="416"/>
      <c r="Q265" s="416"/>
      <c r="R265" s="416"/>
      <c r="S265" s="604"/>
      <c r="T265" s="605"/>
      <c r="U265" s="605"/>
      <c r="V265" s="605"/>
      <c r="W265" s="605"/>
    </row>
    <row r="266">
      <c r="L266" s="416"/>
      <c r="M266" s="293"/>
      <c r="P266" s="416"/>
      <c r="Q266" s="416"/>
      <c r="R266" s="416"/>
      <c r="S266" s="604"/>
      <c r="T266" s="605"/>
      <c r="U266" s="605"/>
      <c r="V266" s="605"/>
      <c r="W266" s="605"/>
    </row>
    <row r="267">
      <c r="L267" s="416"/>
      <c r="M267" s="293"/>
      <c r="P267" s="416"/>
      <c r="Q267" s="416"/>
      <c r="R267" s="416"/>
      <c r="S267" s="604"/>
      <c r="T267" s="605"/>
      <c r="U267" s="605"/>
      <c r="V267" s="605"/>
      <c r="W267" s="605"/>
    </row>
    <row r="268">
      <c r="L268" s="416"/>
      <c r="M268" s="293"/>
      <c r="P268" s="416"/>
      <c r="Q268" s="416"/>
      <c r="R268" s="416"/>
      <c r="S268" s="604"/>
      <c r="T268" s="605"/>
      <c r="U268" s="605"/>
      <c r="V268" s="605"/>
      <c r="W268" s="605"/>
    </row>
    <row r="269">
      <c r="L269" s="416"/>
      <c r="M269" s="293"/>
      <c r="P269" s="416"/>
      <c r="Q269" s="416"/>
      <c r="R269" s="416"/>
      <c r="S269" s="604"/>
      <c r="T269" s="605"/>
      <c r="U269" s="605"/>
      <c r="V269" s="605"/>
      <c r="W269" s="605"/>
    </row>
    <row r="270">
      <c r="L270" s="416"/>
      <c r="M270" s="293"/>
      <c r="P270" s="416"/>
      <c r="Q270" s="416"/>
      <c r="R270" s="416"/>
      <c r="S270" s="604"/>
      <c r="T270" s="605"/>
      <c r="U270" s="605"/>
      <c r="V270" s="605"/>
      <c r="W270" s="605"/>
    </row>
    <row r="271">
      <c r="L271" s="416"/>
      <c r="M271" s="293"/>
      <c r="P271" s="416"/>
      <c r="Q271" s="416"/>
      <c r="R271" s="416"/>
      <c r="S271" s="604"/>
      <c r="T271" s="605"/>
      <c r="U271" s="605"/>
      <c r="V271" s="605"/>
      <c r="W271" s="605"/>
    </row>
    <row r="272">
      <c r="L272" s="416"/>
      <c r="M272" s="293"/>
      <c r="P272" s="416"/>
      <c r="Q272" s="416"/>
      <c r="R272" s="416"/>
      <c r="S272" s="604"/>
      <c r="T272" s="605"/>
      <c r="U272" s="605"/>
      <c r="V272" s="605"/>
      <c r="W272" s="605"/>
    </row>
    <row r="273">
      <c r="L273" s="416"/>
      <c r="M273" s="293"/>
      <c r="P273" s="416"/>
      <c r="Q273" s="416"/>
      <c r="R273" s="416"/>
      <c r="S273" s="604"/>
      <c r="T273" s="605"/>
      <c r="U273" s="605"/>
      <c r="V273" s="605"/>
      <c r="W273" s="605"/>
    </row>
    <row r="274">
      <c r="L274" s="416"/>
      <c r="M274" s="293"/>
      <c r="P274" s="416"/>
      <c r="Q274" s="416"/>
      <c r="R274" s="416"/>
      <c r="S274" s="604"/>
      <c r="T274" s="605"/>
      <c r="U274" s="605"/>
      <c r="V274" s="605"/>
      <c r="W274" s="605"/>
    </row>
    <row r="275">
      <c r="L275" s="416"/>
      <c r="M275" s="293"/>
      <c r="P275" s="416"/>
      <c r="Q275" s="416"/>
      <c r="R275" s="416"/>
      <c r="S275" s="604"/>
      <c r="T275" s="605"/>
      <c r="U275" s="605"/>
      <c r="V275" s="605"/>
      <c r="W275" s="605"/>
    </row>
    <row r="276">
      <c r="L276" s="416"/>
      <c r="M276" s="293"/>
      <c r="P276" s="416"/>
      <c r="Q276" s="416"/>
      <c r="R276" s="416"/>
      <c r="S276" s="604"/>
      <c r="T276" s="605"/>
      <c r="U276" s="605"/>
      <c r="V276" s="605"/>
      <c r="W276" s="605"/>
    </row>
    <row r="277">
      <c r="L277" s="416"/>
      <c r="M277" s="293"/>
      <c r="P277" s="416"/>
      <c r="Q277" s="416"/>
      <c r="R277" s="416"/>
      <c r="S277" s="604"/>
      <c r="T277" s="605"/>
      <c r="U277" s="605"/>
      <c r="V277" s="605"/>
      <c r="W277" s="605"/>
    </row>
    <row r="278">
      <c r="L278" s="416"/>
      <c r="M278" s="293"/>
      <c r="P278" s="416"/>
      <c r="Q278" s="416"/>
      <c r="R278" s="416"/>
      <c r="S278" s="604"/>
      <c r="T278" s="605"/>
      <c r="U278" s="605"/>
      <c r="V278" s="605"/>
      <c r="W278" s="605"/>
    </row>
    <row r="279">
      <c r="L279" s="416"/>
      <c r="M279" s="293"/>
      <c r="P279" s="416"/>
      <c r="Q279" s="416"/>
      <c r="R279" s="416"/>
      <c r="S279" s="604"/>
      <c r="T279" s="605"/>
      <c r="U279" s="605"/>
      <c r="V279" s="605"/>
      <c r="W279" s="605"/>
    </row>
    <row r="280">
      <c r="L280" s="416"/>
      <c r="M280" s="293"/>
      <c r="P280" s="416"/>
      <c r="Q280" s="416"/>
      <c r="R280" s="416"/>
      <c r="S280" s="604"/>
      <c r="T280" s="605"/>
      <c r="U280" s="605"/>
      <c r="V280" s="605"/>
      <c r="W280" s="605"/>
    </row>
    <row r="281">
      <c r="L281" s="416"/>
      <c r="M281" s="293"/>
      <c r="P281" s="416"/>
      <c r="Q281" s="416"/>
      <c r="R281" s="416"/>
      <c r="S281" s="604"/>
      <c r="T281" s="605"/>
      <c r="U281" s="605"/>
      <c r="V281" s="605"/>
      <c r="W281" s="605"/>
    </row>
    <row r="282">
      <c r="L282" s="416"/>
      <c r="M282" s="293"/>
      <c r="P282" s="416"/>
      <c r="Q282" s="416"/>
      <c r="R282" s="416"/>
      <c r="S282" s="604"/>
      <c r="T282" s="605"/>
      <c r="U282" s="605"/>
      <c r="V282" s="605"/>
      <c r="W282" s="605"/>
    </row>
    <row r="283">
      <c r="L283" s="416"/>
      <c r="M283" s="293"/>
      <c r="P283" s="416"/>
      <c r="Q283" s="416"/>
      <c r="R283" s="416"/>
      <c r="S283" s="604"/>
      <c r="T283" s="605"/>
      <c r="U283" s="605"/>
      <c r="V283" s="605"/>
      <c r="W283" s="605"/>
    </row>
    <row r="284">
      <c r="L284" s="416"/>
      <c r="M284" s="293"/>
      <c r="P284" s="416"/>
      <c r="Q284" s="416"/>
      <c r="R284" s="416"/>
      <c r="S284" s="604"/>
      <c r="T284" s="605"/>
      <c r="U284" s="605"/>
      <c r="V284" s="605"/>
      <c r="W284" s="605"/>
    </row>
    <row r="285">
      <c r="L285" s="416"/>
      <c r="M285" s="293"/>
      <c r="P285" s="416"/>
      <c r="Q285" s="416"/>
      <c r="R285" s="416"/>
      <c r="S285" s="604"/>
      <c r="T285" s="605"/>
      <c r="U285" s="605"/>
      <c r="V285" s="605"/>
      <c r="W285" s="605"/>
    </row>
    <row r="286">
      <c r="L286" s="416"/>
      <c r="M286" s="293"/>
      <c r="P286" s="416"/>
      <c r="Q286" s="416"/>
      <c r="R286" s="416"/>
      <c r="S286" s="604"/>
      <c r="T286" s="605"/>
      <c r="U286" s="605"/>
      <c r="V286" s="605"/>
      <c r="W286" s="605"/>
    </row>
    <row r="287">
      <c r="L287" s="416"/>
      <c r="M287" s="293"/>
      <c r="P287" s="416"/>
      <c r="Q287" s="416"/>
      <c r="R287" s="416"/>
      <c r="S287" s="604"/>
      <c r="T287" s="605"/>
      <c r="U287" s="605"/>
      <c r="V287" s="605"/>
      <c r="W287" s="605"/>
    </row>
    <row r="288">
      <c r="L288" s="416"/>
      <c r="M288" s="293"/>
      <c r="P288" s="416"/>
      <c r="Q288" s="416"/>
      <c r="R288" s="416"/>
      <c r="S288" s="604"/>
      <c r="T288" s="605"/>
      <c r="U288" s="605"/>
      <c r="V288" s="605"/>
      <c r="W288" s="605"/>
    </row>
    <row r="289">
      <c r="L289" s="416"/>
      <c r="M289" s="293"/>
      <c r="P289" s="416"/>
      <c r="Q289" s="416"/>
      <c r="R289" s="416"/>
      <c r="S289" s="604"/>
      <c r="T289" s="605"/>
      <c r="U289" s="605"/>
      <c r="V289" s="605"/>
      <c r="W289" s="605"/>
    </row>
    <row r="290">
      <c r="L290" s="416"/>
      <c r="M290" s="293"/>
      <c r="P290" s="416"/>
      <c r="Q290" s="416"/>
      <c r="R290" s="416"/>
      <c r="S290" s="604"/>
      <c r="T290" s="605"/>
      <c r="U290" s="605"/>
      <c r="V290" s="605"/>
      <c r="W290" s="605"/>
    </row>
    <row r="291">
      <c r="L291" s="416"/>
      <c r="M291" s="293"/>
      <c r="P291" s="416"/>
      <c r="Q291" s="416"/>
      <c r="R291" s="416"/>
      <c r="S291" s="604"/>
      <c r="T291" s="605"/>
      <c r="U291" s="605"/>
      <c r="V291" s="605"/>
      <c r="W291" s="605"/>
    </row>
    <row r="292">
      <c r="L292" s="416"/>
      <c r="M292" s="293"/>
      <c r="P292" s="416"/>
      <c r="Q292" s="416"/>
      <c r="R292" s="416"/>
      <c r="S292" s="604"/>
      <c r="T292" s="605"/>
      <c r="U292" s="605"/>
      <c r="V292" s="605"/>
      <c r="W292" s="605"/>
    </row>
    <row r="293">
      <c r="L293" s="416"/>
      <c r="M293" s="293"/>
      <c r="P293" s="416"/>
      <c r="Q293" s="416"/>
      <c r="R293" s="416"/>
      <c r="S293" s="604"/>
      <c r="T293" s="605"/>
      <c r="U293" s="605"/>
      <c r="V293" s="605"/>
      <c r="W293" s="605"/>
    </row>
    <row r="294">
      <c r="L294" s="416"/>
      <c r="M294" s="293"/>
      <c r="P294" s="416"/>
      <c r="Q294" s="416"/>
      <c r="R294" s="416"/>
      <c r="S294" s="604"/>
      <c r="T294" s="605"/>
      <c r="U294" s="605"/>
      <c r="V294" s="605"/>
      <c r="W294" s="605"/>
    </row>
    <row r="295">
      <c r="L295" s="416"/>
      <c r="M295" s="293"/>
      <c r="P295" s="416"/>
      <c r="Q295" s="416"/>
      <c r="R295" s="416"/>
      <c r="S295" s="604"/>
      <c r="T295" s="605"/>
      <c r="U295" s="605"/>
      <c r="V295" s="605"/>
      <c r="W295" s="605"/>
    </row>
    <row r="296">
      <c r="L296" s="416"/>
      <c r="M296" s="293"/>
      <c r="P296" s="416"/>
      <c r="Q296" s="416"/>
      <c r="R296" s="416"/>
      <c r="S296" s="604"/>
      <c r="T296" s="605"/>
      <c r="U296" s="605"/>
      <c r="V296" s="605"/>
      <c r="W296" s="605"/>
    </row>
    <row r="297">
      <c r="L297" s="416"/>
      <c r="M297" s="293"/>
      <c r="P297" s="416"/>
      <c r="Q297" s="416"/>
      <c r="R297" s="416"/>
      <c r="S297" s="604"/>
      <c r="T297" s="605"/>
      <c r="U297" s="605"/>
      <c r="V297" s="605"/>
      <c r="W297" s="605"/>
    </row>
    <row r="298">
      <c r="L298" s="416"/>
      <c r="M298" s="293"/>
      <c r="P298" s="416"/>
      <c r="Q298" s="416"/>
      <c r="R298" s="416"/>
      <c r="S298" s="604"/>
      <c r="T298" s="605"/>
      <c r="U298" s="605"/>
      <c r="V298" s="605"/>
      <c r="W298" s="605"/>
    </row>
    <row r="299">
      <c r="L299" s="416"/>
      <c r="M299" s="293"/>
      <c r="P299" s="416"/>
      <c r="Q299" s="416"/>
      <c r="R299" s="416"/>
      <c r="S299" s="604"/>
      <c r="T299" s="605"/>
      <c r="U299" s="605"/>
      <c r="V299" s="605"/>
      <c r="W299" s="605"/>
    </row>
    <row r="300">
      <c r="L300" s="416"/>
      <c r="M300" s="293"/>
      <c r="P300" s="416"/>
      <c r="Q300" s="416"/>
      <c r="R300" s="416"/>
      <c r="S300" s="604"/>
      <c r="T300" s="605"/>
      <c r="U300" s="605"/>
      <c r="V300" s="605"/>
      <c r="W300" s="605"/>
    </row>
    <row r="301">
      <c r="L301" s="416"/>
      <c r="M301" s="293"/>
      <c r="P301" s="416"/>
      <c r="Q301" s="416"/>
      <c r="R301" s="416"/>
      <c r="S301" s="604"/>
      <c r="T301" s="605"/>
      <c r="U301" s="605"/>
      <c r="V301" s="605"/>
      <c r="W301" s="605"/>
    </row>
    <row r="302">
      <c r="L302" s="416"/>
      <c r="M302" s="293"/>
      <c r="P302" s="416"/>
      <c r="Q302" s="416"/>
      <c r="R302" s="416"/>
      <c r="S302" s="604"/>
      <c r="T302" s="605"/>
      <c r="U302" s="605"/>
      <c r="V302" s="605"/>
      <c r="W302" s="605"/>
    </row>
    <row r="303">
      <c r="L303" s="416"/>
      <c r="M303" s="293"/>
      <c r="P303" s="416"/>
      <c r="Q303" s="416"/>
      <c r="R303" s="416"/>
      <c r="S303" s="604"/>
      <c r="T303" s="605"/>
      <c r="U303" s="605"/>
      <c r="V303" s="605"/>
      <c r="W303" s="605"/>
    </row>
    <row r="304">
      <c r="L304" s="416"/>
      <c r="M304" s="293"/>
      <c r="P304" s="416"/>
      <c r="Q304" s="416"/>
      <c r="R304" s="416"/>
      <c r="S304" s="604"/>
      <c r="T304" s="605"/>
      <c r="U304" s="605"/>
      <c r="V304" s="605"/>
      <c r="W304" s="605"/>
    </row>
    <row r="305">
      <c r="L305" s="416"/>
      <c r="M305" s="293"/>
      <c r="P305" s="416"/>
      <c r="Q305" s="416"/>
      <c r="R305" s="416"/>
      <c r="S305" s="604"/>
      <c r="T305" s="605"/>
      <c r="U305" s="605"/>
      <c r="V305" s="605"/>
      <c r="W305" s="605"/>
    </row>
    <row r="306">
      <c r="L306" s="416"/>
      <c r="M306" s="293"/>
      <c r="P306" s="416"/>
      <c r="Q306" s="416"/>
      <c r="R306" s="416"/>
      <c r="S306" s="604"/>
      <c r="T306" s="605"/>
      <c r="U306" s="605"/>
      <c r="V306" s="605"/>
      <c r="W306" s="605"/>
    </row>
    <row r="307">
      <c r="L307" s="416"/>
      <c r="M307" s="293"/>
      <c r="P307" s="416"/>
      <c r="Q307" s="416"/>
      <c r="R307" s="416"/>
      <c r="S307" s="604"/>
      <c r="T307" s="605"/>
      <c r="U307" s="605"/>
      <c r="V307" s="605"/>
      <c r="W307" s="605"/>
    </row>
    <row r="308">
      <c r="L308" s="416"/>
      <c r="M308" s="293"/>
      <c r="P308" s="416"/>
      <c r="Q308" s="416"/>
      <c r="R308" s="416"/>
      <c r="S308" s="604"/>
      <c r="T308" s="605"/>
      <c r="U308" s="605"/>
      <c r="V308" s="605"/>
      <c r="W308" s="605"/>
    </row>
    <row r="309">
      <c r="L309" s="416"/>
      <c r="M309" s="293"/>
      <c r="P309" s="416"/>
      <c r="Q309" s="416"/>
      <c r="R309" s="416"/>
      <c r="S309" s="604"/>
      <c r="T309" s="605"/>
      <c r="U309" s="605"/>
      <c r="V309" s="605"/>
      <c r="W309" s="605"/>
    </row>
    <row r="310">
      <c r="L310" s="416"/>
      <c r="M310" s="293"/>
      <c r="P310" s="416"/>
      <c r="Q310" s="416"/>
      <c r="R310" s="416"/>
      <c r="S310" s="604"/>
      <c r="T310" s="605"/>
      <c r="U310" s="605"/>
      <c r="V310" s="605"/>
      <c r="W310" s="605"/>
    </row>
    <row r="311">
      <c r="L311" s="416"/>
      <c r="M311" s="293"/>
      <c r="P311" s="416"/>
      <c r="Q311" s="416"/>
      <c r="R311" s="416"/>
      <c r="S311" s="604"/>
      <c r="T311" s="605"/>
      <c r="U311" s="605"/>
      <c r="V311" s="605"/>
      <c r="W311" s="605"/>
    </row>
    <row r="312">
      <c r="L312" s="416"/>
      <c r="M312" s="293"/>
      <c r="P312" s="416"/>
      <c r="Q312" s="416"/>
      <c r="R312" s="416"/>
      <c r="S312" s="604"/>
      <c r="T312" s="605"/>
      <c r="U312" s="605"/>
      <c r="V312" s="605"/>
      <c r="W312" s="605"/>
    </row>
    <row r="313">
      <c r="L313" s="416"/>
      <c r="M313" s="293"/>
      <c r="P313" s="416"/>
      <c r="Q313" s="416"/>
      <c r="R313" s="416"/>
      <c r="S313" s="604"/>
      <c r="T313" s="605"/>
      <c r="U313" s="605"/>
      <c r="V313" s="605"/>
      <c r="W313" s="605"/>
    </row>
    <row r="314">
      <c r="L314" s="416"/>
      <c r="M314" s="293"/>
      <c r="P314" s="416"/>
      <c r="Q314" s="416"/>
      <c r="R314" s="416"/>
      <c r="S314" s="604"/>
      <c r="T314" s="605"/>
      <c r="U314" s="605"/>
      <c r="V314" s="605"/>
      <c r="W314" s="605"/>
    </row>
    <row r="315">
      <c r="L315" s="416"/>
      <c r="M315" s="293"/>
      <c r="P315" s="416"/>
      <c r="Q315" s="416"/>
      <c r="R315" s="416"/>
      <c r="S315" s="604"/>
      <c r="T315" s="605"/>
      <c r="U315" s="605"/>
      <c r="V315" s="605"/>
      <c r="W315" s="605"/>
    </row>
    <row r="316">
      <c r="L316" s="416"/>
      <c r="M316" s="293"/>
      <c r="P316" s="416"/>
      <c r="Q316" s="416"/>
      <c r="R316" s="416"/>
      <c r="S316" s="604"/>
      <c r="T316" s="605"/>
      <c r="U316" s="605"/>
      <c r="V316" s="605"/>
      <c r="W316" s="605"/>
    </row>
    <row r="317">
      <c r="L317" s="416"/>
      <c r="M317" s="293"/>
      <c r="P317" s="416"/>
      <c r="Q317" s="416"/>
      <c r="R317" s="416"/>
      <c r="S317" s="604"/>
      <c r="T317" s="605"/>
      <c r="U317" s="605"/>
      <c r="V317" s="605"/>
      <c r="W317" s="605"/>
    </row>
    <row r="318">
      <c r="L318" s="416"/>
      <c r="M318" s="293"/>
      <c r="P318" s="416"/>
      <c r="Q318" s="416"/>
      <c r="R318" s="416"/>
      <c r="S318" s="604"/>
      <c r="T318" s="605"/>
      <c r="U318" s="605"/>
      <c r="V318" s="605"/>
      <c r="W318" s="605"/>
    </row>
    <row r="319">
      <c r="L319" s="416"/>
      <c r="M319" s="293"/>
      <c r="P319" s="416"/>
      <c r="Q319" s="416"/>
      <c r="R319" s="416"/>
      <c r="S319" s="604"/>
      <c r="T319" s="605"/>
      <c r="U319" s="605"/>
      <c r="V319" s="605"/>
      <c r="W319" s="605"/>
    </row>
    <row r="320">
      <c r="L320" s="416"/>
      <c r="M320" s="293"/>
      <c r="P320" s="416"/>
      <c r="Q320" s="416"/>
      <c r="R320" s="416"/>
      <c r="S320" s="604"/>
      <c r="T320" s="605"/>
      <c r="U320" s="605"/>
      <c r="V320" s="605"/>
      <c r="W320" s="605"/>
    </row>
    <row r="321">
      <c r="L321" s="416"/>
      <c r="M321" s="293"/>
      <c r="P321" s="416"/>
      <c r="Q321" s="416"/>
      <c r="R321" s="416"/>
      <c r="S321" s="604"/>
      <c r="T321" s="605"/>
      <c r="U321" s="605"/>
      <c r="V321" s="605"/>
      <c r="W321" s="605"/>
    </row>
    <row r="322">
      <c r="L322" s="416"/>
      <c r="M322" s="293"/>
      <c r="P322" s="416"/>
      <c r="Q322" s="416"/>
      <c r="R322" s="416"/>
      <c r="S322" s="604"/>
      <c r="T322" s="605"/>
      <c r="U322" s="605"/>
      <c r="V322" s="605"/>
      <c r="W322" s="605"/>
    </row>
    <row r="323">
      <c r="L323" s="416"/>
      <c r="M323" s="293"/>
      <c r="P323" s="416"/>
      <c r="Q323" s="416"/>
      <c r="R323" s="416"/>
      <c r="S323" s="604"/>
      <c r="T323" s="605"/>
      <c r="U323" s="605"/>
      <c r="V323" s="605"/>
      <c r="W323" s="605"/>
    </row>
    <row r="324">
      <c r="L324" s="416"/>
      <c r="M324" s="293"/>
      <c r="P324" s="416"/>
      <c r="Q324" s="416"/>
      <c r="R324" s="416"/>
      <c r="S324" s="604"/>
      <c r="T324" s="605"/>
      <c r="U324" s="605"/>
      <c r="V324" s="605"/>
      <c r="W324" s="605"/>
    </row>
    <row r="325">
      <c r="L325" s="416"/>
      <c r="M325" s="293"/>
      <c r="P325" s="416"/>
      <c r="Q325" s="416"/>
      <c r="R325" s="416"/>
      <c r="S325" s="604"/>
      <c r="T325" s="605"/>
      <c r="U325" s="605"/>
      <c r="V325" s="605"/>
      <c r="W325" s="605"/>
    </row>
    <row r="326">
      <c r="L326" s="416"/>
      <c r="M326" s="293"/>
      <c r="P326" s="416"/>
      <c r="Q326" s="416"/>
      <c r="R326" s="416"/>
      <c r="S326" s="604"/>
      <c r="T326" s="605"/>
      <c r="U326" s="605"/>
      <c r="V326" s="605"/>
      <c r="W326" s="605"/>
    </row>
    <row r="327">
      <c r="L327" s="416"/>
      <c r="M327" s="293"/>
      <c r="P327" s="416"/>
      <c r="Q327" s="416"/>
      <c r="R327" s="416"/>
      <c r="S327" s="604"/>
      <c r="T327" s="605"/>
      <c r="U327" s="605"/>
      <c r="V327" s="605"/>
      <c r="W327" s="605"/>
    </row>
    <row r="328">
      <c r="L328" s="416"/>
      <c r="M328" s="293"/>
      <c r="P328" s="416"/>
      <c r="Q328" s="416"/>
      <c r="R328" s="416"/>
      <c r="S328" s="604"/>
      <c r="T328" s="605"/>
      <c r="U328" s="605"/>
      <c r="V328" s="605"/>
      <c r="W328" s="605"/>
    </row>
    <row r="329">
      <c r="L329" s="416"/>
      <c r="M329" s="293"/>
      <c r="P329" s="416"/>
      <c r="Q329" s="416"/>
      <c r="R329" s="416"/>
      <c r="S329" s="604"/>
      <c r="T329" s="605"/>
      <c r="U329" s="605"/>
      <c r="V329" s="605"/>
      <c r="W329" s="605"/>
    </row>
    <row r="330">
      <c r="L330" s="416"/>
      <c r="M330" s="293"/>
      <c r="P330" s="416"/>
      <c r="Q330" s="416"/>
      <c r="R330" s="416"/>
      <c r="S330" s="604"/>
      <c r="T330" s="605"/>
      <c r="U330" s="605"/>
      <c r="V330" s="605"/>
      <c r="W330" s="605"/>
    </row>
    <row r="331">
      <c r="L331" s="416"/>
      <c r="M331" s="293"/>
      <c r="P331" s="416"/>
      <c r="Q331" s="416"/>
      <c r="R331" s="416"/>
      <c r="S331" s="604"/>
      <c r="T331" s="605"/>
      <c r="U331" s="605"/>
      <c r="V331" s="605"/>
      <c r="W331" s="605"/>
    </row>
    <row r="332">
      <c r="L332" s="416"/>
      <c r="M332" s="293"/>
      <c r="P332" s="416"/>
      <c r="Q332" s="416"/>
      <c r="R332" s="416"/>
      <c r="S332" s="604"/>
      <c r="T332" s="605"/>
      <c r="U332" s="605"/>
      <c r="V332" s="605"/>
      <c r="W332" s="605"/>
    </row>
    <row r="333">
      <c r="L333" s="416"/>
      <c r="M333" s="293"/>
      <c r="P333" s="416"/>
      <c r="Q333" s="416"/>
      <c r="R333" s="416"/>
      <c r="S333" s="604"/>
      <c r="T333" s="605"/>
      <c r="U333" s="605"/>
      <c r="V333" s="605"/>
      <c r="W333" s="605"/>
    </row>
    <row r="334">
      <c r="L334" s="416"/>
      <c r="M334" s="293"/>
      <c r="P334" s="416"/>
      <c r="Q334" s="416"/>
      <c r="R334" s="416"/>
      <c r="S334" s="604"/>
      <c r="T334" s="605"/>
      <c r="U334" s="605"/>
      <c r="V334" s="605"/>
      <c r="W334" s="605"/>
    </row>
    <row r="335">
      <c r="L335" s="416"/>
      <c r="M335" s="293"/>
      <c r="P335" s="416"/>
      <c r="Q335" s="416"/>
      <c r="R335" s="416"/>
      <c r="S335" s="604"/>
      <c r="T335" s="605"/>
      <c r="U335" s="605"/>
      <c r="V335" s="605"/>
      <c r="W335" s="605"/>
    </row>
    <row r="336">
      <c r="L336" s="416"/>
      <c r="M336" s="293"/>
      <c r="P336" s="416"/>
      <c r="Q336" s="416"/>
      <c r="R336" s="416"/>
      <c r="S336" s="604"/>
      <c r="T336" s="605"/>
      <c r="U336" s="605"/>
      <c r="V336" s="605"/>
      <c r="W336" s="605"/>
    </row>
    <row r="337">
      <c r="L337" s="416"/>
      <c r="M337" s="293"/>
      <c r="P337" s="416"/>
      <c r="Q337" s="416"/>
      <c r="R337" s="416"/>
      <c r="S337" s="604"/>
      <c r="T337" s="605"/>
      <c r="U337" s="605"/>
      <c r="V337" s="605"/>
      <c r="W337" s="605"/>
    </row>
    <row r="338">
      <c r="L338" s="416"/>
      <c r="M338" s="293"/>
      <c r="P338" s="416"/>
      <c r="Q338" s="416"/>
      <c r="R338" s="416"/>
      <c r="S338" s="604"/>
      <c r="T338" s="605"/>
      <c r="U338" s="605"/>
      <c r="V338" s="605"/>
      <c r="W338" s="605"/>
    </row>
    <row r="339">
      <c r="L339" s="416"/>
      <c r="M339" s="293"/>
      <c r="P339" s="416"/>
      <c r="Q339" s="416"/>
      <c r="R339" s="416"/>
      <c r="S339" s="604"/>
      <c r="T339" s="605"/>
      <c r="U339" s="605"/>
      <c r="V339" s="605"/>
      <c r="W339" s="605"/>
    </row>
    <row r="340">
      <c r="L340" s="416"/>
      <c r="M340" s="293"/>
      <c r="P340" s="416"/>
      <c r="Q340" s="416"/>
      <c r="R340" s="416"/>
      <c r="S340" s="604"/>
      <c r="T340" s="605"/>
      <c r="U340" s="605"/>
      <c r="V340" s="605"/>
      <c r="W340" s="605"/>
    </row>
    <row r="341">
      <c r="L341" s="416"/>
      <c r="M341" s="293"/>
      <c r="P341" s="416"/>
      <c r="Q341" s="416"/>
      <c r="R341" s="416"/>
      <c r="S341" s="604"/>
      <c r="T341" s="605"/>
      <c r="U341" s="605"/>
      <c r="V341" s="605"/>
      <c r="W341" s="605"/>
    </row>
    <row r="342">
      <c r="L342" s="416"/>
      <c r="M342" s="293"/>
      <c r="P342" s="416"/>
      <c r="Q342" s="416"/>
      <c r="R342" s="416"/>
      <c r="S342" s="604"/>
      <c r="T342" s="605"/>
      <c r="U342" s="605"/>
      <c r="V342" s="605"/>
      <c r="W342" s="605"/>
    </row>
    <row r="343">
      <c r="L343" s="416"/>
      <c r="M343" s="293"/>
      <c r="P343" s="416"/>
      <c r="Q343" s="416"/>
      <c r="R343" s="416"/>
      <c r="S343" s="604"/>
      <c r="T343" s="605"/>
      <c r="U343" s="605"/>
      <c r="V343" s="605"/>
      <c r="W343" s="605"/>
    </row>
    <row r="344">
      <c r="L344" s="416"/>
      <c r="M344" s="293"/>
      <c r="P344" s="416"/>
      <c r="Q344" s="416"/>
      <c r="R344" s="416"/>
      <c r="S344" s="604"/>
      <c r="T344" s="605"/>
      <c r="U344" s="605"/>
      <c r="V344" s="605"/>
      <c r="W344" s="605"/>
    </row>
    <row r="345">
      <c r="L345" s="416"/>
      <c r="M345" s="293"/>
      <c r="P345" s="416"/>
      <c r="Q345" s="416"/>
      <c r="R345" s="416"/>
      <c r="S345" s="604"/>
      <c r="T345" s="605"/>
      <c r="U345" s="605"/>
      <c r="V345" s="605"/>
      <c r="W345" s="605"/>
    </row>
    <row r="346">
      <c r="L346" s="416"/>
      <c r="M346" s="293"/>
      <c r="P346" s="416"/>
      <c r="Q346" s="416"/>
      <c r="R346" s="416"/>
      <c r="S346" s="604"/>
      <c r="T346" s="605"/>
      <c r="U346" s="605"/>
      <c r="V346" s="605"/>
      <c r="W346" s="605"/>
    </row>
    <row r="347">
      <c r="L347" s="416"/>
      <c r="M347" s="293"/>
      <c r="P347" s="416"/>
      <c r="Q347" s="416"/>
      <c r="R347" s="416"/>
      <c r="S347" s="604"/>
      <c r="T347" s="605"/>
      <c r="U347" s="605"/>
      <c r="V347" s="605"/>
      <c r="W347" s="605"/>
    </row>
    <row r="348">
      <c r="L348" s="416"/>
      <c r="M348" s="293"/>
      <c r="P348" s="416"/>
      <c r="Q348" s="416"/>
      <c r="R348" s="416"/>
      <c r="S348" s="604"/>
      <c r="T348" s="605"/>
      <c r="U348" s="605"/>
      <c r="V348" s="605"/>
      <c r="W348" s="605"/>
    </row>
    <row r="349">
      <c r="L349" s="416"/>
      <c r="M349" s="293"/>
      <c r="P349" s="416"/>
      <c r="Q349" s="416"/>
      <c r="R349" s="416"/>
      <c r="S349" s="604"/>
      <c r="T349" s="605"/>
      <c r="U349" s="605"/>
      <c r="V349" s="605"/>
      <c r="W349" s="605"/>
    </row>
    <row r="350">
      <c r="L350" s="416"/>
      <c r="M350" s="293"/>
      <c r="P350" s="416"/>
      <c r="Q350" s="416"/>
      <c r="R350" s="416"/>
      <c r="S350" s="604"/>
      <c r="T350" s="605"/>
      <c r="U350" s="605"/>
      <c r="V350" s="605"/>
      <c r="W350" s="605"/>
    </row>
    <row r="351">
      <c r="L351" s="416"/>
      <c r="M351" s="293"/>
      <c r="P351" s="416"/>
      <c r="Q351" s="416"/>
      <c r="R351" s="416"/>
      <c r="S351" s="604"/>
      <c r="T351" s="605"/>
      <c r="U351" s="605"/>
      <c r="V351" s="605"/>
      <c r="W351" s="605"/>
    </row>
    <row r="352">
      <c r="L352" s="416"/>
      <c r="M352" s="293"/>
      <c r="P352" s="416"/>
      <c r="Q352" s="416"/>
      <c r="R352" s="416"/>
      <c r="S352" s="604"/>
      <c r="T352" s="605"/>
      <c r="U352" s="605"/>
      <c r="V352" s="605"/>
      <c r="W352" s="605"/>
    </row>
    <row r="353">
      <c r="L353" s="416"/>
      <c r="M353" s="293"/>
      <c r="P353" s="416"/>
      <c r="Q353" s="416"/>
      <c r="R353" s="416"/>
      <c r="S353" s="604"/>
      <c r="T353" s="605"/>
      <c r="U353" s="605"/>
      <c r="V353" s="605"/>
      <c r="W353" s="605"/>
    </row>
    <row r="354">
      <c r="L354" s="416"/>
      <c r="M354" s="293"/>
      <c r="P354" s="416"/>
      <c r="Q354" s="416"/>
      <c r="R354" s="416"/>
      <c r="S354" s="604"/>
      <c r="T354" s="605"/>
      <c r="U354" s="605"/>
      <c r="V354" s="605"/>
      <c r="W354" s="605"/>
    </row>
    <row r="355">
      <c r="L355" s="416"/>
      <c r="M355" s="293"/>
      <c r="P355" s="416"/>
      <c r="Q355" s="416"/>
      <c r="R355" s="416"/>
      <c r="S355" s="604"/>
      <c r="T355" s="605"/>
      <c r="U355" s="605"/>
      <c r="V355" s="605"/>
      <c r="W355" s="605"/>
    </row>
    <row r="356">
      <c r="L356" s="416"/>
      <c r="M356" s="293"/>
      <c r="P356" s="416"/>
      <c r="Q356" s="416"/>
      <c r="R356" s="416"/>
      <c r="S356" s="604"/>
      <c r="T356" s="605"/>
      <c r="U356" s="605"/>
      <c r="V356" s="605"/>
      <c r="W356" s="605"/>
    </row>
    <row r="357">
      <c r="L357" s="416"/>
      <c r="M357" s="293"/>
      <c r="P357" s="416"/>
      <c r="Q357" s="416"/>
      <c r="R357" s="416"/>
      <c r="S357" s="604"/>
      <c r="T357" s="605"/>
      <c r="U357" s="605"/>
      <c r="V357" s="605"/>
      <c r="W357" s="605"/>
    </row>
    <row r="358">
      <c r="L358" s="416"/>
      <c r="M358" s="293"/>
      <c r="P358" s="416"/>
      <c r="Q358" s="416"/>
      <c r="R358" s="416"/>
      <c r="S358" s="604"/>
      <c r="T358" s="605"/>
      <c r="U358" s="605"/>
      <c r="V358" s="605"/>
      <c r="W358" s="605"/>
    </row>
    <row r="359">
      <c r="L359" s="416"/>
      <c r="M359" s="293"/>
      <c r="P359" s="416"/>
      <c r="Q359" s="416"/>
      <c r="R359" s="416"/>
      <c r="S359" s="604"/>
      <c r="T359" s="605"/>
      <c r="U359" s="605"/>
      <c r="V359" s="605"/>
      <c r="W359" s="605"/>
    </row>
    <row r="360">
      <c r="L360" s="416"/>
      <c r="M360" s="293"/>
      <c r="P360" s="416"/>
      <c r="Q360" s="416"/>
      <c r="R360" s="416"/>
      <c r="S360" s="604"/>
      <c r="T360" s="605"/>
      <c r="U360" s="605"/>
      <c r="V360" s="605"/>
      <c r="W360" s="605"/>
    </row>
    <row r="361">
      <c r="L361" s="416"/>
      <c r="M361" s="293"/>
      <c r="P361" s="416"/>
      <c r="Q361" s="416"/>
      <c r="R361" s="416"/>
      <c r="S361" s="604"/>
      <c r="T361" s="605"/>
      <c r="U361" s="605"/>
      <c r="V361" s="605"/>
      <c r="W361" s="605"/>
    </row>
    <row r="362">
      <c r="L362" s="416"/>
      <c r="M362" s="293"/>
      <c r="P362" s="416"/>
      <c r="Q362" s="416"/>
      <c r="R362" s="416"/>
      <c r="S362" s="604"/>
      <c r="T362" s="605"/>
      <c r="U362" s="605"/>
      <c r="V362" s="605"/>
      <c r="W362" s="605"/>
    </row>
    <row r="363">
      <c r="L363" s="416"/>
      <c r="M363" s="293"/>
      <c r="P363" s="416"/>
      <c r="Q363" s="416"/>
      <c r="R363" s="416"/>
      <c r="S363" s="604"/>
      <c r="T363" s="605"/>
      <c r="U363" s="605"/>
      <c r="V363" s="605"/>
      <c r="W363" s="605"/>
    </row>
    <row r="364">
      <c r="L364" s="416"/>
      <c r="M364" s="293"/>
      <c r="P364" s="416"/>
      <c r="Q364" s="416"/>
      <c r="R364" s="416"/>
      <c r="S364" s="604"/>
      <c r="T364" s="605"/>
      <c r="U364" s="605"/>
      <c r="V364" s="605"/>
      <c r="W364" s="605"/>
    </row>
    <row r="365">
      <c r="L365" s="416"/>
      <c r="M365" s="293"/>
      <c r="P365" s="416"/>
      <c r="Q365" s="416"/>
      <c r="R365" s="416"/>
      <c r="S365" s="604"/>
      <c r="T365" s="605"/>
      <c r="U365" s="605"/>
      <c r="V365" s="605"/>
      <c r="W365" s="605"/>
    </row>
    <row r="366">
      <c r="L366" s="416"/>
      <c r="M366" s="293"/>
      <c r="P366" s="416"/>
      <c r="Q366" s="416"/>
      <c r="R366" s="416"/>
      <c r="S366" s="604"/>
      <c r="T366" s="605"/>
      <c r="U366" s="605"/>
      <c r="V366" s="605"/>
      <c r="W366" s="605"/>
    </row>
    <row r="367">
      <c r="L367" s="416"/>
      <c r="M367" s="293"/>
      <c r="P367" s="416"/>
      <c r="Q367" s="416"/>
      <c r="R367" s="416"/>
      <c r="S367" s="604"/>
      <c r="T367" s="605"/>
      <c r="U367" s="605"/>
      <c r="V367" s="605"/>
      <c r="W367" s="605"/>
    </row>
    <row r="368">
      <c r="L368" s="416"/>
      <c r="M368" s="293"/>
      <c r="P368" s="416"/>
      <c r="Q368" s="416"/>
      <c r="R368" s="416"/>
      <c r="S368" s="604"/>
      <c r="T368" s="605"/>
      <c r="U368" s="605"/>
      <c r="V368" s="605"/>
      <c r="W368" s="605"/>
    </row>
    <row r="369">
      <c r="L369" s="416"/>
      <c r="M369" s="293"/>
      <c r="P369" s="416"/>
      <c r="Q369" s="416"/>
      <c r="R369" s="416"/>
      <c r="S369" s="604"/>
      <c r="T369" s="605"/>
      <c r="U369" s="605"/>
      <c r="V369" s="605"/>
      <c r="W369" s="605"/>
    </row>
    <row r="370">
      <c r="L370" s="416"/>
      <c r="M370" s="293"/>
      <c r="P370" s="416"/>
      <c r="Q370" s="416"/>
      <c r="R370" s="416"/>
      <c r="S370" s="604"/>
      <c r="T370" s="605"/>
      <c r="U370" s="605"/>
      <c r="V370" s="605"/>
      <c r="W370" s="605"/>
    </row>
    <row r="371">
      <c r="L371" s="416"/>
      <c r="M371" s="293"/>
      <c r="P371" s="416"/>
      <c r="Q371" s="416"/>
      <c r="R371" s="416"/>
      <c r="S371" s="604"/>
      <c r="T371" s="605"/>
      <c r="U371" s="605"/>
      <c r="V371" s="605"/>
      <c r="W371" s="605"/>
    </row>
    <row r="372">
      <c r="L372" s="416"/>
      <c r="M372" s="293"/>
      <c r="P372" s="416"/>
      <c r="Q372" s="416"/>
      <c r="R372" s="416"/>
      <c r="S372" s="604"/>
      <c r="T372" s="605"/>
      <c r="U372" s="605"/>
      <c r="V372" s="605"/>
      <c r="W372" s="605"/>
    </row>
    <row r="373">
      <c r="L373" s="416"/>
      <c r="M373" s="293"/>
      <c r="P373" s="416"/>
      <c r="Q373" s="416"/>
      <c r="R373" s="416"/>
      <c r="S373" s="604"/>
      <c r="T373" s="605"/>
      <c r="U373" s="605"/>
      <c r="V373" s="605"/>
      <c r="W373" s="605"/>
    </row>
    <row r="374">
      <c r="L374" s="416"/>
      <c r="M374" s="293"/>
      <c r="P374" s="416"/>
      <c r="Q374" s="416"/>
      <c r="R374" s="416"/>
      <c r="S374" s="604"/>
      <c r="T374" s="605"/>
      <c r="U374" s="605"/>
      <c r="V374" s="605"/>
      <c r="W374" s="605"/>
    </row>
    <row r="375">
      <c r="L375" s="416"/>
      <c r="M375" s="293"/>
      <c r="P375" s="416"/>
      <c r="Q375" s="416"/>
      <c r="R375" s="416"/>
      <c r="S375" s="604"/>
      <c r="T375" s="605"/>
      <c r="U375" s="605"/>
      <c r="V375" s="605"/>
      <c r="W375" s="605"/>
    </row>
    <row r="376">
      <c r="L376" s="416"/>
      <c r="M376" s="293"/>
      <c r="P376" s="416"/>
      <c r="Q376" s="416"/>
      <c r="R376" s="416"/>
      <c r="S376" s="604"/>
      <c r="T376" s="605"/>
      <c r="U376" s="605"/>
      <c r="V376" s="605"/>
      <c r="W376" s="605"/>
    </row>
    <row r="377">
      <c r="L377" s="416"/>
      <c r="M377" s="293"/>
      <c r="P377" s="416"/>
      <c r="Q377" s="416"/>
      <c r="R377" s="416"/>
      <c r="S377" s="604"/>
      <c r="T377" s="605"/>
      <c r="U377" s="605"/>
      <c r="V377" s="605"/>
      <c r="W377" s="605"/>
    </row>
    <row r="378">
      <c r="L378" s="416"/>
      <c r="M378" s="293"/>
      <c r="P378" s="416"/>
      <c r="Q378" s="416"/>
      <c r="R378" s="416"/>
      <c r="S378" s="604"/>
      <c r="T378" s="605"/>
      <c r="U378" s="605"/>
      <c r="V378" s="605"/>
      <c r="W378" s="605"/>
    </row>
    <row r="379">
      <c r="L379" s="416"/>
      <c r="M379" s="293"/>
      <c r="P379" s="416"/>
      <c r="Q379" s="416"/>
      <c r="R379" s="416"/>
      <c r="S379" s="604"/>
      <c r="T379" s="605"/>
      <c r="U379" s="605"/>
      <c r="V379" s="605"/>
      <c r="W379" s="605"/>
    </row>
    <row r="380">
      <c r="L380" s="416"/>
      <c r="M380" s="293"/>
      <c r="P380" s="416"/>
      <c r="Q380" s="416"/>
      <c r="R380" s="416"/>
      <c r="S380" s="604"/>
      <c r="T380" s="605"/>
      <c r="U380" s="605"/>
      <c r="V380" s="605"/>
      <c r="W380" s="605"/>
    </row>
    <row r="381">
      <c r="L381" s="416"/>
      <c r="M381" s="293"/>
      <c r="P381" s="416"/>
      <c r="Q381" s="416"/>
      <c r="R381" s="416"/>
      <c r="S381" s="604"/>
      <c r="T381" s="605"/>
      <c r="U381" s="605"/>
      <c r="V381" s="605"/>
      <c r="W381" s="605"/>
    </row>
    <row r="382">
      <c r="L382" s="416"/>
      <c r="M382" s="293"/>
      <c r="P382" s="416"/>
      <c r="Q382" s="416"/>
      <c r="R382" s="416"/>
      <c r="S382" s="604"/>
      <c r="T382" s="605"/>
      <c r="U382" s="605"/>
      <c r="V382" s="605"/>
      <c r="W382" s="605"/>
    </row>
    <row r="383">
      <c r="L383" s="416"/>
      <c r="M383" s="293"/>
      <c r="P383" s="416"/>
      <c r="Q383" s="416"/>
      <c r="R383" s="416"/>
      <c r="S383" s="604"/>
      <c r="T383" s="605"/>
      <c r="U383" s="605"/>
      <c r="V383" s="605"/>
      <c r="W383" s="605"/>
    </row>
    <row r="384">
      <c r="L384" s="416"/>
      <c r="M384" s="293"/>
      <c r="P384" s="416"/>
      <c r="Q384" s="416"/>
      <c r="R384" s="416"/>
      <c r="S384" s="604"/>
      <c r="T384" s="605"/>
      <c r="U384" s="605"/>
      <c r="V384" s="605"/>
      <c r="W384" s="605"/>
    </row>
    <row r="385">
      <c r="L385" s="416"/>
      <c r="M385" s="293"/>
      <c r="P385" s="416"/>
      <c r="Q385" s="416"/>
      <c r="R385" s="416"/>
      <c r="S385" s="604"/>
      <c r="T385" s="605"/>
      <c r="U385" s="605"/>
      <c r="V385" s="605"/>
      <c r="W385" s="605"/>
    </row>
    <row r="386">
      <c r="L386" s="416"/>
      <c r="M386" s="293"/>
      <c r="P386" s="416"/>
      <c r="Q386" s="416"/>
      <c r="R386" s="416"/>
      <c r="S386" s="604"/>
      <c r="T386" s="605"/>
      <c r="U386" s="605"/>
      <c r="V386" s="605"/>
      <c r="W386" s="605"/>
    </row>
    <row r="387">
      <c r="L387" s="416"/>
      <c r="M387" s="293"/>
      <c r="P387" s="416"/>
      <c r="Q387" s="416"/>
      <c r="R387" s="416"/>
      <c r="S387" s="604"/>
      <c r="T387" s="605"/>
      <c r="U387" s="605"/>
      <c r="V387" s="605"/>
      <c r="W387" s="605"/>
    </row>
    <row r="388">
      <c r="L388" s="416"/>
      <c r="M388" s="293"/>
      <c r="P388" s="416"/>
      <c r="Q388" s="416"/>
      <c r="R388" s="416"/>
      <c r="S388" s="604"/>
      <c r="T388" s="605"/>
      <c r="U388" s="605"/>
      <c r="V388" s="605"/>
      <c r="W388" s="605"/>
    </row>
    <row r="389">
      <c r="L389" s="416"/>
      <c r="M389" s="293"/>
      <c r="P389" s="416"/>
      <c r="Q389" s="416"/>
      <c r="R389" s="416"/>
      <c r="S389" s="604"/>
      <c r="T389" s="605"/>
      <c r="U389" s="605"/>
      <c r="V389" s="605"/>
      <c r="W389" s="605"/>
    </row>
    <row r="390">
      <c r="L390" s="416"/>
      <c r="M390" s="293"/>
      <c r="P390" s="416"/>
      <c r="Q390" s="416"/>
      <c r="R390" s="416"/>
      <c r="S390" s="604"/>
      <c r="T390" s="605"/>
      <c r="U390" s="605"/>
      <c r="V390" s="605"/>
      <c r="W390" s="605"/>
    </row>
    <row r="391">
      <c r="L391" s="416"/>
      <c r="M391" s="293"/>
      <c r="P391" s="416"/>
      <c r="Q391" s="416"/>
      <c r="R391" s="416"/>
      <c r="S391" s="604"/>
      <c r="T391" s="605"/>
      <c r="U391" s="605"/>
      <c r="V391" s="605"/>
      <c r="W391" s="605"/>
    </row>
    <row r="392">
      <c r="L392" s="416"/>
      <c r="M392" s="293"/>
      <c r="P392" s="416"/>
      <c r="Q392" s="416"/>
      <c r="R392" s="416"/>
      <c r="S392" s="604"/>
      <c r="T392" s="605"/>
      <c r="U392" s="605"/>
      <c r="V392" s="605"/>
      <c r="W392" s="605"/>
    </row>
    <row r="393">
      <c r="L393" s="416"/>
      <c r="M393" s="293"/>
      <c r="P393" s="416"/>
      <c r="Q393" s="416"/>
      <c r="R393" s="416"/>
      <c r="S393" s="604"/>
      <c r="T393" s="605"/>
      <c r="U393" s="605"/>
      <c r="V393" s="605"/>
      <c r="W393" s="605"/>
    </row>
    <row r="394">
      <c r="L394" s="416"/>
      <c r="M394" s="293"/>
      <c r="P394" s="416"/>
      <c r="Q394" s="416"/>
      <c r="R394" s="416"/>
      <c r="S394" s="604"/>
      <c r="T394" s="605"/>
      <c r="U394" s="605"/>
      <c r="V394" s="605"/>
      <c r="W394" s="605"/>
    </row>
    <row r="395">
      <c r="L395" s="416"/>
      <c r="M395" s="293"/>
      <c r="P395" s="416"/>
      <c r="Q395" s="416"/>
      <c r="R395" s="416"/>
      <c r="S395" s="604"/>
      <c r="T395" s="605"/>
      <c r="U395" s="605"/>
      <c r="V395" s="605"/>
      <c r="W395" s="605"/>
    </row>
    <row r="396">
      <c r="L396" s="416"/>
      <c r="M396" s="293"/>
      <c r="P396" s="416"/>
      <c r="Q396" s="416"/>
      <c r="R396" s="416"/>
      <c r="S396" s="604"/>
      <c r="T396" s="605"/>
      <c r="U396" s="605"/>
      <c r="V396" s="605"/>
      <c r="W396" s="605"/>
    </row>
    <row r="397">
      <c r="L397" s="416"/>
      <c r="M397" s="293"/>
      <c r="P397" s="416"/>
      <c r="Q397" s="416"/>
      <c r="R397" s="416"/>
      <c r="S397" s="604"/>
      <c r="T397" s="605"/>
      <c r="U397" s="605"/>
      <c r="V397" s="605"/>
      <c r="W397" s="605"/>
    </row>
    <row r="398">
      <c r="L398" s="416"/>
      <c r="M398" s="293"/>
      <c r="P398" s="416"/>
      <c r="Q398" s="416"/>
      <c r="R398" s="416"/>
      <c r="S398" s="604"/>
      <c r="T398" s="605"/>
      <c r="U398" s="605"/>
      <c r="V398" s="605"/>
      <c r="W398" s="605"/>
    </row>
    <row r="399">
      <c r="L399" s="416"/>
      <c r="M399" s="293"/>
      <c r="P399" s="416"/>
      <c r="Q399" s="416"/>
      <c r="R399" s="416"/>
      <c r="S399" s="604"/>
      <c r="T399" s="605"/>
      <c r="U399" s="605"/>
      <c r="V399" s="605"/>
      <c r="W399" s="605"/>
    </row>
    <row r="400">
      <c r="L400" s="416"/>
      <c r="M400" s="293"/>
      <c r="P400" s="416"/>
      <c r="Q400" s="416"/>
      <c r="R400" s="416"/>
      <c r="S400" s="604"/>
      <c r="T400" s="605"/>
      <c r="U400" s="605"/>
      <c r="V400" s="605"/>
      <c r="W400" s="605"/>
    </row>
    <row r="401">
      <c r="L401" s="416"/>
      <c r="M401" s="293"/>
      <c r="P401" s="416"/>
      <c r="Q401" s="416"/>
      <c r="R401" s="416"/>
      <c r="S401" s="604"/>
      <c r="T401" s="605"/>
      <c r="U401" s="605"/>
      <c r="V401" s="605"/>
      <c r="W401" s="605"/>
    </row>
    <row r="402">
      <c r="L402" s="416"/>
      <c r="M402" s="293"/>
      <c r="P402" s="416"/>
      <c r="Q402" s="416"/>
      <c r="R402" s="416"/>
      <c r="S402" s="604"/>
      <c r="T402" s="605"/>
      <c r="U402" s="605"/>
      <c r="V402" s="605"/>
      <c r="W402" s="605"/>
    </row>
    <row r="403">
      <c r="L403" s="416"/>
      <c r="M403" s="293"/>
      <c r="P403" s="416"/>
      <c r="Q403" s="416"/>
      <c r="R403" s="416"/>
      <c r="S403" s="604"/>
      <c r="T403" s="605"/>
      <c r="U403" s="605"/>
      <c r="V403" s="605"/>
      <c r="W403" s="605"/>
    </row>
    <row r="404">
      <c r="L404" s="416"/>
      <c r="M404" s="293"/>
      <c r="P404" s="416"/>
      <c r="Q404" s="416"/>
      <c r="R404" s="416"/>
      <c r="S404" s="604"/>
      <c r="T404" s="605"/>
      <c r="U404" s="605"/>
      <c r="V404" s="605"/>
      <c r="W404" s="605"/>
    </row>
    <row r="405">
      <c r="L405" s="416"/>
      <c r="M405" s="293"/>
      <c r="P405" s="416"/>
      <c r="Q405" s="416"/>
      <c r="R405" s="416"/>
      <c r="S405" s="604"/>
      <c r="T405" s="605"/>
      <c r="U405" s="605"/>
      <c r="V405" s="605"/>
      <c r="W405" s="605"/>
    </row>
    <row r="406">
      <c r="L406" s="416"/>
      <c r="M406" s="293"/>
      <c r="P406" s="416"/>
      <c r="Q406" s="416"/>
      <c r="R406" s="416"/>
      <c r="S406" s="604"/>
      <c r="T406" s="605"/>
      <c r="U406" s="605"/>
      <c r="V406" s="605"/>
      <c r="W406" s="605"/>
    </row>
    <row r="407">
      <c r="L407" s="416"/>
      <c r="M407" s="293"/>
      <c r="P407" s="416"/>
      <c r="Q407" s="416"/>
      <c r="R407" s="416"/>
      <c r="S407" s="604"/>
      <c r="T407" s="605"/>
      <c r="U407" s="605"/>
      <c r="V407" s="605"/>
      <c r="W407" s="605"/>
    </row>
    <row r="408">
      <c r="L408" s="416"/>
      <c r="M408" s="293"/>
      <c r="P408" s="416"/>
      <c r="Q408" s="416"/>
      <c r="R408" s="416"/>
      <c r="S408" s="604"/>
      <c r="T408" s="605"/>
      <c r="U408" s="605"/>
      <c r="V408" s="605"/>
      <c r="W408" s="605"/>
    </row>
    <row r="409">
      <c r="L409" s="416"/>
      <c r="M409" s="293"/>
      <c r="P409" s="416"/>
      <c r="Q409" s="416"/>
      <c r="R409" s="416"/>
      <c r="S409" s="604"/>
      <c r="T409" s="605"/>
      <c r="U409" s="605"/>
      <c r="V409" s="605"/>
      <c r="W409" s="605"/>
    </row>
    <row r="410">
      <c r="L410" s="416"/>
      <c r="M410" s="293"/>
      <c r="P410" s="416"/>
      <c r="Q410" s="416"/>
      <c r="R410" s="416"/>
      <c r="S410" s="604"/>
      <c r="T410" s="605"/>
      <c r="U410" s="605"/>
      <c r="V410" s="605"/>
      <c r="W410" s="605"/>
    </row>
    <row r="411">
      <c r="L411" s="416"/>
      <c r="M411" s="293"/>
      <c r="P411" s="416"/>
      <c r="Q411" s="416"/>
      <c r="R411" s="416"/>
      <c r="S411" s="604"/>
      <c r="T411" s="605"/>
      <c r="U411" s="605"/>
      <c r="V411" s="605"/>
      <c r="W411" s="605"/>
    </row>
    <row r="412">
      <c r="L412" s="416"/>
      <c r="M412" s="293"/>
      <c r="P412" s="416"/>
      <c r="Q412" s="416"/>
      <c r="R412" s="416"/>
      <c r="S412" s="604"/>
      <c r="T412" s="605"/>
      <c r="U412" s="605"/>
      <c r="V412" s="605"/>
      <c r="W412" s="605"/>
    </row>
    <row r="413">
      <c r="L413" s="416"/>
      <c r="M413" s="293"/>
      <c r="P413" s="416"/>
      <c r="Q413" s="416"/>
      <c r="R413" s="416"/>
      <c r="S413" s="604"/>
      <c r="T413" s="605"/>
      <c r="U413" s="605"/>
      <c r="V413" s="605"/>
      <c r="W413" s="605"/>
    </row>
    <row r="414">
      <c r="L414" s="416"/>
      <c r="M414" s="293"/>
      <c r="P414" s="416"/>
      <c r="Q414" s="416"/>
      <c r="R414" s="416"/>
      <c r="S414" s="604"/>
      <c r="T414" s="605"/>
      <c r="U414" s="605"/>
      <c r="V414" s="605"/>
      <c r="W414" s="605"/>
    </row>
    <row r="415">
      <c r="L415" s="416"/>
      <c r="M415" s="293"/>
      <c r="P415" s="416"/>
      <c r="Q415" s="416"/>
      <c r="R415" s="416"/>
      <c r="S415" s="604"/>
      <c r="T415" s="605"/>
      <c r="U415" s="605"/>
      <c r="V415" s="605"/>
      <c r="W415" s="605"/>
    </row>
    <row r="416">
      <c r="L416" s="416"/>
      <c r="M416" s="293"/>
      <c r="P416" s="416"/>
      <c r="Q416" s="416"/>
      <c r="R416" s="416"/>
      <c r="S416" s="604"/>
      <c r="T416" s="605"/>
      <c r="U416" s="605"/>
      <c r="V416" s="605"/>
      <c r="W416" s="605"/>
    </row>
    <row r="417">
      <c r="L417" s="416"/>
      <c r="M417" s="293"/>
      <c r="P417" s="416"/>
      <c r="Q417" s="416"/>
      <c r="R417" s="416"/>
      <c r="S417" s="604"/>
      <c r="T417" s="605"/>
      <c r="U417" s="605"/>
      <c r="V417" s="605"/>
      <c r="W417" s="605"/>
    </row>
    <row r="418">
      <c r="L418" s="416"/>
      <c r="M418" s="293"/>
      <c r="P418" s="416"/>
      <c r="Q418" s="416"/>
      <c r="R418" s="416"/>
      <c r="S418" s="604"/>
      <c r="T418" s="605"/>
      <c r="U418" s="605"/>
      <c r="V418" s="605"/>
      <c r="W418" s="605"/>
    </row>
    <row r="419">
      <c r="L419" s="416"/>
      <c r="M419" s="293"/>
      <c r="P419" s="416"/>
      <c r="Q419" s="416"/>
      <c r="R419" s="416"/>
      <c r="S419" s="604"/>
      <c r="T419" s="605"/>
      <c r="U419" s="605"/>
      <c r="V419" s="605"/>
      <c r="W419" s="605"/>
    </row>
    <row r="420">
      <c r="L420" s="416"/>
      <c r="M420" s="293"/>
      <c r="P420" s="416"/>
      <c r="Q420" s="416"/>
      <c r="R420" s="416"/>
      <c r="S420" s="604"/>
      <c r="T420" s="605"/>
      <c r="U420" s="605"/>
      <c r="V420" s="605"/>
      <c r="W420" s="605"/>
    </row>
    <row r="421">
      <c r="L421" s="416"/>
      <c r="M421" s="293"/>
      <c r="P421" s="416"/>
      <c r="Q421" s="416"/>
      <c r="R421" s="416"/>
      <c r="S421" s="604"/>
      <c r="T421" s="605"/>
      <c r="U421" s="605"/>
      <c r="V421" s="605"/>
      <c r="W421" s="605"/>
    </row>
    <row r="422">
      <c r="L422" s="416"/>
      <c r="M422" s="293"/>
      <c r="P422" s="416"/>
      <c r="Q422" s="416"/>
      <c r="R422" s="416"/>
      <c r="S422" s="604"/>
      <c r="T422" s="605"/>
      <c r="U422" s="605"/>
      <c r="V422" s="605"/>
      <c r="W422" s="605"/>
    </row>
    <row r="423">
      <c r="L423" s="416"/>
      <c r="M423" s="293"/>
      <c r="P423" s="416"/>
      <c r="Q423" s="416"/>
      <c r="R423" s="416"/>
      <c r="S423" s="604"/>
      <c r="T423" s="605"/>
      <c r="U423" s="605"/>
      <c r="V423" s="605"/>
      <c r="W423" s="605"/>
    </row>
    <row r="424">
      <c r="L424" s="416"/>
      <c r="M424" s="293"/>
      <c r="P424" s="416"/>
      <c r="Q424" s="416"/>
      <c r="R424" s="416"/>
      <c r="S424" s="604"/>
      <c r="T424" s="605"/>
      <c r="U424" s="605"/>
      <c r="V424" s="605"/>
      <c r="W424" s="605"/>
    </row>
    <row r="425">
      <c r="L425" s="416"/>
      <c r="M425" s="293"/>
      <c r="P425" s="416"/>
      <c r="Q425" s="416"/>
      <c r="R425" s="416"/>
      <c r="S425" s="604"/>
      <c r="T425" s="605"/>
      <c r="U425" s="605"/>
      <c r="V425" s="605"/>
      <c r="W425" s="605"/>
    </row>
    <row r="426">
      <c r="L426" s="416"/>
      <c r="M426" s="293"/>
      <c r="P426" s="416"/>
      <c r="Q426" s="416"/>
      <c r="R426" s="416"/>
      <c r="S426" s="604"/>
      <c r="T426" s="605"/>
      <c r="U426" s="605"/>
      <c r="V426" s="605"/>
      <c r="W426" s="605"/>
    </row>
    <row r="427">
      <c r="L427" s="416"/>
      <c r="M427" s="293"/>
      <c r="P427" s="416"/>
      <c r="Q427" s="416"/>
      <c r="R427" s="416"/>
      <c r="S427" s="604"/>
      <c r="T427" s="605"/>
      <c r="U427" s="605"/>
      <c r="V427" s="605"/>
      <c r="W427" s="605"/>
    </row>
    <row r="428">
      <c r="L428" s="416"/>
      <c r="M428" s="293"/>
      <c r="P428" s="416"/>
      <c r="Q428" s="416"/>
      <c r="R428" s="416"/>
      <c r="S428" s="604"/>
      <c r="T428" s="605"/>
      <c r="U428" s="605"/>
      <c r="V428" s="605"/>
      <c r="W428" s="605"/>
    </row>
    <row r="429">
      <c r="L429" s="416"/>
      <c r="M429" s="293"/>
      <c r="P429" s="416"/>
      <c r="Q429" s="416"/>
      <c r="R429" s="416"/>
      <c r="S429" s="604"/>
      <c r="T429" s="605"/>
      <c r="U429" s="605"/>
      <c r="V429" s="605"/>
      <c r="W429" s="605"/>
    </row>
    <row r="430">
      <c r="L430" s="416"/>
      <c r="M430" s="293"/>
      <c r="P430" s="416"/>
      <c r="Q430" s="416"/>
      <c r="R430" s="416"/>
      <c r="S430" s="604"/>
      <c r="T430" s="605"/>
      <c r="U430" s="605"/>
      <c r="V430" s="605"/>
      <c r="W430" s="605"/>
    </row>
    <row r="431">
      <c r="L431" s="416"/>
      <c r="M431" s="293"/>
      <c r="P431" s="416"/>
      <c r="Q431" s="416"/>
      <c r="R431" s="416"/>
      <c r="S431" s="604"/>
      <c r="T431" s="605"/>
      <c r="U431" s="605"/>
      <c r="V431" s="605"/>
      <c r="W431" s="605"/>
    </row>
    <row r="432">
      <c r="L432" s="416"/>
      <c r="M432" s="293"/>
      <c r="P432" s="416"/>
      <c r="Q432" s="416"/>
      <c r="R432" s="416"/>
      <c r="S432" s="604"/>
      <c r="T432" s="605"/>
      <c r="U432" s="605"/>
      <c r="V432" s="605"/>
      <c r="W432" s="605"/>
    </row>
    <row r="433">
      <c r="L433" s="416"/>
      <c r="M433" s="293"/>
      <c r="P433" s="416"/>
      <c r="Q433" s="416"/>
      <c r="R433" s="416"/>
      <c r="S433" s="604"/>
      <c r="T433" s="605"/>
      <c r="U433" s="605"/>
      <c r="V433" s="605"/>
      <c r="W433" s="605"/>
    </row>
    <row r="434">
      <c r="L434" s="416"/>
      <c r="M434" s="293"/>
      <c r="P434" s="416"/>
      <c r="Q434" s="416"/>
      <c r="R434" s="416"/>
      <c r="S434" s="604"/>
      <c r="T434" s="605"/>
      <c r="U434" s="605"/>
      <c r="V434" s="605"/>
      <c r="W434" s="605"/>
    </row>
    <row r="435">
      <c r="L435" s="416"/>
      <c r="M435" s="293"/>
      <c r="P435" s="416"/>
      <c r="Q435" s="416"/>
      <c r="R435" s="416"/>
      <c r="S435" s="604"/>
      <c r="T435" s="605"/>
      <c r="U435" s="605"/>
      <c r="V435" s="605"/>
      <c r="W435" s="605"/>
    </row>
    <row r="436">
      <c r="L436" s="416"/>
      <c r="M436" s="293"/>
      <c r="P436" s="416"/>
      <c r="Q436" s="416"/>
      <c r="R436" s="416"/>
      <c r="S436" s="604"/>
      <c r="T436" s="605"/>
      <c r="U436" s="605"/>
      <c r="V436" s="605"/>
      <c r="W436" s="605"/>
    </row>
    <row r="437">
      <c r="L437" s="416"/>
      <c r="M437" s="293"/>
      <c r="P437" s="416"/>
      <c r="Q437" s="416"/>
      <c r="R437" s="416"/>
      <c r="S437" s="604"/>
      <c r="T437" s="605"/>
      <c r="U437" s="605"/>
      <c r="V437" s="605"/>
      <c r="W437" s="605"/>
    </row>
    <row r="438">
      <c r="L438" s="416"/>
      <c r="M438" s="293"/>
      <c r="P438" s="416"/>
      <c r="Q438" s="416"/>
      <c r="R438" s="416"/>
      <c r="S438" s="604"/>
      <c r="T438" s="605"/>
      <c r="U438" s="605"/>
      <c r="V438" s="605"/>
      <c r="W438" s="605"/>
    </row>
    <row r="439">
      <c r="L439" s="416"/>
      <c r="M439" s="293"/>
      <c r="P439" s="416"/>
      <c r="Q439" s="416"/>
      <c r="R439" s="416"/>
      <c r="S439" s="604"/>
      <c r="T439" s="605"/>
      <c r="U439" s="605"/>
      <c r="V439" s="605"/>
      <c r="W439" s="605"/>
    </row>
    <row r="440">
      <c r="L440" s="416"/>
      <c r="M440" s="293"/>
      <c r="P440" s="416"/>
      <c r="Q440" s="416"/>
      <c r="R440" s="416"/>
      <c r="S440" s="604"/>
      <c r="T440" s="605"/>
      <c r="U440" s="605"/>
      <c r="V440" s="605"/>
      <c r="W440" s="605"/>
    </row>
    <row r="441">
      <c r="L441" s="416"/>
      <c r="M441" s="293"/>
      <c r="P441" s="416"/>
      <c r="Q441" s="416"/>
      <c r="R441" s="416"/>
      <c r="S441" s="604"/>
      <c r="T441" s="605"/>
      <c r="U441" s="605"/>
      <c r="V441" s="605"/>
      <c r="W441" s="605"/>
    </row>
    <row r="442">
      <c r="L442" s="416"/>
      <c r="M442" s="293"/>
      <c r="P442" s="416"/>
      <c r="Q442" s="416"/>
      <c r="R442" s="416"/>
      <c r="S442" s="604"/>
      <c r="T442" s="605"/>
      <c r="U442" s="605"/>
      <c r="V442" s="605"/>
      <c r="W442" s="605"/>
    </row>
    <row r="443">
      <c r="L443" s="416"/>
      <c r="M443" s="293"/>
      <c r="P443" s="416"/>
      <c r="Q443" s="416"/>
      <c r="R443" s="416"/>
      <c r="S443" s="604"/>
      <c r="T443" s="605"/>
      <c r="U443" s="605"/>
      <c r="V443" s="605"/>
      <c r="W443" s="605"/>
    </row>
    <row r="444">
      <c r="L444" s="416"/>
      <c r="M444" s="293"/>
      <c r="P444" s="416"/>
      <c r="Q444" s="416"/>
      <c r="R444" s="416"/>
      <c r="S444" s="604"/>
      <c r="T444" s="605"/>
      <c r="U444" s="605"/>
      <c r="V444" s="605"/>
      <c r="W444" s="605"/>
    </row>
    <row r="445">
      <c r="L445" s="416"/>
      <c r="M445" s="293"/>
      <c r="P445" s="416"/>
      <c r="Q445" s="416"/>
      <c r="R445" s="416"/>
      <c r="S445" s="604"/>
      <c r="T445" s="605"/>
      <c r="U445" s="605"/>
      <c r="V445" s="605"/>
      <c r="W445" s="605"/>
    </row>
    <row r="446">
      <c r="L446" s="416"/>
      <c r="M446" s="293"/>
      <c r="P446" s="416"/>
      <c r="Q446" s="416"/>
      <c r="R446" s="416"/>
      <c r="S446" s="604"/>
      <c r="T446" s="605"/>
      <c r="U446" s="605"/>
      <c r="V446" s="605"/>
      <c r="W446" s="605"/>
    </row>
    <row r="447">
      <c r="L447" s="416"/>
      <c r="M447" s="293"/>
      <c r="P447" s="416"/>
      <c r="Q447" s="416"/>
      <c r="R447" s="416"/>
      <c r="S447" s="604"/>
      <c r="T447" s="605"/>
      <c r="U447" s="605"/>
      <c r="V447" s="605"/>
      <c r="W447" s="605"/>
    </row>
    <row r="448">
      <c r="L448" s="416"/>
      <c r="M448" s="293"/>
      <c r="P448" s="416"/>
      <c r="Q448" s="416"/>
      <c r="R448" s="416"/>
      <c r="S448" s="604"/>
      <c r="T448" s="605"/>
      <c r="U448" s="605"/>
      <c r="V448" s="605"/>
      <c r="W448" s="605"/>
    </row>
    <row r="449">
      <c r="L449" s="416"/>
      <c r="M449" s="293"/>
      <c r="P449" s="416"/>
      <c r="Q449" s="416"/>
      <c r="R449" s="416"/>
      <c r="S449" s="604"/>
      <c r="T449" s="605"/>
      <c r="U449" s="605"/>
      <c r="V449" s="605"/>
      <c r="W449" s="605"/>
    </row>
    <row r="450">
      <c r="L450" s="416"/>
      <c r="M450" s="293"/>
      <c r="P450" s="416"/>
      <c r="Q450" s="416"/>
      <c r="R450" s="416"/>
      <c r="S450" s="604"/>
      <c r="T450" s="605"/>
      <c r="U450" s="605"/>
      <c r="V450" s="605"/>
      <c r="W450" s="605"/>
    </row>
    <row r="451">
      <c r="L451" s="416"/>
      <c r="M451" s="293"/>
      <c r="P451" s="416"/>
      <c r="Q451" s="416"/>
      <c r="R451" s="416"/>
      <c r="S451" s="604"/>
      <c r="T451" s="605"/>
      <c r="U451" s="605"/>
      <c r="V451" s="605"/>
      <c r="W451" s="605"/>
    </row>
    <row r="452">
      <c r="L452" s="416"/>
      <c r="M452" s="293"/>
      <c r="P452" s="416"/>
      <c r="Q452" s="416"/>
      <c r="R452" s="416"/>
      <c r="S452" s="604"/>
      <c r="T452" s="605"/>
      <c r="U452" s="605"/>
      <c r="V452" s="605"/>
      <c r="W452" s="605"/>
    </row>
    <row r="453">
      <c r="L453" s="416"/>
      <c r="M453" s="293"/>
      <c r="P453" s="416"/>
      <c r="Q453" s="416"/>
      <c r="R453" s="416"/>
      <c r="S453" s="604"/>
      <c r="T453" s="605"/>
      <c r="U453" s="605"/>
      <c r="V453" s="605"/>
      <c r="W453" s="605"/>
    </row>
    <row r="454">
      <c r="L454" s="416"/>
      <c r="M454" s="293"/>
      <c r="P454" s="416"/>
      <c r="Q454" s="416"/>
      <c r="R454" s="416"/>
      <c r="S454" s="604"/>
      <c r="T454" s="605"/>
      <c r="U454" s="605"/>
      <c r="V454" s="605"/>
      <c r="W454" s="605"/>
    </row>
    <row r="455">
      <c r="L455" s="416"/>
      <c r="M455" s="293"/>
      <c r="P455" s="416"/>
      <c r="Q455" s="416"/>
      <c r="R455" s="416"/>
      <c r="S455" s="604"/>
      <c r="T455" s="605"/>
      <c r="U455" s="605"/>
      <c r="V455" s="605"/>
      <c r="W455" s="605"/>
    </row>
    <row r="456">
      <c r="L456" s="416"/>
      <c r="M456" s="293"/>
      <c r="P456" s="416"/>
      <c r="Q456" s="416"/>
      <c r="R456" s="416"/>
      <c r="S456" s="604"/>
      <c r="T456" s="605"/>
      <c r="U456" s="605"/>
      <c r="V456" s="605"/>
      <c r="W456" s="605"/>
    </row>
    <row r="457">
      <c r="L457" s="416"/>
      <c r="M457" s="293"/>
      <c r="P457" s="416"/>
      <c r="Q457" s="416"/>
      <c r="R457" s="416"/>
      <c r="S457" s="604"/>
      <c r="T457" s="605"/>
      <c r="U457" s="605"/>
      <c r="V457" s="605"/>
      <c r="W457" s="605"/>
    </row>
    <row r="458">
      <c r="L458" s="416"/>
      <c r="M458" s="293"/>
      <c r="P458" s="416"/>
      <c r="Q458" s="416"/>
      <c r="R458" s="416"/>
      <c r="S458" s="604"/>
      <c r="T458" s="605"/>
      <c r="U458" s="605"/>
      <c r="V458" s="605"/>
      <c r="W458" s="605"/>
    </row>
    <row r="459">
      <c r="L459" s="416"/>
      <c r="M459" s="293"/>
      <c r="P459" s="416"/>
      <c r="Q459" s="416"/>
      <c r="R459" s="416"/>
      <c r="S459" s="604"/>
      <c r="T459" s="605"/>
      <c r="U459" s="605"/>
      <c r="V459" s="605"/>
      <c r="W459" s="605"/>
    </row>
    <row r="460">
      <c r="L460" s="416"/>
      <c r="M460" s="293"/>
      <c r="P460" s="416"/>
      <c r="Q460" s="416"/>
      <c r="R460" s="416"/>
      <c r="S460" s="604"/>
      <c r="T460" s="605"/>
      <c r="U460" s="605"/>
      <c r="V460" s="605"/>
      <c r="W460" s="605"/>
    </row>
    <row r="461">
      <c r="L461" s="416"/>
      <c r="M461" s="293"/>
      <c r="P461" s="416"/>
      <c r="Q461" s="416"/>
      <c r="R461" s="416"/>
      <c r="S461" s="604"/>
      <c r="T461" s="605"/>
      <c r="U461" s="605"/>
      <c r="V461" s="605"/>
      <c r="W461" s="605"/>
    </row>
    <row r="462">
      <c r="L462" s="416"/>
      <c r="M462" s="293"/>
      <c r="P462" s="416"/>
      <c r="Q462" s="416"/>
      <c r="R462" s="416"/>
      <c r="S462" s="604"/>
      <c r="T462" s="605"/>
      <c r="U462" s="605"/>
      <c r="V462" s="605"/>
      <c r="W462" s="605"/>
    </row>
    <row r="463">
      <c r="L463" s="416"/>
      <c r="M463" s="293"/>
      <c r="P463" s="416"/>
      <c r="Q463" s="416"/>
      <c r="R463" s="416"/>
      <c r="S463" s="604"/>
      <c r="T463" s="605"/>
      <c r="U463" s="605"/>
      <c r="V463" s="605"/>
      <c r="W463" s="605"/>
    </row>
    <row r="464">
      <c r="L464" s="416"/>
      <c r="M464" s="293"/>
      <c r="P464" s="416"/>
      <c r="Q464" s="416"/>
      <c r="R464" s="416"/>
      <c r="S464" s="604"/>
      <c r="T464" s="605"/>
      <c r="U464" s="605"/>
      <c r="V464" s="605"/>
      <c r="W464" s="605"/>
    </row>
    <row r="465">
      <c r="L465" s="416"/>
      <c r="M465" s="293"/>
      <c r="P465" s="416"/>
      <c r="Q465" s="416"/>
      <c r="R465" s="416"/>
      <c r="S465" s="604"/>
      <c r="T465" s="605"/>
      <c r="U465" s="605"/>
      <c r="V465" s="605"/>
      <c r="W465" s="605"/>
    </row>
    <row r="466">
      <c r="L466" s="416"/>
      <c r="M466" s="293"/>
      <c r="P466" s="416"/>
      <c r="Q466" s="416"/>
      <c r="R466" s="416"/>
      <c r="S466" s="604"/>
      <c r="T466" s="605"/>
      <c r="U466" s="605"/>
      <c r="V466" s="605"/>
      <c r="W466" s="605"/>
    </row>
    <row r="467">
      <c r="L467" s="416"/>
      <c r="M467" s="293"/>
      <c r="P467" s="416"/>
      <c r="Q467" s="416"/>
      <c r="R467" s="416"/>
      <c r="S467" s="604"/>
      <c r="T467" s="605"/>
      <c r="U467" s="605"/>
      <c r="V467" s="605"/>
      <c r="W467" s="605"/>
    </row>
    <row r="468">
      <c r="L468" s="416"/>
      <c r="M468" s="293"/>
      <c r="P468" s="416"/>
      <c r="Q468" s="416"/>
      <c r="R468" s="416"/>
      <c r="S468" s="604"/>
      <c r="T468" s="605"/>
      <c r="U468" s="605"/>
      <c r="V468" s="605"/>
      <c r="W468" s="605"/>
    </row>
    <row r="469">
      <c r="L469" s="416"/>
      <c r="M469" s="293"/>
      <c r="P469" s="416"/>
      <c r="Q469" s="416"/>
      <c r="R469" s="416"/>
      <c r="S469" s="604"/>
      <c r="T469" s="605"/>
      <c r="U469" s="605"/>
      <c r="V469" s="605"/>
      <c r="W469" s="605"/>
    </row>
    <row r="470">
      <c r="L470" s="416"/>
      <c r="M470" s="293"/>
      <c r="P470" s="416"/>
      <c r="Q470" s="416"/>
      <c r="R470" s="416"/>
      <c r="S470" s="604"/>
      <c r="T470" s="605"/>
      <c r="U470" s="605"/>
      <c r="V470" s="605"/>
      <c r="W470" s="605"/>
    </row>
    <row r="471">
      <c r="L471" s="416"/>
      <c r="M471" s="293"/>
      <c r="P471" s="416"/>
      <c r="Q471" s="416"/>
      <c r="R471" s="416"/>
      <c r="S471" s="604"/>
      <c r="T471" s="605"/>
      <c r="U471" s="605"/>
      <c r="V471" s="605"/>
      <c r="W471" s="605"/>
    </row>
    <row r="472">
      <c r="L472" s="416"/>
      <c r="M472" s="293"/>
      <c r="P472" s="416"/>
      <c r="Q472" s="416"/>
      <c r="R472" s="416"/>
      <c r="S472" s="604"/>
      <c r="T472" s="605"/>
      <c r="U472" s="605"/>
      <c r="V472" s="605"/>
      <c r="W472" s="605"/>
    </row>
    <row r="473">
      <c r="L473" s="416"/>
      <c r="M473" s="293"/>
      <c r="P473" s="416"/>
      <c r="Q473" s="416"/>
      <c r="R473" s="416"/>
      <c r="S473" s="604"/>
      <c r="T473" s="605"/>
      <c r="U473" s="605"/>
      <c r="V473" s="605"/>
      <c r="W473" s="605"/>
    </row>
    <row r="474">
      <c r="L474" s="416"/>
      <c r="M474" s="293"/>
      <c r="P474" s="416"/>
      <c r="Q474" s="416"/>
      <c r="R474" s="416"/>
      <c r="S474" s="604"/>
      <c r="T474" s="605"/>
      <c r="U474" s="605"/>
      <c r="V474" s="605"/>
      <c r="W474" s="605"/>
    </row>
    <row r="475">
      <c r="L475" s="416"/>
      <c r="M475" s="293"/>
      <c r="P475" s="416"/>
      <c r="Q475" s="416"/>
      <c r="R475" s="416"/>
      <c r="S475" s="604"/>
      <c r="T475" s="605"/>
      <c r="U475" s="605"/>
      <c r="V475" s="605"/>
      <c r="W475" s="605"/>
    </row>
    <row r="476">
      <c r="L476" s="416"/>
      <c r="M476" s="293"/>
      <c r="P476" s="416"/>
      <c r="Q476" s="416"/>
      <c r="R476" s="416"/>
      <c r="S476" s="604"/>
      <c r="T476" s="605"/>
      <c r="U476" s="605"/>
      <c r="V476" s="605"/>
      <c r="W476" s="605"/>
    </row>
    <row r="477">
      <c r="L477" s="416"/>
      <c r="M477" s="293"/>
      <c r="P477" s="416"/>
      <c r="Q477" s="416"/>
      <c r="R477" s="416"/>
      <c r="S477" s="604"/>
      <c r="T477" s="605"/>
      <c r="U477" s="605"/>
      <c r="V477" s="605"/>
      <c r="W477" s="605"/>
    </row>
    <row r="478">
      <c r="L478" s="416"/>
      <c r="M478" s="293"/>
      <c r="P478" s="416"/>
      <c r="Q478" s="416"/>
      <c r="R478" s="416"/>
      <c r="S478" s="604"/>
      <c r="T478" s="605"/>
      <c r="U478" s="605"/>
      <c r="V478" s="605"/>
      <c r="W478" s="605"/>
    </row>
    <row r="479">
      <c r="L479" s="416"/>
      <c r="M479" s="293"/>
      <c r="P479" s="416"/>
      <c r="Q479" s="416"/>
      <c r="R479" s="416"/>
      <c r="S479" s="604"/>
      <c r="T479" s="605"/>
      <c r="U479" s="605"/>
      <c r="V479" s="605"/>
      <c r="W479" s="605"/>
    </row>
    <row r="480">
      <c r="L480" s="416"/>
      <c r="M480" s="293"/>
      <c r="P480" s="416"/>
      <c r="Q480" s="416"/>
      <c r="R480" s="416"/>
      <c r="S480" s="604"/>
      <c r="T480" s="605"/>
      <c r="U480" s="605"/>
      <c r="V480" s="605"/>
      <c r="W480" s="605"/>
    </row>
    <row r="481">
      <c r="L481" s="416"/>
      <c r="M481" s="293"/>
      <c r="P481" s="416"/>
      <c r="Q481" s="416"/>
      <c r="R481" s="416"/>
      <c r="S481" s="604"/>
      <c r="T481" s="605"/>
      <c r="U481" s="605"/>
      <c r="V481" s="605"/>
      <c r="W481" s="605"/>
    </row>
    <row r="482">
      <c r="L482" s="416"/>
      <c r="M482" s="293"/>
      <c r="P482" s="416"/>
      <c r="Q482" s="416"/>
      <c r="R482" s="416"/>
      <c r="S482" s="604"/>
      <c r="T482" s="605"/>
      <c r="U482" s="605"/>
      <c r="V482" s="605"/>
      <c r="W482" s="605"/>
    </row>
    <row r="483">
      <c r="L483" s="416"/>
      <c r="M483" s="293"/>
      <c r="P483" s="416"/>
      <c r="Q483" s="416"/>
      <c r="R483" s="416"/>
      <c r="S483" s="604"/>
      <c r="T483" s="605"/>
      <c r="U483" s="605"/>
      <c r="V483" s="605"/>
      <c r="W483" s="605"/>
    </row>
    <row r="484">
      <c r="L484" s="416"/>
      <c r="M484" s="293"/>
      <c r="P484" s="416"/>
      <c r="Q484" s="416"/>
      <c r="R484" s="416"/>
      <c r="S484" s="604"/>
      <c r="T484" s="605"/>
      <c r="U484" s="605"/>
      <c r="V484" s="605"/>
      <c r="W484" s="605"/>
    </row>
    <row r="485">
      <c r="L485" s="416"/>
      <c r="M485" s="293"/>
      <c r="P485" s="416"/>
      <c r="Q485" s="416"/>
      <c r="R485" s="416"/>
      <c r="S485" s="604"/>
      <c r="T485" s="605"/>
      <c r="U485" s="605"/>
      <c r="V485" s="605"/>
      <c r="W485" s="605"/>
    </row>
    <row r="486">
      <c r="L486" s="416"/>
      <c r="M486" s="293"/>
      <c r="P486" s="416"/>
      <c r="Q486" s="416"/>
      <c r="R486" s="416"/>
      <c r="S486" s="604"/>
      <c r="T486" s="605"/>
      <c r="U486" s="605"/>
      <c r="V486" s="605"/>
      <c r="W486" s="605"/>
    </row>
    <row r="487">
      <c r="L487" s="416"/>
      <c r="M487" s="293"/>
      <c r="P487" s="416"/>
      <c r="Q487" s="416"/>
      <c r="R487" s="416"/>
      <c r="S487" s="604"/>
      <c r="T487" s="605"/>
      <c r="U487" s="605"/>
      <c r="V487" s="605"/>
      <c r="W487" s="605"/>
    </row>
    <row r="488">
      <c r="L488" s="416"/>
      <c r="M488" s="293"/>
      <c r="P488" s="416"/>
      <c r="Q488" s="416"/>
      <c r="R488" s="416"/>
      <c r="S488" s="604"/>
      <c r="T488" s="605"/>
      <c r="U488" s="605"/>
      <c r="V488" s="605"/>
      <c r="W488" s="605"/>
    </row>
    <row r="489">
      <c r="L489" s="416"/>
      <c r="M489" s="293"/>
      <c r="P489" s="416"/>
      <c r="Q489" s="416"/>
      <c r="R489" s="416"/>
      <c r="S489" s="604"/>
      <c r="T489" s="605"/>
      <c r="U489" s="605"/>
      <c r="V489" s="605"/>
      <c r="W489" s="605"/>
    </row>
    <row r="490">
      <c r="L490" s="416"/>
      <c r="M490" s="293"/>
      <c r="P490" s="416"/>
      <c r="Q490" s="416"/>
      <c r="R490" s="416"/>
      <c r="S490" s="604"/>
      <c r="T490" s="605"/>
      <c r="U490" s="605"/>
      <c r="V490" s="605"/>
      <c r="W490" s="605"/>
    </row>
    <row r="491">
      <c r="L491" s="416"/>
      <c r="M491" s="293"/>
      <c r="P491" s="416"/>
      <c r="Q491" s="416"/>
      <c r="R491" s="416"/>
      <c r="S491" s="604"/>
      <c r="T491" s="605"/>
      <c r="U491" s="605"/>
      <c r="V491" s="605"/>
      <c r="W491" s="605"/>
    </row>
    <row r="492">
      <c r="L492" s="416"/>
      <c r="M492" s="293"/>
      <c r="P492" s="416"/>
      <c r="Q492" s="416"/>
      <c r="R492" s="416"/>
      <c r="S492" s="604"/>
      <c r="T492" s="605"/>
      <c r="U492" s="605"/>
      <c r="V492" s="605"/>
      <c r="W492" s="605"/>
    </row>
    <row r="493">
      <c r="L493" s="416"/>
      <c r="M493" s="293"/>
      <c r="P493" s="416"/>
      <c r="Q493" s="416"/>
      <c r="R493" s="416"/>
      <c r="S493" s="604"/>
      <c r="T493" s="605"/>
      <c r="U493" s="605"/>
      <c r="V493" s="605"/>
      <c r="W493" s="605"/>
    </row>
    <row r="494">
      <c r="L494" s="416"/>
      <c r="M494" s="293"/>
      <c r="P494" s="416"/>
      <c r="Q494" s="416"/>
      <c r="R494" s="416"/>
      <c r="S494" s="604"/>
      <c r="T494" s="605"/>
      <c r="U494" s="605"/>
      <c r="V494" s="605"/>
      <c r="W494" s="605"/>
    </row>
    <row r="495">
      <c r="L495" s="416"/>
      <c r="M495" s="293"/>
      <c r="P495" s="416"/>
      <c r="Q495" s="416"/>
      <c r="R495" s="416"/>
      <c r="S495" s="604"/>
      <c r="T495" s="605"/>
      <c r="U495" s="605"/>
      <c r="V495" s="605"/>
      <c r="W495" s="605"/>
    </row>
    <row r="496">
      <c r="L496" s="416"/>
      <c r="M496" s="293"/>
      <c r="P496" s="416"/>
      <c r="Q496" s="416"/>
      <c r="R496" s="416"/>
      <c r="S496" s="604"/>
      <c r="T496" s="605"/>
      <c r="U496" s="605"/>
      <c r="V496" s="605"/>
      <c r="W496" s="605"/>
    </row>
    <row r="497">
      <c r="L497" s="416"/>
      <c r="M497" s="293"/>
      <c r="P497" s="416"/>
      <c r="Q497" s="416"/>
      <c r="R497" s="416"/>
      <c r="S497" s="604"/>
      <c r="T497" s="605"/>
      <c r="U497" s="605"/>
      <c r="V497" s="605"/>
      <c r="W497" s="605"/>
    </row>
    <row r="498">
      <c r="L498" s="416"/>
      <c r="M498" s="293"/>
      <c r="P498" s="416"/>
      <c r="Q498" s="416"/>
      <c r="R498" s="416"/>
      <c r="S498" s="604"/>
      <c r="T498" s="605"/>
      <c r="U498" s="605"/>
      <c r="V498" s="605"/>
      <c r="W498" s="605"/>
    </row>
    <row r="499">
      <c r="L499" s="416"/>
      <c r="M499" s="293"/>
      <c r="P499" s="416"/>
      <c r="Q499" s="416"/>
      <c r="R499" s="416"/>
      <c r="S499" s="604"/>
      <c r="T499" s="605"/>
      <c r="U499" s="605"/>
      <c r="V499" s="605"/>
      <c r="W499" s="605"/>
    </row>
    <row r="500">
      <c r="L500" s="416"/>
      <c r="M500" s="293"/>
      <c r="P500" s="416"/>
      <c r="Q500" s="416"/>
      <c r="R500" s="416"/>
      <c r="S500" s="604"/>
      <c r="T500" s="605"/>
      <c r="U500" s="605"/>
      <c r="V500" s="605"/>
      <c r="W500" s="605"/>
    </row>
    <row r="501">
      <c r="L501" s="416"/>
      <c r="M501" s="293"/>
      <c r="P501" s="416"/>
      <c r="Q501" s="416"/>
      <c r="R501" s="416"/>
      <c r="S501" s="604"/>
      <c r="T501" s="605"/>
      <c r="U501" s="605"/>
      <c r="V501" s="605"/>
      <c r="W501" s="605"/>
    </row>
    <row r="502">
      <c r="L502" s="416"/>
      <c r="M502" s="293"/>
      <c r="P502" s="416"/>
      <c r="Q502" s="416"/>
      <c r="R502" s="416"/>
      <c r="S502" s="604"/>
      <c r="T502" s="605"/>
      <c r="U502" s="605"/>
      <c r="V502" s="605"/>
      <c r="W502" s="605"/>
    </row>
    <row r="503">
      <c r="L503" s="416"/>
      <c r="M503" s="293"/>
      <c r="P503" s="416"/>
      <c r="Q503" s="416"/>
      <c r="R503" s="416"/>
      <c r="S503" s="604"/>
      <c r="T503" s="605"/>
      <c r="U503" s="605"/>
      <c r="V503" s="605"/>
      <c r="W503" s="605"/>
    </row>
    <row r="504">
      <c r="L504" s="416"/>
      <c r="M504" s="293"/>
      <c r="P504" s="416"/>
      <c r="Q504" s="416"/>
      <c r="R504" s="416"/>
      <c r="S504" s="604"/>
      <c r="T504" s="605"/>
      <c r="U504" s="605"/>
      <c r="V504" s="605"/>
      <c r="W504" s="605"/>
    </row>
    <row r="505">
      <c r="L505" s="416"/>
      <c r="M505" s="293"/>
      <c r="P505" s="416"/>
      <c r="Q505" s="416"/>
      <c r="R505" s="416"/>
      <c r="S505" s="604"/>
      <c r="T505" s="605"/>
      <c r="U505" s="605"/>
      <c r="V505" s="605"/>
      <c r="W505" s="605"/>
    </row>
    <row r="506">
      <c r="L506" s="416"/>
      <c r="M506" s="293"/>
      <c r="P506" s="416"/>
      <c r="Q506" s="416"/>
      <c r="R506" s="416"/>
      <c r="S506" s="604"/>
      <c r="T506" s="605"/>
      <c r="U506" s="605"/>
      <c r="V506" s="605"/>
      <c r="W506" s="605"/>
    </row>
    <row r="507">
      <c r="L507" s="416"/>
      <c r="M507" s="293"/>
      <c r="P507" s="416"/>
      <c r="Q507" s="416"/>
      <c r="R507" s="416"/>
      <c r="S507" s="604"/>
      <c r="T507" s="605"/>
      <c r="U507" s="605"/>
      <c r="V507" s="605"/>
      <c r="W507" s="605"/>
    </row>
    <row r="508">
      <c r="L508" s="416"/>
      <c r="M508" s="293"/>
      <c r="P508" s="416"/>
      <c r="Q508" s="416"/>
      <c r="R508" s="416"/>
      <c r="S508" s="604"/>
      <c r="T508" s="605"/>
      <c r="U508" s="605"/>
      <c r="V508" s="605"/>
      <c r="W508" s="605"/>
    </row>
    <row r="509">
      <c r="L509" s="416"/>
      <c r="M509" s="293"/>
      <c r="P509" s="416"/>
      <c r="Q509" s="416"/>
      <c r="R509" s="416"/>
      <c r="S509" s="604"/>
      <c r="T509" s="605"/>
      <c r="U509" s="605"/>
      <c r="V509" s="605"/>
      <c r="W509" s="605"/>
    </row>
    <row r="510">
      <c r="L510" s="416"/>
      <c r="M510" s="293"/>
      <c r="P510" s="416"/>
      <c r="Q510" s="416"/>
      <c r="R510" s="416"/>
      <c r="S510" s="604"/>
      <c r="T510" s="605"/>
      <c r="U510" s="605"/>
      <c r="V510" s="605"/>
      <c r="W510" s="605"/>
    </row>
    <row r="511">
      <c r="L511" s="416"/>
      <c r="M511" s="293"/>
      <c r="P511" s="416"/>
      <c r="Q511" s="416"/>
      <c r="R511" s="416"/>
      <c r="S511" s="604"/>
      <c r="T511" s="605"/>
      <c r="U511" s="605"/>
      <c r="V511" s="605"/>
      <c r="W511" s="605"/>
    </row>
    <row r="512">
      <c r="L512" s="416"/>
      <c r="M512" s="293"/>
      <c r="P512" s="416"/>
      <c r="Q512" s="416"/>
      <c r="R512" s="416"/>
      <c r="S512" s="604"/>
      <c r="T512" s="605"/>
      <c r="U512" s="605"/>
      <c r="V512" s="605"/>
      <c r="W512" s="605"/>
    </row>
    <row r="513">
      <c r="L513" s="416"/>
      <c r="M513" s="293"/>
      <c r="P513" s="416"/>
      <c r="Q513" s="416"/>
      <c r="R513" s="416"/>
      <c r="S513" s="604"/>
      <c r="T513" s="605"/>
      <c r="U513" s="605"/>
      <c r="V513" s="605"/>
      <c r="W513" s="605"/>
    </row>
    <row r="514">
      <c r="L514" s="416"/>
      <c r="M514" s="293"/>
      <c r="P514" s="416"/>
      <c r="Q514" s="416"/>
      <c r="R514" s="416"/>
      <c r="S514" s="604"/>
      <c r="T514" s="605"/>
      <c r="U514" s="605"/>
      <c r="V514" s="605"/>
      <c r="W514" s="605"/>
    </row>
    <row r="515">
      <c r="L515" s="416"/>
      <c r="M515" s="293"/>
      <c r="P515" s="416"/>
      <c r="Q515" s="416"/>
      <c r="R515" s="416"/>
      <c r="S515" s="604"/>
      <c r="T515" s="605"/>
      <c r="U515" s="605"/>
      <c r="V515" s="605"/>
      <c r="W515" s="605"/>
    </row>
    <row r="516">
      <c r="L516" s="416"/>
      <c r="M516" s="293"/>
      <c r="P516" s="416"/>
      <c r="Q516" s="416"/>
      <c r="R516" s="416"/>
      <c r="S516" s="604"/>
      <c r="T516" s="605"/>
      <c r="U516" s="605"/>
      <c r="V516" s="605"/>
      <c r="W516" s="605"/>
    </row>
    <row r="517">
      <c r="L517" s="416"/>
      <c r="M517" s="293"/>
      <c r="P517" s="416"/>
      <c r="Q517" s="416"/>
      <c r="R517" s="416"/>
      <c r="S517" s="604"/>
      <c r="T517" s="605"/>
      <c r="U517" s="605"/>
      <c r="V517" s="605"/>
      <c r="W517" s="605"/>
    </row>
    <row r="518">
      <c r="L518" s="416"/>
      <c r="M518" s="293"/>
      <c r="P518" s="416"/>
      <c r="Q518" s="416"/>
      <c r="R518" s="416"/>
      <c r="S518" s="604"/>
      <c r="T518" s="605"/>
      <c r="U518" s="605"/>
      <c r="V518" s="605"/>
      <c r="W518" s="605"/>
    </row>
    <row r="519">
      <c r="L519" s="416"/>
      <c r="M519" s="293"/>
      <c r="P519" s="416"/>
      <c r="Q519" s="416"/>
      <c r="R519" s="416"/>
      <c r="S519" s="604"/>
      <c r="T519" s="605"/>
      <c r="U519" s="605"/>
      <c r="V519" s="605"/>
      <c r="W519" s="605"/>
    </row>
    <row r="520">
      <c r="L520" s="416"/>
      <c r="M520" s="293"/>
      <c r="P520" s="416"/>
      <c r="Q520" s="416"/>
      <c r="R520" s="416"/>
      <c r="S520" s="604"/>
      <c r="T520" s="605"/>
      <c r="U520" s="605"/>
      <c r="V520" s="605"/>
      <c r="W520" s="605"/>
    </row>
    <row r="521">
      <c r="L521" s="416"/>
      <c r="M521" s="293"/>
      <c r="P521" s="416"/>
      <c r="Q521" s="416"/>
      <c r="R521" s="416"/>
      <c r="S521" s="604"/>
      <c r="T521" s="605"/>
      <c r="U521" s="605"/>
      <c r="V521" s="605"/>
      <c r="W521" s="605"/>
    </row>
    <row r="522">
      <c r="L522" s="416"/>
      <c r="M522" s="293"/>
      <c r="P522" s="416"/>
      <c r="Q522" s="416"/>
      <c r="R522" s="416"/>
      <c r="S522" s="604"/>
      <c r="T522" s="605"/>
      <c r="U522" s="605"/>
      <c r="V522" s="605"/>
      <c r="W522" s="605"/>
    </row>
    <row r="523">
      <c r="L523" s="416"/>
      <c r="M523" s="293"/>
      <c r="P523" s="416"/>
      <c r="Q523" s="416"/>
      <c r="R523" s="416"/>
      <c r="S523" s="604"/>
      <c r="T523" s="605"/>
      <c r="U523" s="605"/>
      <c r="V523" s="605"/>
      <c r="W523" s="605"/>
    </row>
    <row r="524">
      <c r="L524" s="416"/>
      <c r="M524" s="293"/>
      <c r="P524" s="416"/>
      <c r="Q524" s="416"/>
      <c r="R524" s="416"/>
      <c r="S524" s="604"/>
      <c r="T524" s="605"/>
      <c r="U524" s="605"/>
      <c r="V524" s="605"/>
      <c r="W524" s="605"/>
    </row>
    <row r="525">
      <c r="L525" s="416"/>
      <c r="M525" s="293"/>
      <c r="P525" s="416"/>
      <c r="Q525" s="416"/>
      <c r="R525" s="416"/>
      <c r="S525" s="604"/>
      <c r="T525" s="605"/>
      <c r="U525" s="605"/>
      <c r="V525" s="605"/>
      <c r="W525" s="605"/>
    </row>
    <row r="526">
      <c r="L526" s="416"/>
      <c r="M526" s="293"/>
      <c r="P526" s="416"/>
      <c r="Q526" s="416"/>
      <c r="R526" s="416"/>
      <c r="S526" s="604"/>
      <c r="T526" s="605"/>
      <c r="U526" s="605"/>
      <c r="V526" s="605"/>
      <c r="W526" s="605"/>
    </row>
    <row r="527">
      <c r="L527" s="416"/>
      <c r="M527" s="293"/>
      <c r="P527" s="416"/>
      <c r="Q527" s="416"/>
      <c r="R527" s="416"/>
      <c r="S527" s="604"/>
      <c r="T527" s="605"/>
      <c r="U527" s="605"/>
      <c r="V527" s="605"/>
      <c r="W527" s="605"/>
    </row>
    <row r="528">
      <c r="L528" s="416"/>
      <c r="M528" s="293"/>
      <c r="P528" s="416"/>
      <c r="Q528" s="416"/>
      <c r="R528" s="416"/>
      <c r="S528" s="604"/>
      <c r="T528" s="605"/>
      <c r="U528" s="605"/>
      <c r="V528" s="605"/>
      <c r="W528" s="605"/>
    </row>
    <row r="529">
      <c r="L529" s="416"/>
      <c r="M529" s="293"/>
      <c r="P529" s="416"/>
      <c r="Q529" s="416"/>
      <c r="R529" s="416"/>
      <c r="S529" s="604"/>
      <c r="T529" s="605"/>
      <c r="U529" s="605"/>
      <c r="V529" s="605"/>
      <c r="W529" s="605"/>
    </row>
    <row r="530">
      <c r="L530" s="416"/>
      <c r="M530" s="293"/>
      <c r="P530" s="416"/>
      <c r="Q530" s="416"/>
      <c r="R530" s="416"/>
      <c r="S530" s="604"/>
      <c r="T530" s="605"/>
      <c r="U530" s="605"/>
      <c r="V530" s="605"/>
      <c r="W530" s="605"/>
    </row>
    <row r="531">
      <c r="L531" s="416"/>
      <c r="M531" s="293"/>
      <c r="P531" s="416"/>
      <c r="Q531" s="416"/>
      <c r="R531" s="416"/>
      <c r="S531" s="604"/>
      <c r="T531" s="605"/>
      <c r="U531" s="605"/>
      <c r="V531" s="605"/>
      <c r="W531" s="605"/>
    </row>
    <row r="532">
      <c r="L532" s="416"/>
      <c r="M532" s="293"/>
      <c r="P532" s="416"/>
      <c r="Q532" s="416"/>
      <c r="R532" s="416"/>
      <c r="S532" s="604"/>
      <c r="T532" s="605"/>
      <c r="U532" s="605"/>
      <c r="V532" s="605"/>
      <c r="W532" s="605"/>
    </row>
    <row r="533">
      <c r="L533" s="416"/>
      <c r="M533" s="293"/>
      <c r="P533" s="416"/>
      <c r="Q533" s="416"/>
      <c r="R533" s="416"/>
      <c r="S533" s="604"/>
      <c r="T533" s="605"/>
      <c r="U533" s="605"/>
      <c r="V533" s="605"/>
      <c r="W533" s="605"/>
    </row>
    <row r="534">
      <c r="L534" s="416"/>
      <c r="M534" s="293"/>
      <c r="P534" s="416"/>
      <c r="Q534" s="416"/>
      <c r="R534" s="416"/>
      <c r="S534" s="604"/>
      <c r="T534" s="605"/>
      <c r="U534" s="605"/>
      <c r="V534" s="605"/>
      <c r="W534" s="605"/>
    </row>
    <row r="535">
      <c r="L535" s="416"/>
      <c r="M535" s="293"/>
      <c r="P535" s="416"/>
      <c r="Q535" s="416"/>
      <c r="R535" s="416"/>
      <c r="S535" s="604"/>
      <c r="T535" s="605"/>
      <c r="U535" s="605"/>
      <c r="V535" s="605"/>
      <c r="W535" s="605"/>
    </row>
    <row r="536">
      <c r="L536" s="416"/>
      <c r="M536" s="293"/>
      <c r="P536" s="416"/>
      <c r="Q536" s="416"/>
      <c r="R536" s="416"/>
      <c r="S536" s="604"/>
      <c r="T536" s="605"/>
      <c r="U536" s="605"/>
      <c r="V536" s="605"/>
      <c r="W536" s="605"/>
    </row>
    <row r="537">
      <c r="L537" s="416"/>
      <c r="M537" s="293"/>
      <c r="P537" s="416"/>
      <c r="Q537" s="416"/>
      <c r="R537" s="416"/>
      <c r="S537" s="604"/>
      <c r="T537" s="605"/>
      <c r="U537" s="605"/>
      <c r="V537" s="605"/>
      <c r="W537" s="605"/>
    </row>
    <row r="538">
      <c r="L538" s="416"/>
      <c r="M538" s="293"/>
      <c r="P538" s="416"/>
      <c r="Q538" s="416"/>
      <c r="R538" s="416"/>
      <c r="S538" s="604"/>
      <c r="T538" s="605"/>
      <c r="U538" s="605"/>
      <c r="V538" s="605"/>
      <c r="W538" s="605"/>
    </row>
    <row r="539">
      <c r="L539" s="416"/>
      <c r="M539" s="293"/>
      <c r="P539" s="416"/>
      <c r="Q539" s="416"/>
      <c r="R539" s="416"/>
      <c r="S539" s="604"/>
      <c r="T539" s="605"/>
      <c r="U539" s="605"/>
      <c r="V539" s="605"/>
      <c r="W539" s="605"/>
    </row>
    <row r="540">
      <c r="L540" s="416"/>
      <c r="M540" s="293"/>
      <c r="P540" s="416"/>
      <c r="Q540" s="416"/>
      <c r="R540" s="416"/>
      <c r="S540" s="604"/>
      <c r="T540" s="605"/>
      <c r="U540" s="605"/>
      <c r="V540" s="605"/>
      <c r="W540" s="605"/>
    </row>
    <row r="541">
      <c r="L541" s="416"/>
      <c r="M541" s="293"/>
      <c r="P541" s="416"/>
      <c r="Q541" s="416"/>
      <c r="R541" s="416"/>
      <c r="S541" s="604"/>
      <c r="T541" s="605"/>
      <c r="U541" s="605"/>
      <c r="V541" s="605"/>
      <c r="W541" s="605"/>
    </row>
    <row r="542">
      <c r="L542" s="416"/>
      <c r="M542" s="293"/>
      <c r="P542" s="416"/>
      <c r="Q542" s="416"/>
      <c r="R542" s="416"/>
      <c r="S542" s="604"/>
      <c r="T542" s="605"/>
      <c r="U542" s="605"/>
      <c r="V542" s="605"/>
      <c r="W542" s="605"/>
    </row>
    <row r="543">
      <c r="L543" s="416"/>
      <c r="M543" s="293"/>
      <c r="P543" s="416"/>
      <c r="Q543" s="416"/>
      <c r="R543" s="416"/>
      <c r="S543" s="604"/>
      <c r="T543" s="605"/>
      <c r="U543" s="605"/>
      <c r="V543" s="605"/>
      <c r="W543" s="605"/>
    </row>
    <row r="544">
      <c r="L544" s="416"/>
      <c r="M544" s="293"/>
      <c r="P544" s="416"/>
      <c r="Q544" s="416"/>
      <c r="R544" s="416"/>
      <c r="S544" s="604"/>
      <c r="T544" s="605"/>
      <c r="U544" s="605"/>
      <c r="V544" s="605"/>
      <c r="W544" s="605"/>
    </row>
    <row r="545">
      <c r="L545" s="416"/>
      <c r="M545" s="293"/>
      <c r="P545" s="416"/>
      <c r="Q545" s="416"/>
      <c r="R545" s="416"/>
      <c r="S545" s="604"/>
      <c r="T545" s="605"/>
      <c r="U545" s="605"/>
      <c r="V545" s="605"/>
      <c r="W545" s="605"/>
    </row>
    <row r="546">
      <c r="L546" s="416"/>
      <c r="M546" s="293"/>
      <c r="P546" s="416"/>
      <c r="Q546" s="416"/>
      <c r="R546" s="416"/>
      <c r="S546" s="604"/>
      <c r="T546" s="605"/>
      <c r="U546" s="605"/>
      <c r="V546" s="605"/>
      <c r="W546" s="605"/>
    </row>
    <row r="547">
      <c r="L547" s="416"/>
      <c r="M547" s="293"/>
      <c r="P547" s="416"/>
      <c r="Q547" s="416"/>
      <c r="R547" s="416"/>
      <c r="S547" s="604"/>
      <c r="T547" s="605"/>
      <c r="U547" s="605"/>
      <c r="V547" s="605"/>
      <c r="W547" s="605"/>
    </row>
    <row r="548">
      <c r="L548" s="416"/>
      <c r="M548" s="293"/>
      <c r="P548" s="416"/>
      <c r="Q548" s="416"/>
      <c r="R548" s="416"/>
      <c r="S548" s="604"/>
      <c r="T548" s="605"/>
      <c r="U548" s="605"/>
      <c r="V548" s="605"/>
      <c r="W548" s="605"/>
    </row>
    <row r="549">
      <c r="L549" s="416"/>
      <c r="M549" s="293"/>
      <c r="P549" s="416"/>
      <c r="Q549" s="416"/>
      <c r="R549" s="416"/>
      <c r="S549" s="604"/>
      <c r="T549" s="605"/>
      <c r="U549" s="605"/>
      <c r="V549" s="605"/>
      <c r="W549" s="605"/>
    </row>
    <row r="550">
      <c r="L550" s="416"/>
      <c r="M550" s="293"/>
      <c r="P550" s="416"/>
      <c r="Q550" s="416"/>
      <c r="R550" s="416"/>
      <c r="S550" s="604"/>
      <c r="T550" s="605"/>
      <c r="U550" s="605"/>
      <c r="V550" s="605"/>
      <c r="W550" s="605"/>
    </row>
    <row r="551">
      <c r="L551" s="416"/>
      <c r="M551" s="293"/>
      <c r="P551" s="416"/>
      <c r="Q551" s="416"/>
      <c r="R551" s="416"/>
      <c r="S551" s="604"/>
      <c r="T551" s="605"/>
      <c r="U551" s="605"/>
      <c r="V551" s="605"/>
      <c r="W551" s="605"/>
    </row>
    <row r="552">
      <c r="L552" s="416"/>
      <c r="M552" s="293"/>
      <c r="P552" s="416"/>
      <c r="Q552" s="416"/>
      <c r="R552" s="416"/>
      <c r="S552" s="604"/>
      <c r="T552" s="605"/>
      <c r="U552" s="605"/>
      <c r="V552" s="605"/>
      <c r="W552" s="605"/>
    </row>
    <row r="553">
      <c r="L553" s="416"/>
      <c r="M553" s="293"/>
      <c r="P553" s="416"/>
      <c r="Q553" s="416"/>
      <c r="R553" s="416"/>
      <c r="S553" s="604"/>
      <c r="T553" s="605"/>
      <c r="U553" s="605"/>
      <c r="V553" s="605"/>
      <c r="W553" s="605"/>
    </row>
    <row r="554">
      <c r="L554" s="416"/>
      <c r="M554" s="293"/>
      <c r="P554" s="416"/>
      <c r="Q554" s="416"/>
      <c r="R554" s="416"/>
      <c r="S554" s="604"/>
      <c r="T554" s="605"/>
      <c r="U554" s="605"/>
      <c r="V554" s="605"/>
      <c r="W554" s="605"/>
    </row>
    <row r="555">
      <c r="L555" s="416"/>
      <c r="M555" s="293"/>
      <c r="P555" s="416"/>
      <c r="Q555" s="416"/>
      <c r="R555" s="416"/>
      <c r="S555" s="604"/>
      <c r="T555" s="605"/>
      <c r="U555" s="605"/>
      <c r="V555" s="605"/>
      <c r="W555" s="605"/>
    </row>
    <row r="556">
      <c r="L556" s="416"/>
      <c r="M556" s="293"/>
      <c r="P556" s="416"/>
      <c r="Q556" s="416"/>
      <c r="R556" s="416"/>
      <c r="S556" s="604"/>
      <c r="T556" s="605"/>
      <c r="U556" s="605"/>
      <c r="V556" s="605"/>
      <c r="W556" s="605"/>
    </row>
    <row r="557">
      <c r="L557" s="416"/>
      <c r="M557" s="293"/>
      <c r="P557" s="416"/>
      <c r="Q557" s="416"/>
      <c r="R557" s="416"/>
      <c r="S557" s="604"/>
      <c r="T557" s="605"/>
      <c r="U557" s="605"/>
      <c r="V557" s="605"/>
      <c r="W557" s="605"/>
    </row>
    <row r="558">
      <c r="L558" s="416"/>
      <c r="M558" s="293"/>
      <c r="P558" s="416"/>
      <c r="Q558" s="416"/>
      <c r="R558" s="416"/>
      <c r="S558" s="604"/>
      <c r="T558" s="605"/>
      <c r="U558" s="605"/>
      <c r="V558" s="605"/>
      <c r="W558" s="605"/>
    </row>
    <row r="559">
      <c r="L559" s="416"/>
      <c r="M559" s="293"/>
      <c r="P559" s="416"/>
      <c r="Q559" s="416"/>
      <c r="R559" s="416"/>
      <c r="S559" s="604"/>
      <c r="T559" s="605"/>
      <c r="U559" s="605"/>
      <c r="V559" s="605"/>
      <c r="W559" s="605"/>
    </row>
    <row r="560">
      <c r="L560" s="416"/>
      <c r="M560" s="293"/>
      <c r="P560" s="416"/>
      <c r="Q560" s="416"/>
      <c r="R560" s="416"/>
      <c r="S560" s="604"/>
      <c r="T560" s="605"/>
      <c r="U560" s="605"/>
      <c r="V560" s="605"/>
      <c r="W560" s="605"/>
    </row>
    <row r="561">
      <c r="L561" s="416"/>
      <c r="M561" s="293"/>
      <c r="P561" s="416"/>
      <c r="Q561" s="416"/>
      <c r="R561" s="416"/>
      <c r="S561" s="604"/>
      <c r="T561" s="605"/>
      <c r="U561" s="605"/>
      <c r="V561" s="605"/>
      <c r="W561" s="605"/>
    </row>
    <row r="562">
      <c r="L562" s="416"/>
      <c r="M562" s="293"/>
      <c r="P562" s="416"/>
      <c r="Q562" s="416"/>
      <c r="R562" s="416"/>
      <c r="S562" s="604"/>
      <c r="T562" s="605"/>
      <c r="U562" s="605"/>
      <c r="V562" s="605"/>
      <c r="W562" s="605"/>
    </row>
    <row r="563">
      <c r="L563" s="416"/>
      <c r="M563" s="293"/>
      <c r="P563" s="416"/>
      <c r="Q563" s="416"/>
      <c r="R563" s="416"/>
      <c r="S563" s="604"/>
      <c r="T563" s="605"/>
      <c r="U563" s="605"/>
      <c r="V563" s="605"/>
      <c r="W563" s="605"/>
    </row>
    <row r="564">
      <c r="L564" s="416"/>
      <c r="M564" s="293"/>
      <c r="P564" s="416"/>
      <c r="Q564" s="416"/>
      <c r="R564" s="416"/>
      <c r="S564" s="604"/>
      <c r="T564" s="605"/>
      <c r="U564" s="605"/>
      <c r="V564" s="605"/>
      <c r="W564" s="605"/>
    </row>
    <row r="565">
      <c r="L565" s="416"/>
      <c r="M565" s="293"/>
      <c r="P565" s="416"/>
      <c r="Q565" s="416"/>
      <c r="R565" s="416"/>
      <c r="S565" s="604"/>
      <c r="T565" s="605"/>
      <c r="U565" s="605"/>
      <c r="V565" s="605"/>
      <c r="W565" s="605"/>
    </row>
    <row r="566">
      <c r="L566" s="416"/>
      <c r="M566" s="293"/>
      <c r="P566" s="416"/>
      <c r="Q566" s="416"/>
      <c r="R566" s="416"/>
      <c r="S566" s="604"/>
      <c r="T566" s="605"/>
      <c r="U566" s="605"/>
      <c r="V566" s="605"/>
      <c r="W566" s="605"/>
    </row>
    <row r="567">
      <c r="L567" s="416"/>
      <c r="M567" s="293"/>
      <c r="P567" s="416"/>
      <c r="Q567" s="416"/>
      <c r="R567" s="416"/>
      <c r="S567" s="604"/>
      <c r="T567" s="605"/>
      <c r="U567" s="605"/>
      <c r="V567" s="605"/>
      <c r="W567" s="605"/>
    </row>
    <row r="568">
      <c r="L568" s="416"/>
      <c r="M568" s="293"/>
      <c r="P568" s="416"/>
      <c r="Q568" s="416"/>
      <c r="R568" s="416"/>
      <c r="S568" s="604"/>
      <c r="T568" s="605"/>
      <c r="U568" s="605"/>
      <c r="V568" s="605"/>
      <c r="W568" s="605"/>
    </row>
    <row r="569">
      <c r="L569" s="416"/>
      <c r="M569" s="293"/>
      <c r="P569" s="416"/>
      <c r="Q569" s="416"/>
      <c r="R569" s="416"/>
      <c r="S569" s="604"/>
      <c r="T569" s="605"/>
      <c r="U569" s="605"/>
      <c r="V569" s="605"/>
      <c r="W569" s="605"/>
    </row>
    <row r="570">
      <c r="L570" s="416"/>
      <c r="M570" s="293"/>
      <c r="P570" s="416"/>
      <c r="Q570" s="416"/>
      <c r="R570" s="416"/>
      <c r="S570" s="604"/>
      <c r="T570" s="605"/>
      <c r="U570" s="605"/>
      <c r="V570" s="605"/>
      <c r="W570" s="605"/>
    </row>
    <row r="571">
      <c r="L571" s="416"/>
      <c r="M571" s="293"/>
      <c r="P571" s="416"/>
      <c r="Q571" s="416"/>
      <c r="R571" s="416"/>
      <c r="S571" s="604"/>
      <c r="T571" s="605"/>
      <c r="U571" s="605"/>
      <c r="V571" s="605"/>
      <c r="W571" s="605"/>
    </row>
    <row r="572">
      <c r="L572" s="416"/>
      <c r="M572" s="293"/>
      <c r="P572" s="416"/>
      <c r="Q572" s="416"/>
      <c r="R572" s="416"/>
      <c r="S572" s="604"/>
      <c r="T572" s="605"/>
      <c r="U572" s="605"/>
      <c r="V572" s="605"/>
      <c r="W572" s="605"/>
    </row>
    <row r="573">
      <c r="L573" s="416"/>
      <c r="M573" s="293"/>
      <c r="P573" s="416"/>
      <c r="Q573" s="416"/>
      <c r="R573" s="416"/>
      <c r="S573" s="604"/>
      <c r="T573" s="605"/>
      <c r="U573" s="605"/>
      <c r="V573" s="605"/>
      <c r="W573" s="605"/>
    </row>
    <row r="574">
      <c r="L574" s="416"/>
      <c r="M574" s="293"/>
      <c r="P574" s="416"/>
      <c r="Q574" s="416"/>
      <c r="R574" s="416"/>
      <c r="S574" s="604"/>
      <c r="T574" s="605"/>
      <c r="U574" s="605"/>
      <c r="V574" s="605"/>
      <c r="W574" s="605"/>
    </row>
    <row r="575">
      <c r="L575" s="416"/>
      <c r="M575" s="293"/>
      <c r="P575" s="416"/>
      <c r="Q575" s="416"/>
      <c r="R575" s="416"/>
      <c r="S575" s="604"/>
      <c r="T575" s="605"/>
      <c r="U575" s="605"/>
      <c r="V575" s="605"/>
      <c r="W575" s="605"/>
    </row>
    <row r="576">
      <c r="L576" s="416"/>
      <c r="M576" s="293"/>
      <c r="P576" s="416"/>
      <c r="Q576" s="416"/>
      <c r="R576" s="416"/>
      <c r="S576" s="604"/>
      <c r="T576" s="605"/>
      <c r="U576" s="605"/>
      <c r="V576" s="605"/>
      <c r="W576" s="605"/>
    </row>
    <row r="577">
      <c r="L577" s="416"/>
      <c r="M577" s="293"/>
      <c r="P577" s="416"/>
      <c r="Q577" s="416"/>
      <c r="R577" s="416"/>
      <c r="S577" s="604"/>
      <c r="T577" s="605"/>
      <c r="U577" s="605"/>
      <c r="V577" s="605"/>
      <c r="W577" s="605"/>
    </row>
    <row r="578">
      <c r="L578" s="416"/>
      <c r="M578" s="293"/>
      <c r="P578" s="416"/>
      <c r="Q578" s="416"/>
      <c r="R578" s="416"/>
      <c r="S578" s="604"/>
      <c r="T578" s="605"/>
      <c r="U578" s="605"/>
      <c r="V578" s="605"/>
      <c r="W578" s="605"/>
    </row>
    <row r="579">
      <c r="L579" s="416"/>
      <c r="M579" s="293"/>
      <c r="P579" s="416"/>
      <c r="Q579" s="416"/>
      <c r="R579" s="416"/>
      <c r="S579" s="604"/>
      <c r="T579" s="605"/>
      <c r="U579" s="605"/>
      <c r="V579" s="605"/>
      <c r="W579" s="605"/>
    </row>
    <row r="580">
      <c r="L580" s="416"/>
      <c r="M580" s="293"/>
      <c r="P580" s="416"/>
      <c r="Q580" s="416"/>
      <c r="R580" s="416"/>
      <c r="S580" s="604"/>
      <c r="T580" s="605"/>
      <c r="U580" s="605"/>
      <c r="V580" s="605"/>
      <c r="W580" s="605"/>
    </row>
    <row r="581">
      <c r="L581" s="416"/>
      <c r="M581" s="293"/>
      <c r="P581" s="416"/>
      <c r="Q581" s="416"/>
      <c r="R581" s="416"/>
      <c r="S581" s="604"/>
      <c r="T581" s="605"/>
      <c r="U581" s="605"/>
      <c r="V581" s="605"/>
      <c r="W581" s="605"/>
    </row>
    <row r="582">
      <c r="L582" s="416"/>
      <c r="M582" s="293"/>
      <c r="P582" s="416"/>
      <c r="Q582" s="416"/>
      <c r="R582" s="416"/>
      <c r="S582" s="604"/>
      <c r="T582" s="605"/>
      <c r="U582" s="605"/>
      <c r="V582" s="605"/>
      <c r="W582" s="605"/>
    </row>
    <row r="583">
      <c r="L583" s="416"/>
      <c r="M583" s="293"/>
      <c r="P583" s="416"/>
      <c r="Q583" s="416"/>
      <c r="R583" s="416"/>
      <c r="S583" s="604"/>
      <c r="T583" s="605"/>
      <c r="U583" s="605"/>
      <c r="V583" s="605"/>
      <c r="W583" s="605"/>
    </row>
    <row r="584">
      <c r="L584" s="416"/>
      <c r="M584" s="293"/>
      <c r="P584" s="416"/>
      <c r="Q584" s="416"/>
      <c r="R584" s="416"/>
      <c r="S584" s="604"/>
      <c r="T584" s="605"/>
      <c r="U584" s="605"/>
      <c r="V584" s="605"/>
      <c r="W584" s="605"/>
    </row>
    <row r="585">
      <c r="L585" s="416"/>
      <c r="M585" s="293"/>
      <c r="P585" s="416"/>
      <c r="Q585" s="416"/>
      <c r="R585" s="416"/>
      <c r="S585" s="604"/>
      <c r="T585" s="605"/>
      <c r="U585" s="605"/>
      <c r="V585" s="605"/>
      <c r="W585" s="605"/>
    </row>
    <row r="586">
      <c r="L586" s="416"/>
      <c r="M586" s="293"/>
      <c r="P586" s="416"/>
      <c r="Q586" s="416"/>
      <c r="R586" s="416"/>
      <c r="S586" s="604"/>
      <c r="T586" s="605"/>
      <c r="U586" s="605"/>
      <c r="V586" s="605"/>
      <c r="W586" s="605"/>
    </row>
    <row r="587">
      <c r="L587" s="416"/>
      <c r="M587" s="293"/>
      <c r="P587" s="416"/>
      <c r="Q587" s="416"/>
      <c r="R587" s="416"/>
      <c r="S587" s="604"/>
      <c r="T587" s="605"/>
      <c r="U587" s="605"/>
      <c r="V587" s="605"/>
      <c r="W587" s="605"/>
    </row>
    <row r="588">
      <c r="L588" s="416"/>
      <c r="M588" s="293"/>
      <c r="P588" s="416"/>
      <c r="Q588" s="416"/>
      <c r="R588" s="416"/>
      <c r="S588" s="604"/>
      <c r="T588" s="605"/>
      <c r="U588" s="605"/>
      <c r="V588" s="605"/>
      <c r="W588" s="605"/>
    </row>
    <row r="589">
      <c r="L589" s="416"/>
      <c r="M589" s="293"/>
      <c r="P589" s="416"/>
      <c r="Q589" s="416"/>
      <c r="R589" s="416"/>
      <c r="S589" s="604"/>
      <c r="T589" s="605"/>
      <c r="U589" s="605"/>
      <c r="V589" s="605"/>
      <c r="W589" s="605"/>
    </row>
    <row r="590">
      <c r="L590" s="416"/>
      <c r="M590" s="293"/>
      <c r="P590" s="416"/>
      <c r="Q590" s="416"/>
      <c r="R590" s="416"/>
      <c r="S590" s="604"/>
      <c r="T590" s="605"/>
      <c r="U590" s="605"/>
      <c r="V590" s="605"/>
      <c r="W590" s="605"/>
    </row>
    <row r="591">
      <c r="L591" s="416"/>
      <c r="M591" s="293"/>
      <c r="P591" s="416"/>
      <c r="Q591" s="416"/>
      <c r="R591" s="416"/>
      <c r="S591" s="604"/>
      <c r="T591" s="605"/>
      <c r="U591" s="605"/>
      <c r="V591" s="605"/>
      <c r="W591" s="605"/>
    </row>
    <row r="592">
      <c r="L592" s="416"/>
      <c r="M592" s="293"/>
      <c r="P592" s="416"/>
      <c r="Q592" s="416"/>
      <c r="R592" s="416"/>
      <c r="S592" s="604"/>
      <c r="T592" s="605"/>
      <c r="U592" s="605"/>
      <c r="V592" s="605"/>
      <c r="W592" s="605"/>
    </row>
    <row r="593">
      <c r="L593" s="416"/>
      <c r="M593" s="293"/>
      <c r="P593" s="416"/>
      <c r="Q593" s="416"/>
      <c r="R593" s="416"/>
      <c r="S593" s="604"/>
      <c r="T593" s="605"/>
      <c r="U593" s="605"/>
      <c r="V593" s="605"/>
      <c r="W593" s="605"/>
    </row>
    <row r="594">
      <c r="L594" s="416"/>
      <c r="M594" s="293"/>
      <c r="P594" s="416"/>
      <c r="Q594" s="416"/>
      <c r="R594" s="416"/>
      <c r="S594" s="604"/>
      <c r="T594" s="605"/>
      <c r="U594" s="605"/>
      <c r="V594" s="605"/>
      <c r="W594" s="605"/>
    </row>
    <row r="595">
      <c r="L595" s="416"/>
      <c r="M595" s="293"/>
      <c r="P595" s="416"/>
      <c r="Q595" s="416"/>
      <c r="R595" s="416"/>
      <c r="S595" s="604"/>
      <c r="T595" s="605"/>
      <c r="U595" s="605"/>
      <c r="V595" s="605"/>
      <c r="W595" s="605"/>
    </row>
    <row r="596">
      <c r="L596" s="416"/>
      <c r="M596" s="293"/>
      <c r="P596" s="416"/>
      <c r="Q596" s="416"/>
      <c r="R596" s="416"/>
      <c r="S596" s="604"/>
      <c r="T596" s="605"/>
      <c r="U596" s="605"/>
      <c r="V596" s="605"/>
      <c r="W596" s="605"/>
    </row>
    <row r="597">
      <c r="L597" s="416"/>
      <c r="M597" s="293"/>
      <c r="P597" s="416"/>
      <c r="Q597" s="416"/>
      <c r="R597" s="416"/>
      <c r="S597" s="604"/>
      <c r="T597" s="605"/>
      <c r="U597" s="605"/>
      <c r="V597" s="605"/>
      <c r="W597" s="605"/>
    </row>
    <row r="598">
      <c r="L598" s="416"/>
      <c r="M598" s="293"/>
      <c r="P598" s="416"/>
      <c r="Q598" s="416"/>
      <c r="R598" s="416"/>
      <c r="S598" s="604"/>
      <c r="T598" s="605"/>
      <c r="U598" s="605"/>
      <c r="V598" s="605"/>
      <c r="W598" s="605"/>
    </row>
    <row r="599">
      <c r="L599" s="416"/>
      <c r="M599" s="293"/>
      <c r="P599" s="416"/>
      <c r="Q599" s="416"/>
      <c r="R599" s="416"/>
      <c r="S599" s="604"/>
      <c r="T599" s="605"/>
      <c r="U599" s="605"/>
      <c r="V599" s="605"/>
      <c r="W599" s="605"/>
    </row>
    <row r="600">
      <c r="L600" s="416"/>
      <c r="M600" s="293"/>
      <c r="P600" s="416"/>
      <c r="Q600" s="416"/>
      <c r="R600" s="416"/>
      <c r="S600" s="604"/>
      <c r="T600" s="605"/>
      <c r="U600" s="605"/>
      <c r="V600" s="605"/>
      <c r="W600" s="605"/>
    </row>
    <row r="601">
      <c r="L601" s="416"/>
      <c r="M601" s="293"/>
      <c r="P601" s="416"/>
      <c r="Q601" s="416"/>
      <c r="R601" s="416"/>
      <c r="S601" s="604"/>
      <c r="T601" s="605"/>
      <c r="U601" s="605"/>
      <c r="V601" s="605"/>
      <c r="W601" s="605"/>
    </row>
    <row r="602">
      <c r="L602" s="416"/>
      <c r="M602" s="293"/>
      <c r="P602" s="416"/>
      <c r="Q602" s="416"/>
      <c r="R602" s="416"/>
      <c r="S602" s="604"/>
      <c r="T602" s="605"/>
      <c r="U602" s="605"/>
      <c r="V602" s="605"/>
      <c r="W602" s="605"/>
    </row>
    <row r="603">
      <c r="L603" s="416"/>
      <c r="M603" s="293"/>
      <c r="P603" s="416"/>
      <c r="Q603" s="416"/>
      <c r="R603" s="416"/>
      <c r="S603" s="604"/>
      <c r="T603" s="605"/>
      <c r="U603" s="605"/>
      <c r="V603" s="605"/>
      <c r="W603" s="605"/>
    </row>
    <row r="604">
      <c r="L604" s="416"/>
      <c r="M604" s="293"/>
      <c r="P604" s="416"/>
      <c r="Q604" s="416"/>
      <c r="R604" s="416"/>
      <c r="S604" s="604"/>
      <c r="T604" s="605"/>
      <c r="U604" s="605"/>
      <c r="V604" s="605"/>
      <c r="W604" s="605"/>
    </row>
    <row r="605">
      <c r="L605" s="416"/>
      <c r="M605" s="293"/>
      <c r="P605" s="416"/>
      <c r="Q605" s="416"/>
      <c r="R605" s="416"/>
      <c r="S605" s="604"/>
      <c r="T605" s="605"/>
      <c r="U605" s="605"/>
      <c r="V605" s="605"/>
      <c r="W605" s="605"/>
    </row>
    <row r="606">
      <c r="L606" s="416"/>
      <c r="M606" s="293"/>
      <c r="P606" s="416"/>
      <c r="Q606" s="416"/>
      <c r="R606" s="416"/>
      <c r="S606" s="604"/>
      <c r="T606" s="605"/>
      <c r="U606" s="605"/>
      <c r="V606" s="605"/>
      <c r="W606" s="605"/>
    </row>
    <row r="607">
      <c r="L607" s="416"/>
      <c r="M607" s="293"/>
      <c r="P607" s="416"/>
      <c r="Q607" s="416"/>
      <c r="R607" s="416"/>
      <c r="S607" s="604"/>
      <c r="T607" s="605"/>
      <c r="U607" s="605"/>
      <c r="V607" s="605"/>
      <c r="W607" s="605"/>
    </row>
    <row r="608">
      <c r="L608" s="416"/>
      <c r="M608" s="293"/>
      <c r="P608" s="416"/>
      <c r="Q608" s="416"/>
      <c r="R608" s="416"/>
      <c r="S608" s="604"/>
      <c r="T608" s="605"/>
      <c r="U608" s="605"/>
      <c r="V608" s="605"/>
      <c r="W608" s="605"/>
    </row>
    <row r="609">
      <c r="L609" s="416"/>
      <c r="M609" s="293"/>
      <c r="P609" s="416"/>
      <c r="Q609" s="416"/>
      <c r="R609" s="416"/>
      <c r="S609" s="604"/>
      <c r="T609" s="605"/>
      <c r="U609" s="605"/>
      <c r="V609" s="605"/>
      <c r="W609" s="605"/>
    </row>
    <row r="610">
      <c r="L610" s="416"/>
      <c r="M610" s="293"/>
      <c r="P610" s="416"/>
      <c r="Q610" s="416"/>
      <c r="R610" s="416"/>
      <c r="S610" s="604"/>
      <c r="T610" s="605"/>
      <c r="U610" s="605"/>
      <c r="V610" s="605"/>
      <c r="W610" s="605"/>
    </row>
    <row r="611">
      <c r="L611" s="416"/>
      <c r="M611" s="293"/>
      <c r="P611" s="416"/>
      <c r="Q611" s="416"/>
      <c r="R611" s="416"/>
      <c r="S611" s="604"/>
      <c r="T611" s="605"/>
      <c r="U611" s="605"/>
      <c r="V611" s="605"/>
      <c r="W611" s="605"/>
    </row>
    <row r="612">
      <c r="L612" s="416"/>
      <c r="M612" s="293"/>
      <c r="P612" s="416"/>
      <c r="Q612" s="416"/>
      <c r="R612" s="416"/>
      <c r="S612" s="604"/>
      <c r="T612" s="605"/>
      <c r="U612" s="605"/>
      <c r="V612" s="605"/>
      <c r="W612" s="605"/>
    </row>
    <row r="613">
      <c r="L613" s="416"/>
      <c r="M613" s="293"/>
      <c r="P613" s="416"/>
      <c r="Q613" s="416"/>
      <c r="R613" s="416"/>
      <c r="S613" s="604"/>
      <c r="T613" s="605"/>
      <c r="U613" s="605"/>
      <c r="V613" s="605"/>
      <c r="W613" s="605"/>
    </row>
    <row r="614">
      <c r="L614" s="416"/>
      <c r="M614" s="293"/>
      <c r="P614" s="416"/>
      <c r="Q614" s="416"/>
      <c r="R614" s="416"/>
      <c r="S614" s="604"/>
      <c r="T614" s="605"/>
      <c r="U614" s="605"/>
      <c r="V614" s="605"/>
      <c r="W614" s="605"/>
    </row>
    <row r="615">
      <c r="L615" s="416"/>
      <c r="M615" s="293"/>
      <c r="P615" s="416"/>
      <c r="Q615" s="416"/>
      <c r="R615" s="416"/>
      <c r="S615" s="604"/>
      <c r="T615" s="605"/>
      <c r="U615" s="605"/>
      <c r="V615" s="605"/>
      <c r="W615" s="605"/>
    </row>
    <row r="616">
      <c r="L616" s="416"/>
      <c r="M616" s="293"/>
      <c r="P616" s="416"/>
      <c r="Q616" s="416"/>
      <c r="R616" s="416"/>
      <c r="S616" s="604"/>
      <c r="T616" s="605"/>
      <c r="U616" s="605"/>
      <c r="V616" s="605"/>
      <c r="W616" s="605"/>
    </row>
    <row r="617">
      <c r="L617" s="416"/>
      <c r="M617" s="293"/>
      <c r="P617" s="416"/>
      <c r="Q617" s="416"/>
      <c r="R617" s="416"/>
      <c r="S617" s="604"/>
      <c r="T617" s="605"/>
      <c r="U617" s="605"/>
      <c r="V617" s="605"/>
      <c r="W617" s="605"/>
    </row>
    <row r="618">
      <c r="L618" s="416"/>
      <c r="M618" s="293"/>
      <c r="P618" s="416"/>
      <c r="Q618" s="416"/>
      <c r="R618" s="416"/>
      <c r="S618" s="604"/>
      <c r="T618" s="605"/>
      <c r="U618" s="605"/>
      <c r="V618" s="605"/>
      <c r="W618" s="605"/>
    </row>
    <row r="619">
      <c r="L619" s="416"/>
      <c r="M619" s="293"/>
      <c r="P619" s="416"/>
      <c r="Q619" s="416"/>
      <c r="R619" s="416"/>
      <c r="S619" s="604"/>
      <c r="T619" s="605"/>
      <c r="U619" s="605"/>
      <c r="V619" s="605"/>
      <c r="W619" s="605"/>
    </row>
    <row r="620">
      <c r="L620" s="416"/>
      <c r="M620" s="293"/>
      <c r="P620" s="416"/>
      <c r="Q620" s="416"/>
      <c r="R620" s="416"/>
      <c r="S620" s="604"/>
      <c r="T620" s="605"/>
      <c r="U620" s="605"/>
      <c r="V620" s="605"/>
      <c r="W620" s="605"/>
    </row>
    <row r="621">
      <c r="L621" s="416"/>
      <c r="M621" s="293"/>
      <c r="P621" s="416"/>
      <c r="Q621" s="416"/>
      <c r="R621" s="416"/>
      <c r="S621" s="604"/>
      <c r="T621" s="605"/>
      <c r="U621" s="605"/>
      <c r="V621" s="605"/>
      <c r="W621" s="605"/>
    </row>
    <row r="622">
      <c r="L622" s="416"/>
      <c r="M622" s="293"/>
      <c r="P622" s="416"/>
      <c r="Q622" s="416"/>
      <c r="R622" s="416"/>
      <c r="S622" s="604"/>
      <c r="T622" s="605"/>
      <c r="U622" s="605"/>
      <c r="V622" s="605"/>
      <c r="W622" s="605"/>
    </row>
    <row r="623">
      <c r="L623" s="416"/>
      <c r="M623" s="293"/>
      <c r="P623" s="416"/>
      <c r="Q623" s="416"/>
      <c r="R623" s="416"/>
      <c r="S623" s="604"/>
      <c r="T623" s="605"/>
      <c r="U623" s="605"/>
      <c r="V623" s="605"/>
      <c r="W623" s="605"/>
    </row>
    <row r="624">
      <c r="L624" s="416"/>
      <c r="M624" s="293"/>
      <c r="P624" s="416"/>
      <c r="Q624" s="416"/>
      <c r="R624" s="416"/>
      <c r="S624" s="604"/>
      <c r="T624" s="605"/>
      <c r="U624" s="605"/>
      <c r="V624" s="605"/>
      <c r="W624" s="605"/>
    </row>
    <row r="625">
      <c r="L625" s="416"/>
      <c r="M625" s="293"/>
      <c r="P625" s="416"/>
      <c r="Q625" s="416"/>
      <c r="R625" s="416"/>
      <c r="S625" s="604"/>
      <c r="T625" s="605"/>
      <c r="U625" s="605"/>
      <c r="V625" s="605"/>
      <c r="W625" s="605"/>
    </row>
    <row r="626">
      <c r="L626" s="416"/>
      <c r="M626" s="293"/>
      <c r="P626" s="416"/>
      <c r="Q626" s="416"/>
      <c r="R626" s="416"/>
      <c r="S626" s="604"/>
      <c r="T626" s="605"/>
      <c r="U626" s="605"/>
      <c r="V626" s="605"/>
      <c r="W626" s="605"/>
    </row>
    <row r="627">
      <c r="L627" s="416"/>
      <c r="M627" s="293"/>
      <c r="P627" s="416"/>
      <c r="Q627" s="416"/>
      <c r="R627" s="416"/>
      <c r="S627" s="604"/>
      <c r="T627" s="605"/>
      <c r="U627" s="605"/>
      <c r="V627" s="605"/>
      <c r="W627" s="605"/>
    </row>
    <row r="628">
      <c r="L628" s="416"/>
      <c r="M628" s="293"/>
      <c r="P628" s="416"/>
      <c r="Q628" s="416"/>
      <c r="R628" s="416"/>
      <c r="S628" s="604"/>
      <c r="T628" s="605"/>
      <c r="U628" s="605"/>
      <c r="V628" s="605"/>
      <c r="W628" s="605"/>
    </row>
    <row r="629">
      <c r="L629" s="416"/>
      <c r="M629" s="293"/>
      <c r="P629" s="416"/>
      <c r="Q629" s="416"/>
      <c r="R629" s="416"/>
      <c r="S629" s="604"/>
      <c r="T629" s="605"/>
      <c r="U629" s="605"/>
      <c r="V629" s="605"/>
      <c r="W629" s="605"/>
    </row>
    <row r="630">
      <c r="L630" s="416"/>
      <c r="M630" s="293"/>
      <c r="P630" s="416"/>
      <c r="Q630" s="416"/>
      <c r="R630" s="416"/>
      <c r="S630" s="604"/>
      <c r="T630" s="605"/>
      <c r="U630" s="605"/>
      <c r="V630" s="605"/>
      <c r="W630" s="605"/>
    </row>
    <row r="631">
      <c r="L631" s="416"/>
      <c r="M631" s="293"/>
      <c r="P631" s="416"/>
      <c r="Q631" s="416"/>
      <c r="R631" s="416"/>
      <c r="S631" s="604"/>
      <c r="T631" s="605"/>
      <c r="U631" s="605"/>
      <c r="V631" s="605"/>
      <c r="W631" s="605"/>
    </row>
    <row r="632">
      <c r="L632" s="416"/>
      <c r="M632" s="293"/>
      <c r="P632" s="416"/>
      <c r="Q632" s="416"/>
      <c r="R632" s="416"/>
      <c r="S632" s="604"/>
      <c r="T632" s="605"/>
      <c r="U632" s="605"/>
      <c r="V632" s="605"/>
      <c r="W632" s="605"/>
    </row>
    <row r="633">
      <c r="L633" s="416"/>
      <c r="M633" s="293"/>
      <c r="P633" s="416"/>
      <c r="Q633" s="416"/>
      <c r="R633" s="416"/>
      <c r="S633" s="604"/>
      <c r="T633" s="605"/>
      <c r="U633" s="605"/>
      <c r="V633" s="605"/>
      <c r="W633" s="605"/>
    </row>
    <row r="634">
      <c r="L634" s="416"/>
      <c r="M634" s="293"/>
      <c r="P634" s="416"/>
      <c r="Q634" s="416"/>
      <c r="R634" s="416"/>
      <c r="S634" s="604"/>
      <c r="T634" s="605"/>
      <c r="U634" s="605"/>
      <c r="V634" s="605"/>
      <c r="W634" s="605"/>
    </row>
    <row r="635">
      <c r="L635" s="416"/>
      <c r="M635" s="293"/>
      <c r="P635" s="416"/>
      <c r="Q635" s="416"/>
      <c r="R635" s="416"/>
      <c r="S635" s="604"/>
      <c r="T635" s="605"/>
      <c r="U635" s="605"/>
      <c r="V635" s="605"/>
      <c r="W635" s="605"/>
    </row>
    <row r="636">
      <c r="L636" s="416"/>
      <c r="M636" s="293"/>
      <c r="P636" s="416"/>
      <c r="Q636" s="416"/>
      <c r="R636" s="416"/>
      <c r="S636" s="604"/>
      <c r="T636" s="605"/>
      <c r="U636" s="605"/>
      <c r="V636" s="605"/>
      <c r="W636" s="605"/>
    </row>
    <row r="637">
      <c r="L637" s="416"/>
      <c r="M637" s="293"/>
      <c r="P637" s="416"/>
      <c r="Q637" s="416"/>
      <c r="R637" s="416"/>
      <c r="S637" s="604"/>
      <c r="T637" s="605"/>
      <c r="U637" s="605"/>
      <c r="V637" s="605"/>
      <c r="W637" s="605"/>
    </row>
    <row r="638">
      <c r="L638" s="416"/>
      <c r="M638" s="293"/>
      <c r="P638" s="416"/>
      <c r="Q638" s="416"/>
      <c r="R638" s="416"/>
      <c r="S638" s="604"/>
      <c r="T638" s="605"/>
      <c r="U638" s="605"/>
      <c r="V638" s="605"/>
      <c r="W638" s="605"/>
    </row>
    <row r="639">
      <c r="L639" s="416"/>
      <c r="M639" s="293"/>
      <c r="P639" s="416"/>
      <c r="Q639" s="416"/>
      <c r="R639" s="416"/>
      <c r="S639" s="604"/>
      <c r="T639" s="605"/>
      <c r="U639" s="605"/>
      <c r="V639" s="605"/>
      <c r="W639" s="605"/>
    </row>
    <row r="640">
      <c r="L640" s="416"/>
      <c r="M640" s="293"/>
      <c r="P640" s="416"/>
      <c r="Q640" s="416"/>
      <c r="R640" s="416"/>
      <c r="S640" s="604"/>
      <c r="T640" s="605"/>
      <c r="U640" s="605"/>
      <c r="V640" s="605"/>
      <c r="W640" s="605"/>
    </row>
    <row r="641">
      <c r="L641" s="416"/>
      <c r="M641" s="293"/>
      <c r="P641" s="416"/>
      <c r="Q641" s="416"/>
      <c r="R641" s="416"/>
      <c r="S641" s="604"/>
      <c r="T641" s="605"/>
      <c r="U641" s="605"/>
      <c r="V641" s="605"/>
      <c r="W641" s="605"/>
    </row>
    <row r="642">
      <c r="L642" s="416"/>
      <c r="M642" s="293"/>
      <c r="P642" s="416"/>
      <c r="Q642" s="416"/>
      <c r="R642" s="416"/>
      <c r="S642" s="604"/>
      <c r="T642" s="605"/>
      <c r="U642" s="605"/>
      <c r="V642" s="605"/>
      <c r="W642" s="605"/>
    </row>
    <row r="643">
      <c r="L643" s="416"/>
      <c r="M643" s="293"/>
      <c r="P643" s="416"/>
      <c r="Q643" s="416"/>
      <c r="R643" s="416"/>
      <c r="S643" s="604"/>
      <c r="T643" s="605"/>
      <c r="U643" s="605"/>
      <c r="V643" s="605"/>
      <c r="W643" s="605"/>
    </row>
    <row r="644">
      <c r="L644" s="416"/>
      <c r="M644" s="293"/>
      <c r="P644" s="416"/>
      <c r="Q644" s="416"/>
      <c r="R644" s="416"/>
      <c r="S644" s="604"/>
      <c r="T644" s="605"/>
      <c r="U644" s="605"/>
      <c r="V644" s="605"/>
      <c r="W644" s="605"/>
    </row>
    <row r="645">
      <c r="L645" s="416"/>
      <c r="M645" s="293"/>
      <c r="P645" s="416"/>
      <c r="Q645" s="416"/>
      <c r="R645" s="416"/>
      <c r="S645" s="604"/>
      <c r="T645" s="605"/>
      <c r="U645" s="605"/>
      <c r="V645" s="605"/>
      <c r="W645" s="605"/>
    </row>
    <row r="646">
      <c r="L646" s="416"/>
      <c r="M646" s="293"/>
      <c r="P646" s="416"/>
      <c r="Q646" s="416"/>
      <c r="R646" s="416"/>
      <c r="S646" s="604"/>
      <c r="T646" s="605"/>
      <c r="U646" s="605"/>
      <c r="V646" s="605"/>
      <c r="W646" s="605"/>
    </row>
    <row r="647">
      <c r="L647" s="416"/>
      <c r="M647" s="293"/>
      <c r="P647" s="416"/>
      <c r="Q647" s="416"/>
      <c r="R647" s="416"/>
      <c r="S647" s="604"/>
      <c r="T647" s="605"/>
      <c r="U647" s="605"/>
      <c r="V647" s="605"/>
      <c r="W647" s="605"/>
    </row>
    <row r="648">
      <c r="L648" s="416"/>
      <c r="M648" s="293"/>
      <c r="P648" s="416"/>
      <c r="Q648" s="416"/>
      <c r="R648" s="416"/>
      <c r="S648" s="604"/>
      <c r="T648" s="605"/>
      <c r="U648" s="605"/>
      <c r="V648" s="605"/>
      <c r="W648" s="605"/>
    </row>
    <row r="649">
      <c r="L649" s="416"/>
      <c r="M649" s="293"/>
      <c r="P649" s="416"/>
      <c r="Q649" s="416"/>
      <c r="R649" s="416"/>
      <c r="S649" s="604"/>
      <c r="T649" s="605"/>
      <c r="U649" s="605"/>
      <c r="V649" s="605"/>
      <c r="W649" s="605"/>
    </row>
    <row r="650">
      <c r="L650" s="416"/>
      <c r="M650" s="293"/>
      <c r="P650" s="416"/>
      <c r="Q650" s="416"/>
      <c r="R650" s="416"/>
      <c r="S650" s="604"/>
      <c r="T650" s="605"/>
      <c r="U650" s="605"/>
      <c r="V650" s="605"/>
      <c r="W650" s="605"/>
    </row>
    <row r="651">
      <c r="L651" s="416"/>
      <c r="M651" s="293"/>
      <c r="P651" s="416"/>
      <c r="Q651" s="416"/>
      <c r="R651" s="416"/>
      <c r="S651" s="604"/>
      <c r="T651" s="605"/>
      <c r="U651" s="605"/>
      <c r="V651" s="605"/>
      <c r="W651" s="605"/>
    </row>
    <row r="652">
      <c r="L652" s="416"/>
      <c r="M652" s="293"/>
      <c r="P652" s="416"/>
      <c r="Q652" s="416"/>
      <c r="R652" s="416"/>
      <c r="S652" s="604"/>
      <c r="T652" s="605"/>
      <c r="U652" s="605"/>
      <c r="V652" s="605"/>
      <c r="W652" s="605"/>
    </row>
    <row r="653">
      <c r="L653" s="416"/>
      <c r="M653" s="293"/>
      <c r="P653" s="416"/>
      <c r="Q653" s="416"/>
      <c r="R653" s="416"/>
      <c r="S653" s="604"/>
      <c r="T653" s="605"/>
      <c r="U653" s="605"/>
      <c r="V653" s="605"/>
      <c r="W653" s="605"/>
    </row>
    <row r="654">
      <c r="L654" s="416"/>
      <c r="M654" s="293"/>
      <c r="P654" s="416"/>
      <c r="Q654" s="416"/>
      <c r="R654" s="416"/>
      <c r="S654" s="604"/>
      <c r="T654" s="605"/>
      <c r="U654" s="605"/>
      <c r="V654" s="605"/>
      <c r="W654" s="605"/>
    </row>
    <row r="655">
      <c r="L655" s="416"/>
      <c r="M655" s="293"/>
      <c r="P655" s="416"/>
      <c r="Q655" s="416"/>
      <c r="R655" s="416"/>
      <c r="S655" s="604"/>
      <c r="T655" s="605"/>
      <c r="U655" s="605"/>
      <c r="V655" s="605"/>
      <c r="W655" s="605"/>
    </row>
    <row r="656">
      <c r="L656" s="416"/>
      <c r="M656" s="293"/>
      <c r="P656" s="416"/>
      <c r="Q656" s="416"/>
      <c r="R656" s="416"/>
      <c r="S656" s="604"/>
      <c r="T656" s="605"/>
      <c r="U656" s="605"/>
      <c r="V656" s="605"/>
      <c r="W656" s="605"/>
    </row>
    <row r="657">
      <c r="L657" s="416"/>
      <c r="M657" s="293"/>
      <c r="P657" s="416"/>
      <c r="Q657" s="416"/>
      <c r="R657" s="416"/>
      <c r="S657" s="604"/>
      <c r="T657" s="605"/>
      <c r="U657" s="605"/>
      <c r="V657" s="605"/>
      <c r="W657" s="605"/>
    </row>
    <row r="658">
      <c r="L658" s="416"/>
      <c r="M658" s="293"/>
      <c r="P658" s="416"/>
      <c r="Q658" s="416"/>
      <c r="R658" s="416"/>
      <c r="S658" s="604"/>
      <c r="T658" s="605"/>
      <c r="U658" s="605"/>
      <c r="V658" s="605"/>
      <c r="W658" s="605"/>
    </row>
    <row r="659">
      <c r="L659" s="416"/>
      <c r="M659" s="293"/>
      <c r="P659" s="416"/>
      <c r="Q659" s="416"/>
      <c r="R659" s="416"/>
      <c r="S659" s="604"/>
      <c r="T659" s="605"/>
      <c r="U659" s="605"/>
      <c r="V659" s="605"/>
      <c r="W659" s="605"/>
    </row>
    <row r="660">
      <c r="L660" s="416"/>
      <c r="M660" s="293"/>
      <c r="P660" s="416"/>
      <c r="Q660" s="416"/>
      <c r="R660" s="416"/>
      <c r="S660" s="604"/>
      <c r="T660" s="605"/>
      <c r="U660" s="605"/>
      <c r="V660" s="605"/>
      <c r="W660" s="605"/>
    </row>
    <row r="661">
      <c r="L661" s="416"/>
      <c r="M661" s="293"/>
      <c r="P661" s="416"/>
      <c r="Q661" s="416"/>
      <c r="R661" s="416"/>
      <c r="S661" s="604"/>
      <c r="T661" s="605"/>
      <c r="U661" s="605"/>
      <c r="V661" s="605"/>
      <c r="W661" s="605"/>
    </row>
    <row r="662">
      <c r="L662" s="416"/>
      <c r="M662" s="293"/>
      <c r="P662" s="416"/>
      <c r="Q662" s="416"/>
      <c r="R662" s="416"/>
      <c r="S662" s="604"/>
      <c r="T662" s="605"/>
      <c r="U662" s="605"/>
      <c r="V662" s="605"/>
      <c r="W662" s="605"/>
    </row>
    <row r="663">
      <c r="L663" s="416"/>
      <c r="M663" s="293"/>
      <c r="P663" s="416"/>
      <c r="Q663" s="416"/>
      <c r="R663" s="416"/>
      <c r="S663" s="604"/>
      <c r="T663" s="605"/>
      <c r="U663" s="605"/>
      <c r="V663" s="605"/>
      <c r="W663" s="605"/>
    </row>
    <row r="664">
      <c r="L664" s="416"/>
      <c r="M664" s="293"/>
      <c r="P664" s="416"/>
      <c r="Q664" s="416"/>
      <c r="R664" s="416"/>
      <c r="S664" s="604"/>
      <c r="T664" s="605"/>
      <c r="U664" s="605"/>
      <c r="V664" s="605"/>
      <c r="W664" s="605"/>
    </row>
    <row r="665">
      <c r="L665" s="416"/>
      <c r="M665" s="293"/>
      <c r="P665" s="416"/>
      <c r="Q665" s="416"/>
      <c r="R665" s="416"/>
      <c r="S665" s="604"/>
      <c r="T665" s="605"/>
      <c r="U665" s="605"/>
      <c r="V665" s="605"/>
      <c r="W665" s="605"/>
    </row>
    <row r="666">
      <c r="L666" s="416"/>
      <c r="M666" s="293"/>
      <c r="P666" s="416"/>
      <c r="Q666" s="416"/>
      <c r="R666" s="416"/>
      <c r="S666" s="604"/>
      <c r="T666" s="605"/>
      <c r="U666" s="605"/>
      <c r="V666" s="605"/>
      <c r="W666" s="605"/>
    </row>
    <row r="667">
      <c r="L667" s="416"/>
      <c r="M667" s="293"/>
      <c r="P667" s="416"/>
      <c r="Q667" s="416"/>
      <c r="R667" s="416"/>
      <c r="S667" s="604"/>
      <c r="T667" s="605"/>
      <c r="U667" s="605"/>
      <c r="V667" s="605"/>
      <c r="W667" s="605"/>
    </row>
    <row r="668">
      <c r="L668" s="416"/>
      <c r="M668" s="293"/>
      <c r="P668" s="416"/>
      <c r="Q668" s="416"/>
      <c r="R668" s="416"/>
      <c r="S668" s="604"/>
      <c r="T668" s="605"/>
      <c r="U668" s="605"/>
      <c r="V668" s="605"/>
      <c r="W668" s="605"/>
    </row>
    <row r="669">
      <c r="L669" s="416"/>
      <c r="M669" s="293"/>
      <c r="P669" s="416"/>
      <c r="Q669" s="416"/>
      <c r="R669" s="416"/>
      <c r="S669" s="604"/>
      <c r="T669" s="605"/>
      <c r="U669" s="605"/>
      <c r="V669" s="605"/>
      <c r="W669" s="605"/>
    </row>
    <row r="670">
      <c r="L670" s="416"/>
      <c r="M670" s="293"/>
      <c r="P670" s="416"/>
      <c r="Q670" s="416"/>
      <c r="R670" s="416"/>
      <c r="S670" s="604"/>
      <c r="T670" s="605"/>
      <c r="U670" s="605"/>
      <c r="V670" s="605"/>
      <c r="W670" s="605"/>
    </row>
    <row r="671">
      <c r="L671" s="416"/>
      <c r="M671" s="293"/>
      <c r="P671" s="416"/>
      <c r="Q671" s="416"/>
      <c r="R671" s="416"/>
      <c r="S671" s="604"/>
      <c r="T671" s="605"/>
      <c r="U671" s="605"/>
      <c r="V671" s="605"/>
      <c r="W671" s="605"/>
    </row>
    <row r="672">
      <c r="L672" s="416"/>
      <c r="M672" s="293"/>
      <c r="P672" s="416"/>
      <c r="Q672" s="416"/>
      <c r="R672" s="416"/>
      <c r="S672" s="604"/>
      <c r="T672" s="605"/>
      <c r="U672" s="605"/>
      <c r="V672" s="605"/>
      <c r="W672" s="605"/>
    </row>
    <row r="673">
      <c r="L673" s="416"/>
      <c r="M673" s="293"/>
      <c r="P673" s="416"/>
      <c r="Q673" s="416"/>
      <c r="R673" s="416"/>
      <c r="S673" s="604"/>
      <c r="T673" s="605"/>
      <c r="U673" s="605"/>
      <c r="V673" s="605"/>
      <c r="W673" s="605"/>
    </row>
    <row r="674">
      <c r="L674" s="416"/>
      <c r="M674" s="293"/>
      <c r="P674" s="416"/>
      <c r="Q674" s="416"/>
      <c r="R674" s="416"/>
      <c r="S674" s="604"/>
      <c r="T674" s="605"/>
      <c r="U674" s="605"/>
      <c r="V674" s="605"/>
      <c r="W674" s="605"/>
    </row>
    <row r="675">
      <c r="L675" s="416"/>
      <c r="M675" s="293"/>
      <c r="P675" s="416"/>
      <c r="Q675" s="416"/>
      <c r="R675" s="416"/>
      <c r="S675" s="604"/>
      <c r="T675" s="605"/>
      <c r="U675" s="605"/>
      <c r="V675" s="605"/>
      <c r="W675" s="605"/>
    </row>
    <row r="676">
      <c r="L676" s="416"/>
      <c r="M676" s="293"/>
      <c r="P676" s="416"/>
      <c r="Q676" s="416"/>
      <c r="R676" s="416"/>
      <c r="S676" s="604"/>
      <c r="T676" s="605"/>
      <c r="U676" s="605"/>
      <c r="V676" s="605"/>
      <c r="W676" s="605"/>
    </row>
    <row r="677">
      <c r="L677" s="416"/>
      <c r="M677" s="293"/>
      <c r="P677" s="416"/>
      <c r="Q677" s="416"/>
      <c r="R677" s="416"/>
      <c r="S677" s="604"/>
      <c r="T677" s="605"/>
      <c r="U677" s="605"/>
      <c r="V677" s="605"/>
      <c r="W677" s="605"/>
    </row>
    <row r="678">
      <c r="L678" s="416"/>
      <c r="M678" s="293"/>
      <c r="P678" s="416"/>
      <c r="Q678" s="416"/>
      <c r="R678" s="416"/>
      <c r="S678" s="604"/>
      <c r="T678" s="605"/>
      <c r="U678" s="605"/>
      <c r="V678" s="605"/>
      <c r="W678" s="605"/>
    </row>
    <row r="679">
      <c r="L679" s="416"/>
      <c r="M679" s="293"/>
      <c r="P679" s="416"/>
      <c r="Q679" s="416"/>
      <c r="R679" s="416"/>
      <c r="S679" s="604"/>
      <c r="T679" s="605"/>
      <c r="U679" s="605"/>
      <c r="V679" s="605"/>
      <c r="W679" s="605"/>
    </row>
    <row r="680">
      <c r="L680" s="416"/>
      <c r="M680" s="293"/>
      <c r="P680" s="416"/>
      <c r="Q680" s="416"/>
      <c r="R680" s="416"/>
      <c r="S680" s="604"/>
      <c r="T680" s="605"/>
      <c r="U680" s="605"/>
      <c r="V680" s="605"/>
      <c r="W680" s="605"/>
    </row>
    <row r="681">
      <c r="L681" s="416"/>
      <c r="M681" s="293"/>
      <c r="P681" s="416"/>
      <c r="Q681" s="416"/>
      <c r="R681" s="416"/>
      <c r="S681" s="604"/>
      <c r="T681" s="605"/>
      <c r="U681" s="605"/>
      <c r="V681" s="605"/>
      <c r="W681" s="605"/>
    </row>
    <row r="682">
      <c r="L682" s="416"/>
      <c r="M682" s="293"/>
      <c r="P682" s="416"/>
      <c r="Q682" s="416"/>
      <c r="R682" s="416"/>
      <c r="S682" s="604"/>
      <c r="T682" s="605"/>
      <c r="U682" s="605"/>
      <c r="V682" s="605"/>
      <c r="W682" s="605"/>
    </row>
    <row r="683">
      <c r="L683" s="416"/>
      <c r="M683" s="293"/>
      <c r="P683" s="416"/>
      <c r="Q683" s="416"/>
      <c r="R683" s="416"/>
      <c r="S683" s="604"/>
      <c r="T683" s="605"/>
      <c r="U683" s="605"/>
      <c r="V683" s="605"/>
      <c r="W683" s="605"/>
    </row>
    <row r="684">
      <c r="L684" s="416"/>
      <c r="M684" s="293"/>
      <c r="P684" s="416"/>
      <c r="Q684" s="416"/>
      <c r="R684" s="416"/>
      <c r="S684" s="604"/>
      <c r="T684" s="605"/>
      <c r="U684" s="605"/>
      <c r="V684" s="605"/>
      <c r="W684" s="605"/>
    </row>
    <row r="685">
      <c r="L685" s="416"/>
      <c r="M685" s="293"/>
      <c r="P685" s="416"/>
      <c r="Q685" s="416"/>
      <c r="R685" s="416"/>
      <c r="S685" s="604"/>
      <c r="T685" s="605"/>
      <c r="U685" s="605"/>
      <c r="V685" s="605"/>
      <c r="W685" s="605"/>
    </row>
    <row r="686">
      <c r="L686" s="416"/>
      <c r="M686" s="293"/>
      <c r="P686" s="416"/>
      <c r="Q686" s="416"/>
      <c r="R686" s="416"/>
      <c r="S686" s="604"/>
      <c r="T686" s="605"/>
      <c r="U686" s="605"/>
      <c r="V686" s="605"/>
      <c r="W686" s="605"/>
    </row>
    <row r="687">
      <c r="L687" s="416"/>
      <c r="M687" s="293"/>
      <c r="P687" s="416"/>
      <c r="Q687" s="416"/>
      <c r="R687" s="416"/>
      <c r="S687" s="604"/>
      <c r="T687" s="605"/>
      <c r="U687" s="605"/>
      <c r="V687" s="605"/>
      <c r="W687" s="605"/>
    </row>
    <row r="688">
      <c r="L688" s="416"/>
      <c r="M688" s="293"/>
      <c r="P688" s="416"/>
      <c r="Q688" s="416"/>
      <c r="R688" s="416"/>
      <c r="S688" s="604"/>
      <c r="T688" s="605"/>
      <c r="U688" s="605"/>
      <c r="V688" s="605"/>
      <c r="W688" s="605"/>
    </row>
    <row r="689">
      <c r="L689" s="416"/>
      <c r="M689" s="293"/>
      <c r="P689" s="416"/>
      <c r="Q689" s="416"/>
      <c r="R689" s="416"/>
      <c r="S689" s="604"/>
      <c r="T689" s="605"/>
      <c r="U689" s="605"/>
      <c r="V689" s="605"/>
      <c r="W689" s="605"/>
    </row>
    <row r="690">
      <c r="L690" s="416"/>
      <c r="M690" s="293"/>
      <c r="P690" s="416"/>
      <c r="Q690" s="416"/>
      <c r="R690" s="416"/>
      <c r="S690" s="604"/>
      <c r="T690" s="605"/>
      <c r="U690" s="605"/>
      <c r="V690" s="605"/>
      <c r="W690" s="605"/>
    </row>
    <row r="691">
      <c r="L691" s="416"/>
      <c r="M691" s="293"/>
      <c r="P691" s="416"/>
      <c r="Q691" s="416"/>
      <c r="R691" s="416"/>
      <c r="S691" s="604"/>
      <c r="T691" s="605"/>
      <c r="U691" s="605"/>
      <c r="V691" s="605"/>
      <c r="W691" s="605"/>
    </row>
    <row r="692">
      <c r="L692" s="416"/>
      <c r="M692" s="293"/>
      <c r="P692" s="416"/>
      <c r="Q692" s="416"/>
      <c r="R692" s="416"/>
      <c r="S692" s="604"/>
      <c r="T692" s="605"/>
      <c r="U692" s="605"/>
      <c r="V692" s="605"/>
      <c r="W692" s="605"/>
    </row>
    <row r="693">
      <c r="L693" s="416"/>
      <c r="M693" s="293"/>
      <c r="P693" s="416"/>
      <c r="Q693" s="416"/>
      <c r="R693" s="416"/>
      <c r="S693" s="604"/>
      <c r="T693" s="605"/>
      <c r="U693" s="605"/>
      <c r="V693" s="605"/>
      <c r="W693" s="605"/>
    </row>
    <row r="694">
      <c r="L694" s="416"/>
      <c r="M694" s="293"/>
      <c r="P694" s="416"/>
      <c r="Q694" s="416"/>
      <c r="R694" s="416"/>
      <c r="S694" s="604"/>
      <c r="T694" s="605"/>
      <c r="U694" s="605"/>
      <c r="V694" s="605"/>
      <c r="W694" s="605"/>
    </row>
    <row r="695">
      <c r="L695" s="416"/>
      <c r="M695" s="293"/>
      <c r="P695" s="416"/>
      <c r="Q695" s="416"/>
      <c r="R695" s="416"/>
      <c r="S695" s="604"/>
      <c r="T695" s="605"/>
      <c r="U695" s="605"/>
      <c r="V695" s="605"/>
      <c r="W695" s="605"/>
    </row>
    <row r="696">
      <c r="L696" s="416"/>
      <c r="M696" s="293"/>
      <c r="P696" s="416"/>
      <c r="Q696" s="416"/>
      <c r="R696" s="416"/>
      <c r="S696" s="604"/>
      <c r="T696" s="605"/>
      <c r="U696" s="605"/>
      <c r="V696" s="605"/>
      <c r="W696" s="605"/>
    </row>
    <row r="697">
      <c r="L697" s="416"/>
      <c r="M697" s="293"/>
      <c r="P697" s="416"/>
      <c r="Q697" s="416"/>
      <c r="R697" s="416"/>
      <c r="S697" s="604"/>
      <c r="T697" s="605"/>
      <c r="U697" s="605"/>
      <c r="V697" s="605"/>
      <c r="W697" s="605"/>
    </row>
    <row r="698">
      <c r="L698" s="416"/>
      <c r="M698" s="293"/>
      <c r="P698" s="416"/>
      <c r="Q698" s="416"/>
      <c r="R698" s="416"/>
      <c r="S698" s="604"/>
      <c r="T698" s="605"/>
      <c r="U698" s="605"/>
      <c r="V698" s="605"/>
      <c r="W698" s="605"/>
    </row>
    <row r="699">
      <c r="L699" s="416"/>
      <c r="M699" s="293"/>
      <c r="P699" s="416"/>
      <c r="Q699" s="416"/>
      <c r="R699" s="416"/>
      <c r="S699" s="604"/>
      <c r="T699" s="605"/>
      <c r="U699" s="605"/>
      <c r="V699" s="605"/>
      <c r="W699" s="605"/>
    </row>
    <row r="700">
      <c r="L700" s="416"/>
      <c r="M700" s="293"/>
      <c r="P700" s="416"/>
      <c r="Q700" s="416"/>
      <c r="R700" s="416"/>
      <c r="S700" s="604"/>
      <c r="T700" s="605"/>
      <c r="U700" s="605"/>
      <c r="V700" s="605"/>
      <c r="W700" s="605"/>
    </row>
    <row r="701">
      <c r="L701" s="416"/>
      <c r="M701" s="293"/>
      <c r="P701" s="416"/>
      <c r="Q701" s="416"/>
      <c r="R701" s="416"/>
      <c r="S701" s="604"/>
      <c r="T701" s="605"/>
      <c r="U701" s="605"/>
      <c r="V701" s="605"/>
      <c r="W701" s="605"/>
    </row>
    <row r="702">
      <c r="L702" s="416"/>
      <c r="M702" s="293"/>
      <c r="P702" s="416"/>
      <c r="Q702" s="416"/>
      <c r="R702" s="416"/>
      <c r="S702" s="604"/>
      <c r="T702" s="605"/>
      <c r="U702" s="605"/>
      <c r="V702" s="605"/>
      <c r="W702" s="605"/>
    </row>
    <row r="703">
      <c r="L703" s="416"/>
      <c r="M703" s="293"/>
      <c r="P703" s="416"/>
      <c r="Q703" s="416"/>
      <c r="R703" s="416"/>
      <c r="S703" s="604"/>
      <c r="T703" s="605"/>
      <c r="U703" s="605"/>
      <c r="V703" s="605"/>
      <c r="W703" s="605"/>
    </row>
    <row r="704">
      <c r="L704" s="416"/>
      <c r="M704" s="293"/>
      <c r="P704" s="416"/>
      <c r="Q704" s="416"/>
      <c r="R704" s="416"/>
      <c r="S704" s="604"/>
      <c r="T704" s="605"/>
      <c r="U704" s="605"/>
      <c r="V704" s="605"/>
      <c r="W704" s="605"/>
    </row>
    <row r="705">
      <c r="L705" s="416"/>
      <c r="M705" s="293"/>
      <c r="P705" s="416"/>
      <c r="Q705" s="416"/>
      <c r="R705" s="416"/>
      <c r="S705" s="604"/>
      <c r="T705" s="605"/>
      <c r="U705" s="605"/>
      <c r="V705" s="605"/>
      <c r="W705" s="605"/>
    </row>
    <row r="706">
      <c r="L706" s="416"/>
      <c r="M706" s="293"/>
      <c r="P706" s="416"/>
      <c r="Q706" s="416"/>
      <c r="R706" s="416"/>
      <c r="S706" s="604"/>
      <c r="T706" s="605"/>
      <c r="U706" s="605"/>
      <c r="V706" s="605"/>
      <c r="W706" s="605"/>
    </row>
    <row r="707">
      <c r="L707" s="416"/>
      <c r="M707" s="293"/>
      <c r="P707" s="416"/>
      <c r="Q707" s="416"/>
      <c r="R707" s="416"/>
      <c r="S707" s="604"/>
      <c r="T707" s="605"/>
      <c r="U707" s="605"/>
      <c r="V707" s="605"/>
      <c r="W707" s="605"/>
    </row>
    <row r="708">
      <c r="L708" s="416"/>
      <c r="M708" s="293"/>
      <c r="P708" s="416"/>
      <c r="Q708" s="416"/>
      <c r="R708" s="416"/>
      <c r="S708" s="604"/>
      <c r="T708" s="605"/>
      <c r="U708" s="605"/>
      <c r="V708" s="605"/>
      <c r="W708" s="605"/>
    </row>
    <row r="709">
      <c r="L709" s="416"/>
      <c r="M709" s="293"/>
      <c r="P709" s="416"/>
      <c r="Q709" s="416"/>
      <c r="R709" s="416"/>
      <c r="S709" s="604"/>
      <c r="T709" s="605"/>
      <c r="U709" s="605"/>
      <c r="V709" s="605"/>
      <c r="W709" s="605"/>
    </row>
    <row r="710">
      <c r="L710" s="416"/>
      <c r="M710" s="293"/>
      <c r="P710" s="416"/>
      <c r="Q710" s="416"/>
      <c r="R710" s="416"/>
      <c r="S710" s="604"/>
      <c r="T710" s="605"/>
      <c r="U710" s="605"/>
      <c r="V710" s="605"/>
      <c r="W710" s="605"/>
    </row>
    <row r="711">
      <c r="L711" s="416"/>
      <c r="M711" s="293"/>
      <c r="P711" s="416"/>
      <c r="Q711" s="416"/>
      <c r="R711" s="416"/>
      <c r="S711" s="604"/>
      <c r="T711" s="605"/>
      <c r="U711" s="605"/>
      <c r="V711" s="605"/>
      <c r="W711" s="605"/>
    </row>
    <row r="712">
      <c r="L712" s="416"/>
      <c r="M712" s="293"/>
      <c r="P712" s="416"/>
      <c r="Q712" s="416"/>
      <c r="R712" s="416"/>
      <c r="S712" s="604"/>
      <c r="T712" s="605"/>
      <c r="U712" s="605"/>
      <c r="V712" s="605"/>
      <c r="W712" s="605"/>
    </row>
    <row r="713">
      <c r="L713" s="416"/>
      <c r="M713" s="293"/>
      <c r="P713" s="416"/>
      <c r="Q713" s="416"/>
      <c r="R713" s="416"/>
      <c r="S713" s="604"/>
      <c r="T713" s="605"/>
      <c r="U713" s="605"/>
      <c r="V713" s="605"/>
      <c r="W713" s="605"/>
    </row>
    <row r="714">
      <c r="L714" s="416"/>
      <c r="M714" s="293"/>
      <c r="P714" s="416"/>
      <c r="Q714" s="416"/>
      <c r="R714" s="416"/>
      <c r="S714" s="604"/>
      <c r="T714" s="605"/>
      <c r="U714" s="605"/>
      <c r="V714" s="605"/>
      <c r="W714" s="605"/>
    </row>
    <row r="715">
      <c r="L715" s="416"/>
      <c r="M715" s="293"/>
      <c r="P715" s="416"/>
      <c r="Q715" s="416"/>
      <c r="R715" s="416"/>
      <c r="S715" s="604"/>
      <c r="T715" s="605"/>
      <c r="U715" s="605"/>
      <c r="V715" s="605"/>
      <c r="W715" s="605"/>
    </row>
    <row r="716">
      <c r="L716" s="416"/>
      <c r="M716" s="293"/>
      <c r="P716" s="416"/>
      <c r="Q716" s="416"/>
      <c r="R716" s="416"/>
      <c r="S716" s="604"/>
      <c r="T716" s="605"/>
      <c r="U716" s="605"/>
      <c r="V716" s="605"/>
      <c r="W716" s="605"/>
    </row>
    <row r="717">
      <c r="L717" s="416"/>
      <c r="M717" s="293"/>
      <c r="P717" s="416"/>
      <c r="Q717" s="416"/>
      <c r="R717" s="416"/>
      <c r="S717" s="604"/>
      <c r="T717" s="605"/>
      <c r="U717" s="605"/>
      <c r="V717" s="605"/>
      <c r="W717" s="605"/>
    </row>
    <row r="718">
      <c r="L718" s="416"/>
      <c r="M718" s="293"/>
      <c r="P718" s="416"/>
      <c r="Q718" s="416"/>
      <c r="R718" s="416"/>
      <c r="S718" s="604"/>
      <c r="T718" s="605"/>
      <c r="U718" s="605"/>
      <c r="V718" s="605"/>
      <c r="W718" s="605"/>
    </row>
    <row r="719">
      <c r="L719" s="416"/>
      <c r="M719" s="293"/>
      <c r="P719" s="416"/>
      <c r="Q719" s="416"/>
      <c r="R719" s="416"/>
      <c r="S719" s="604"/>
      <c r="T719" s="605"/>
      <c r="U719" s="605"/>
      <c r="V719" s="605"/>
      <c r="W719" s="605"/>
    </row>
    <row r="720">
      <c r="L720" s="416"/>
      <c r="M720" s="293"/>
      <c r="P720" s="416"/>
      <c r="Q720" s="416"/>
      <c r="R720" s="416"/>
      <c r="S720" s="604"/>
      <c r="T720" s="605"/>
      <c r="U720" s="605"/>
      <c r="V720" s="605"/>
      <c r="W720" s="605"/>
    </row>
    <row r="721">
      <c r="L721" s="416"/>
      <c r="M721" s="293"/>
      <c r="P721" s="416"/>
      <c r="Q721" s="416"/>
      <c r="R721" s="416"/>
      <c r="S721" s="604"/>
      <c r="T721" s="605"/>
      <c r="U721" s="605"/>
      <c r="V721" s="605"/>
      <c r="W721" s="605"/>
    </row>
    <row r="722">
      <c r="L722" s="416"/>
      <c r="M722" s="293"/>
      <c r="P722" s="416"/>
      <c r="Q722" s="416"/>
      <c r="R722" s="416"/>
      <c r="S722" s="604"/>
      <c r="T722" s="605"/>
      <c r="U722" s="605"/>
      <c r="V722" s="605"/>
      <c r="W722" s="605"/>
    </row>
    <row r="723">
      <c r="L723" s="416"/>
      <c r="M723" s="293"/>
      <c r="P723" s="416"/>
      <c r="Q723" s="416"/>
      <c r="R723" s="416"/>
      <c r="S723" s="604"/>
      <c r="T723" s="605"/>
      <c r="U723" s="605"/>
      <c r="V723" s="605"/>
      <c r="W723" s="605"/>
    </row>
    <row r="724">
      <c r="L724" s="416"/>
      <c r="M724" s="293"/>
      <c r="P724" s="416"/>
      <c r="Q724" s="416"/>
      <c r="R724" s="416"/>
      <c r="S724" s="604"/>
      <c r="T724" s="605"/>
      <c r="U724" s="605"/>
      <c r="V724" s="605"/>
      <c r="W724" s="605"/>
    </row>
    <row r="725">
      <c r="L725" s="416"/>
      <c r="M725" s="293"/>
      <c r="P725" s="416"/>
      <c r="Q725" s="416"/>
      <c r="R725" s="416"/>
      <c r="S725" s="604"/>
      <c r="T725" s="605"/>
      <c r="U725" s="605"/>
      <c r="V725" s="605"/>
      <c r="W725" s="605"/>
    </row>
    <row r="726">
      <c r="L726" s="416"/>
      <c r="M726" s="293"/>
      <c r="P726" s="416"/>
      <c r="Q726" s="416"/>
      <c r="R726" s="416"/>
      <c r="S726" s="604"/>
      <c r="T726" s="605"/>
      <c r="U726" s="605"/>
      <c r="V726" s="605"/>
      <c r="W726" s="605"/>
    </row>
    <row r="727">
      <c r="L727" s="416"/>
      <c r="M727" s="293"/>
      <c r="P727" s="416"/>
      <c r="Q727" s="416"/>
      <c r="R727" s="416"/>
      <c r="S727" s="604"/>
      <c r="T727" s="605"/>
      <c r="U727" s="605"/>
      <c r="V727" s="605"/>
      <c r="W727" s="605"/>
    </row>
    <row r="728">
      <c r="L728" s="416"/>
      <c r="M728" s="293"/>
      <c r="P728" s="416"/>
      <c r="Q728" s="416"/>
      <c r="R728" s="416"/>
      <c r="S728" s="604"/>
      <c r="T728" s="605"/>
      <c r="U728" s="605"/>
      <c r="V728" s="605"/>
      <c r="W728" s="605"/>
    </row>
    <row r="729">
      <c r="L729" s="416"/>
      <c r="M729" s="293"/>
      <c r="P729" s="416"/>
      <c r="Q729" s="416"/>
      <c r="R729" s="416"/>
      <c r="S729" s="604"/>
      <c r="T729" s="605"/>
      <c r="U729" s="605"/>
      <c r="V729" s="605"/>
      <c r="W729" s="605"/>
    </row>
    <row r="730">
      <c r="L730" s="416"/>
      <c r="M730" s="293"/>
      <c r="P730" s="416"/>
      <c r="Q730" s="416"/>
      <c r="R730" s="416"/>
      <c r="S730" s="604"/>
      <c r="T730" s="605"/>
      <c r="U730" s="605"/>
      <c r="V730" s="605"/>
      <c r="W730" s="605"/>
    </row>
    <row r="731">
      <c r="L731" s="416"/>
      <c r="M731" s="293"/>
      <c r="P731" s="416"/>
      <c r="Q731" s="416"/>
      <c r="R731" s="416"/>
      <c r="S731" s="604"/>
      <c r="T731" s="605"/>
      <c r="U731" s="605"/>
      <c r="V731" s="605"/>
      <c r="W731" s="605"/>
    </row>
    <row r="732">
      <c r="L732" s="416"/>
      <c r="M732" s="293"/>
      <c r="P732" s="416"/>
      <c r="Q732" s="416"/>
      <c r="R732" s="416"/>
      <c r="S732" s="604"/>
      <c r="T732" s="605"/>
      <c r="U732" s="605"/>
      <c r="V732" s="605"/>
      <c r="W732" s="605"/>
    </row>
    <row r="733">
      <c r="L733" s="416"/>
      <c r="M733" s="293"/>
      <c r="P733" s="416"/>
      <c r="Q733" s="416"/>
      <c r="R733" s="416"/>
      <c r="S733" s="604"/>
      <c r="T733" s="605"/>
      <c r="U733" s="605"/>
      <c r="V733" s="605"/>
      <c r="W733" s="605"/>
    </row>
    <row r="734">
      <c r="L734" s="416"/>
      <c r="M734" s="293"/>
      <c r="P734" s="416"/>
      <c r="Q734" s="416"/>
      <c r="R734" s="416"/>
      <c r="S734" s="604"/>
      <c r="T734" s="605"/>
      <c r="U734" s="605"/>
      <c r="V734" s="605"/>
      <c r="W734" s="605"/>
    </row>
    <row r="735">
      <c r="L735" s="416"/>
      <c r="M735" s="293"/>
      <c r="P735" s="416"/>
      <c r="Q735" s="416"/>
      <c r="R735" s="416"/>
      <c r="S735" s="604"/>
      <c r="T735" s="605"/>
      <c r="U735" s="605"/>
      <c r="V735" s="605"/>
      <c r="W735" s="605"/>
    </row>
    <row r="736">
      <c r="L736" s="416"/>
      <c r="M736" s="293"/>
      <c r="P736" s="416"/>
      <c r="Q736" s="416"/>
      <c r="R736" s="416"/>
      <c r="S736" s="604"/>
      <c r="T736" s="605"/>
      <c r="U736" s="605"/>
      <c r="V736" s="605"/>
      <c r="W736" s="605"/>
    </row>
    <row r="737">
      <c r="L737" s="416"/>
      <c r="M737" s="293"/>
      <c r="P737" s="416"/>
      <c r="Q737" s="416"/>
      <c r="R737" s="416"/>
      <c r="S737" s="604"/>
      <c r="T737" s="605"/>
      <c r="U737" s="605"/>
      <c r="V737" s="605"/>
      <c r="W737" s="605"/>
    </row>
    <row r="738">
      <c r="L738" s="416"/>
      <c r="M738" s="293"/>
      <c r="P738" s="416"/>
      <c r="Q738" s="416"/>
      <c r="R738" s="416"/>
      <c r="S738" s="604"/>
      <c r="T738" s="605"/>
      <c r="U738" s="605"/>
      <c r="V738" s="605"/>
      <c r="W738" s="605"/>
    </row>
    <row r="739">
      <c r="L739" s="416"/>
      <c r="M739" s="293"/>
      <c r="P739" s="416"/>
      <c r="Q739" s="416"/>
      <c r="R739" s="416"/>
      <c r="S739" s="604"/>
      <c r="T739" s="605"/>
      <c r="U739" s="605"/>
      <c r="V739" s="605"/>
      <c r="W739" s="605"/>
    </row>
    <row r="740">
      <c r="L740" s="416"/>
      <c r="M740" s="293"/>
      <c r="P740" s="416"/>
      <c r="Q740" s="416"/>
      <c r="R740" s="416"/>
      <c r="S740" s="604"/>
      <c r="T740" s="605"/>
      <c r="U740" s="605"/>
      <c r="V740" s="605"/>
      <c r="W740" s="605"/>
    </row>
    <row r="741">
      <c r="L741" s="416"/>
      <c r="M741" s="293"/>
      <c r="P741" s="416"/>
      <c r="Q741" s="416"/>
      <c r="R741" s="416"/>
      <c r="S741" s="604"/>
      <c r="T741" s="605"/>
      <c r="U741" s="605"/>
      <c r="V741" s="605"/>
      <c r="W741" s="605"/>
    </row>
    <row r="742">
      <c r="L742" s="416"/>
      <c r="M742" s="293"/>
      <c r="P742" s="416"/>
      <c r="Q742" s="416"/>
      <c r="R742" s="416"/>
      <c r="S742" s="604"/>
      <c r="T742" s="605"/>
      <c r="U742" s="605"/>
      <c r="V742" s="605"/>
      <c r="W742" s="605"/>
    </row>
    <row r="743">
      <c r="L743" s="416"/>
      <c r="M743" s="293"/>
      <c r="P743" s="416"/>
      <c r="Q743" s="416"/>
      <c r="R743" s="416"/>
      <c r="S743" s="604"/>
      <c r="T743" s="605"/>
      <c r="U743" s="605"/>
      <c r="V743" s="605"/>
      <c r="W743" s="605"/>
    </row>
    <row r="744">
      <c r="L744" s="416"/>
      <c r="M744" s="293"/>
      <c r="P744" s="416"/>
      <c r="Q744" s="416"/>
      <c r="R744" s="416"/>
      <c r="S744" s="604"/>
      <c r="T744" s="605"/>
      <c r="U744" s="605"/>
      <c r="V744" s="605"/>
      <c r="W744" s="605"/>
    </row>
    <row r="745">
      <c r="L745" s="416"/>
      <c r="M745" s="293"/>
      <c r="P745" s="416"/>
      <c r="Q745" s="416"/>
      <c r="R745" s="416"/>
      <c r="S745" s="604"/>
      <c r="T745" s="605"/>
      <c r="U745" s="605"/>
      <c r="V745" s="605"/>
      <c r="W745" s="605"/>
    </row>
    <row r="746">
      <c r="L746" s="416"/>
      <c r="M746" s="293"/>
      <c r="P746" s="416"/>
      <c r="Q746" s="416"/>
      <c r="R746" s="416"/>
      <c r="S746" s="604"/>
      <c r="T746" s="605"/>
      <c r="U746" s="605"/>
      <c r="V746" s="605"/>
      <c r="W746" s="605"/>
    </row>
    <row r="747">
      <c r="L747" s="416"/>
      <c r="M747" s="293"/>
      <c r="P747" s="416"/>
      <c r="Q747" s="416"/>
      <c r="R747" s="416"/>
      <c r="S747" s="604"/>
      <c r="T747" s="605"/>
      <c r="U747" s="605"/>
      <c r="V747" s="605"/>
      <c r="W747" s="605"/>
    </row>
    <row r="748">
      <c r="L748" s="416"/>
      <c r="M748" s="293"/>
      <c r="P748" s="416"/>
      <c r="Q748" s="416"/>
      <c r="R748" s="416"/>
      <c r="S748" s="604"/>
      <c r="T748" s="605"/>
      <c r="U748" s="605"/>
      <c r="V748" s="605"/>
      <c r="W748" s="605"/>
    </row>
    <row r="749">
      <c r="L749" s="416"/>
      <c r="M749" s="293"/>
      <c r="P749" s="416"/>
      <c r="Q749" s="416"/>
      <c r="R749" s="416"/>
      <c r="S749" s="604"/>
      <c r="T749" s="605"/>
      <c r="U749" s="605"/>
      <c r="V749" s="605"/>
      <c r="W749" s="605"/>
    </row>
    <row r="750">
      <c r="L750" s="416"/>
      <c r="M750" s="293"/>
      <c r="P750" s="416"/>
      <c r="Q750" s="416"/>
      <c r="R750" s="416"/>
      <c r="S750" s="604"/>
      <c r="T750" s="605"/>
      <c r="U750" s="605"/>
      <c r="V750" s="605"/>
      <c r="W750" s="605"/>
    </row>
    <row r="751">
      <c r="L751" s="416"/>
      <c r="M751" s="293"/>
      <c r="P751" s="416"/>
      <c r="Q751" s="416"/>
      <c r="R751" s="416"/>
      <c r="S751" s="604"/>
      <c r="T751" s="605"/>
      <c r="U751" s="605"/>
      <c r="V751" s="605"/>
      <c r="W751" s="605"/>
    </row>
    <row r="752">
      <c r="L752" s="416"/>
      <c r="M752" s="293"/>
      <c r="P752" s="416"/>
      <c r="Q752" s="416"/>
      <c r="R752" s="416"/>
      <c r="S752" s="604"/>
      <c r="T752" s="605"/>
      <c r="U752" s="605"/>
      <c r="V752" s="605"/>
      <c r="W752" s="605"/>
    </row>
    <row r="753">
      <c r="L753" s="416"/>
      <c r="M753" s="293"/>
      <c r="P753" s="416"/>
      <c r="Q753" s="416"/>
      <c r="R753" s="416"/>
      <c r="S753" s="604"/>
      <c r="T753" s="605"/>
      <c r="U753" s="605"/>
      <c r="V753" s="605"/>
      <c r="W753" s="605"/>
    </row>
    <row r="754">
      <c r="L754" s="416"/>
      <c r="M754" s="293"/>
      <c r="P754" s="416"/>
      <c r="Q754" s="416"/>
      <c r="R754" s="416"/>
      <c r="S754" s="604"/>
      <c r="T754" s="605"/>
      <c r="U754" s="605"/>
      <c r="V754" s="605"/>
      <c r="W754" s="605"/>
    </row>
    <row r="755">
      <c r="L755" s="416"/>
      <c r="M755" s="293"/>
      <c r="P755" s="416"/>
      <c r="Q755" s="416"/>
      <c r="R755" s="416"/>
      <c r="S755" s="604"/>
      <c r="T755" s="605"/>
      <c r="U755" s="605"/>
      <c r="V755" s="605"/>
      <c r="W755" s="605"/>
    </row>
    <row r="756">
      <c r="L756" s="416"/>
      <c r="M756" s="293"/>
      <c r="P756" s="416"/>
      <c r="Q756" s="416"/>
      <c r="R756" s="416"/>
      <c r="S756" s="604"/>
      <c r="T756" s="605"/>
      <c r="U756" s="605"/>
      <c r="V756" s="605"/>
      <c r="W756" s="605"/>
    </row>
    <row r="757">
      <c r="L757" s="416"/>
      <c r="M757" s="293"/>
      <c r="P757" s="416"/>
      <c r="Q757" s="416"/>
      <c r="R757" s="416"/>
      <c r="S757" s="604"/>
      <c r="T757" s="605"/>
      <c r="U757" s="605"/>
      <c r="V757" s="605"/>
      <c r="W757" s="605"/>
    </row>
    <row r="758">
      <c r="L758" s="416"/>
      <c r="M758" s="293"/>
      <c r="P758" s="416"/>
      <c r="Q758" s="416"/>
      <c r="R758" s="416"/>
      <c r="S758" s="604"/>
      <c r="T758" s="605"/>
      <c r="U758" s="605"/>
      <c r="V758" s="605"/>
      <c r="W758" s="605"/>
    </row>
    <row r="759">
      <c r="L759" s="416"/>
      <c r="M759" s="293"/>
      <c r="P759" s="416"/>
      <c r="Q759" s="416"/>
      <c r="R759" s="416"/>
      <c r="S759" s="604"/>
      <c r="T759" s="605"/>
      <c r="U759" s="605"/>
      <c r="V759" s="605"/>
      <c r="W759" s="605"/>
    </row>
    <row r="760">
      <c r="L760" s="416"/>
      <c r="M760" s="293"/>
      <c r="P760" s="416"/>
      <c r="Q760" s="416"/>
      <c r="R760" s="416"/>
      <c r="S760" s="604"/>
      <c r="T760" s="605"/>
      <c r="U760" s="605"/>
      <c r="V760" s="605"/>
      <c r="W760" s="605"/>
    </row>
    <row r="761">
      <c r="L761" s="416"/>
      <c r="M761" s="293"/>
      <c r="P761" s="416"/>
      <c r="Q761" s="416"/>
      <c r="R761" s="416"/>
      <c r="S761" s="604"/>
      <c r="T761" s="605"/>
      <c r="U761" s="605"/>
      <c r="V761" s="605"/>
      <c r="W761" s="605"/>
    </row>
    <row r="762">
      <c r="L762" s="416"/>
      <c r="M762" s="293"/>
      <c r="P762" s="416"/>
      <c r="Q762" s="416"/>
      <c r="R762" s="416"/>
      <c r="S762" s="604"/>
      <c r="T762" s="605"/>
      <c r="U762" s="605"/>
      <c r="V762" s="605"/>
      <c r="W762" s="605"/>
    </row>
    <row r="763">
      <c r="L763" s="416"/>
      <c r="M763" s="293"/>
      <c r="P763" s="416"/>
      <c r="Q763" s="416"/>
      <c r="R763" s="416"/>
      <c r="S763" s="604"/>
      <c r="T763" s="605"/>
      <c r="U763" s="605"/>
      <c r="V763" s="605"/>
      <c r="W763" s="605"/>
    </row>
    <row r="764">
      <c r="L764" s="416"/>
      <c r="M764" s="293"/>
      <c r="P764" s="416"/>
      <c r="Q764" s="416"/>
      <c r="R764" s="416"/>
      <c r="S764" s="604"/>
      <c r="T764" s="605"/>
      <c r="U764" s="605"/>
      <c r="V764" s="605"/>
      <c r="W764" s="605"/>
    </row>
    <row r="765">
      <c r="L765" s="416"/>
      <c r="M765" s="293"/>
      <c r="P765" s="416"/>
      <c r="Q765" s="416"/>
      <c r="R765" s="416"/>
      <c r="S765" s="604"/>
      <c r="T765" s="605"/>
      <c r="U765" s="605"/>
      <c r="V765" s="605"/>
      <c r="W765" s="605"/>
    </row>
    <row r="766">
      <c r="L766" s="416"/>
      <c r="M766" s="293"/>
      <c r="P766" s="416"/>
      <c r="Q766" s="416"/>
      <c r="R766" s="416"/>
      <c r="S766" s="604"/>
      <c r="T766" s="605"/>
      <c r="U766" s="605"/>
      <c r="V766" s="605"/>
      <c r="W766" s="605"/>
    </row>
    <row r="767">
      <c r="L767" s="416"/>
      <c r="M767" s="293"/>
      <c r="P767" s="416"/>
      <c r="Q767" s="416"/>
      <c r="R767" s="416"/>
      <c r="S767" s="604"/>
      <c r="T767" s="605"/>
      <c r="U767" s="605"/>
      <c r="V767" s="605"/>
      <c r="W767" s="605"/>
    </row>
    <row r="768">
      <c r="L768" s="416"/>
      <c r="M768" s="293"/>
      <c r="P768" s="416"/>
      <c r="Q768" s="416"/>
      <c r="R768" s="416"/>
      <c r="S768" s="604"/>
      <c r="T768" s="605"/>
      <c r="U768" s="605"/>
      <c r="V768" s="605"/>
      <c r="W768" s="605"/>
    </row>
    <row r="769">
      <c r="L769" s="416"/>
      <c r="M769" s="293"/>
      <c r="P769" s="416"/>
      <c r="Q769" s="416"/>
      <c r="R769" s="416"/>
      <c r="S769" s="604"/>
      <c r="T769" s="605"/>
      <c r="U769" s="605"/>
      <c r="V769" s="605"/>
      <c r="W769" s="605"/>
    </row>
    <row r="770">
      <c r="L770" s="416"/>
      <c r="M770" s="293"/>
      <c r="P770" s="416"/>
      <c r="Q770" s="416"/>
      <c r="R770" s="416"/>
      <c r="S770" s="604"/>
      <c r="T770" s="605"/>
      <c r="U770" s="605"/>
      <c r="V770" s="605"/>
      <c r="W770" s="605"/>
    </row>
    <row r="771">
      <c r="L771" s="416"/>
      <c r="M771" s="293"/>
      <c r="P771" s="416"/>
      <c r="Q771" s="416"/>
      <c r="R771" s="416"/>
      <c r="S771" s="604"/>
      <c r="T771" s="605"/>
      <c r="U771" s="605"/>
      <c r="V771" s="605"/>
      <c r="W771" s="605"/>
    </row>
    <row r="772">
      <c r="L772" s="416"/>
      <c r="M772" s="293"/>
      <c r="P772" s="416"/>
      <c r="Q772" s="416"/>
      <c r="R772" s="416"/>
      <c r="S772" s="604"/>
      <c r="T772" s="605"/>
      <c r="U772" s="605"/>
      <c r="V772" s="605"/>
      <c r="W772" s="605"/>
    </row>
    <row r="773">
      <c r="L773" s="416"/>
      <c r="M773" s="293"/>
      <c r="P773" s="416"/>
      <c r="Q773" s="416"/>
      <c r="R773" s="416"/>
      <c r="S773" s="604"/>
      <c r="T773" s="605"/>
      <c r="U773" s="605"/>
      <c r="V773" s="605"/>
      <c r="W773" s="605"/>
    </row>
    <row r="774">
      <c r="L774" s="416"/>
      <c r="M774" s="293"/>
      <c r="P774" s="416"/>
      <c r="Q774" s="416"/>
      <c r="R774" s="416"/>
      <c r="S774" s="604"/>
      <c r="T774" s="605"/>
      <c r="U774" s="605"/>
      <c r="V774" s="605"/>
      <c r="W774" s="605"/>
    </row>
    <row r="775">
      <c r="L775" s="416"/>
      <c r="M775" s="293"/>
      <c r="P775" s="416"/>
      <c r="Q775" s="416"/>
      <c r="R775" s="416"/>
      <c r="S775" s="604"/>
      <c r="T775" s="605"/>
      <c r="U775" s="605"/>
      <c r="V775" s="605"/>
      <c r="W775" s="605"/>
    </row>
    <row r="776">
      <c r="L776" s="416"/>
      <c r="M776" s="293"/>
      <c r="P776" s="416"/>
      <c r="Q776" s="416"/>
      <c r="R776" s="416"/>
      <c r="S776" s="604"/>
      <c r="T776" s="605"/>
      <c r="U776" s="605"/>
      <c r="V776" s="605"/>
      <c r="W776" s="605"/>
    </row>
    <row r="777">
      <c r="L777" s="416"/>
      <c r="M777" s="293"/>
      <c r="P777" s="416"/>
      <c r="Q777" s="416"/>
      <c r="R777" s="416"/>
      <c r="S777" s="604"/>
      <c r="T777" s="605"/>
      <c r="U777" s="605"/>
      <c r="V777" s="605"/>
      <c r="W777" s="605"/>
    </row>
    <row r="778">
      <c r="L778" s="416"/>
      <c r="M778" s="293"/>
      <c r="P778" s="416"/>
      <c r="Q778" s="416"/>
      <c r="R778" s="416"/>
      <c r="S778" s="604"/>
      <c r="T778" s="605"/>
      <c r="U778" s="605"/>
      <c r="V778" s="605"/>
      <c r="W778" s="605"/>
    </row>
    <row r="779">
      <c r="L779" s="416"/>
      <c r="M779" s="293"/>
      <c r="P779" s="416"/>
      <c r="Q779" s="416"/>
      <c r="R779" s="416"/>
      <c r="S779" s="604"/>
      <c r="T779" s="605"/>
      <c r="U779" s="605"/>
      <c r="V779" s="605"/>
      <c r="W779" s="605"/>
    </row>
    <row r="780">
      <c r="L780" s="416"/>
      <c r="M780" s="293"/>
      <c r="P780" s="416"/>
      <c r="Q780" s="416"/>
      <c r="R780" s="416"/>
      <c r="S780" s="604"/>
      <c r="T780" s="605"/>
      <c r="U780" s="605"/>
      <c r="V780" s="605"/>
      <c r="W780" s="605"/>
    </row>
    <row r="781">
      <c r="L781" s="416"/>
      <c r="M781" s="293"/>
      <c r="P781" s="416"/>
      <c r="Q781" s="416"/>
      <c r="R781" s="416"/>
      <c r="S781" s="604"/>
      <c r="T781" s="605"/>
      <c r="U781" s="605"/>
      <c r="V781" s="605"/>
      <c r="W781" s="605"/>
    </row>
    <row r="782">
      <c r="L782" s="416"/>
      <c r="M782" s="293"/>
      <c r="P782" s="416"/>
      <c r="Q782" s="416"/>
      <c r="R782" s="416"/>
      <c r="S782" s="604"/>
      <c r="T782" s="605"/>
      <c r="U782" s="605"/>
      <c r="V782" s="605"/>
      <c r="W782" s="605"/>
    </row>
    <row r="783">
      <c r="L783" s="416"/>
      <c r="M783" s="293"/>
      <c r="P783" s="416"/>
      <c r="Q783" s="416"/>
      <c r="R783" s="416"/>
      <c r="S783" s="604"/>
      <c r="T783" s="605"/>
      <c r="U783" s="605"/>
      <c r="V783" s="605"/>
      <c r="W783" s="605"/>
    </row>
    <row r="784">
      <c r="L784" s="416"/>
      <c r="M784" s="293"/>
      <c r="P784" s="416"/>
      <c r="Q784" s="416"/>
      <c r="R784" s="416"/>
      <c r="S784" s="604"/>
      <c r="T784" s="605"/>
      <c r="U784" s="605"/>
      <c r="V784" s="605"/>
      <c r="W784" s="605"/>
    </row>
    <row r="785">
      <c r="L785" s="416"/>
      <c r="M785" s="293"/>
      <c r="P785" s="416"/>
      <c r="Q785" s="416"/>
      <c r="R785" s="416"/>
      <c r="S785" s="604"/>
      <c r="T785" s="605"/>
      <c r="U785" s="605"/>
      <c r="V785" s="605"/>
      <c r="W785" s="605"/>
    </row>
    <row r="786">
      <c r="L786" s="416"/>
      <c r="M786" s="293"/>
      <c r="P786" s="416"/>
      <c r="Q786" s="416"/>
      <c r="R786" s="416"/>
      <c r="S786" s="604"/>
      <c r="T786" s="605"/>
      <c r="U786" s="605"/>
      <c r="V786" s="605"/>
      <c r="W786" s="605"/>
    </row>
    <row r="787">
      <c r="L787" s="416"/>
      <c r="M787" s="293"/>
      <c r="P787" s="416"/>
      <c r="Q787" s="416"/>
      <c r="R787" s="416"/>
      <c r="S787" s="604"/>
      <c r="T787" s="605"/>
      <c r="U787" s="605"/>
      <c r="V787" s="605"/>
      <c r="W787" s="605"/>
    </row>
    <row r="788">
      <c r="L788" s="416"/>
      <c r="M788" s="293"/>
      <c r="P788" s="416"/>
      <c r="Q788" s="416"/>
      <c r="R788" s="416"/>
      <c r="S788" s="604"/>
      <c r="T788" s="605"/>
      <c r="U788" s="605"/>
      <c r="V788" s="605"/>
      <c r="W788" s="605"/>
    </row>
    <row r="789">
      <c r="L789" s="416"/>
      <c r="M789" s="293"/>
      <c r="P789" s="416"/>
      <c r="Q789" s="416"/>
      <c r="R789" s="416"/>
      <c r="S789" s="604"/>
      <c r="T789" s="605"/>
      <c r="U789" s="605"/>
      <c r="V789" s="605"/>
      <c r="W789" s="605"/>
    </row>
    <row r="790">
      <c r="L790" s="416"/>
      <c r="M790" s="293"/>
      <c r="P790" s="416"/>
      <c r="Q790" s="416"/>
      <c r="R790" s="416"/>
      <c r="S790" s="604"/>
      <c r="T790" s="605"/>
      <c r="U790" s="605"/>
      <c r="V790" s="605"/>
      <c r="W790" s="605"/>
    </row>
    <row r="791">
      <c r="L791" s="416"/>
      <c r="M791" s="293"/>
      <c r="P791" s="416"/>
      <c r="Q791" s="416"/>
      <c r="R791" s="416"/>
      <c r="S791" s="604"/>
      <c r="T791" s="605"/>
      <c r="U791" s="605"/>
      <c r="V791" s="605"/>
      <c r="W791" s="605"/>
    </row>
    <row r="792">
      <c r="L792" s="416"/>
      <c r="M792" s="293"/>
      <c r="P792" s="416"/>
      <c r="Q792" s="416"/>
      <c r="R792" s="416"/>
      <c r="S792" s="604"/>
      <c r="T792" s="605"/>
      <c r="U792" s="605"/>
      <c r="V792" s="605"/>
      <c r="W792" s="605"/>
    </row>
    <row r="793">
      <c r="L793" s="416"/>
      <c r="M793" s="293"/>
      <c r="P793" s="416"/>
      <c r="Q793" s="416"/>
      <c r="R793" s="416"/>
      <c r="S793" s="604"/>
      <c r="T793" s="605"/>
      <c r="U793" s="605"/>
      <c r="V793" s="605"/>
      <c r="W793" s="605"/>
    </row>
    <row r="794">
      <c r="L794" s="416"/>
      <c r="M794" s="293"/>
      <c r="P794" s="416"/>
      <c r="Q794" s="416"/>
      <c r="R794" s="416"/>
      <c r="S794" s="604"/>
      <c r="T794" s="605"/>
      <c r="U794" s="605"/>
      <c r="V794" s="605"/>
      <c r="W794" s="605"/>
    </row>
    <row r="795">
      <c r="L795" s="416"/>
      <c r="M795" s="293"/>
      <c r="P795" s="416"/>
      <c r="Q795" s="416"/>
      <c r="R795" s="416"/>
      <c r="S795" s="604"/>
      <c r="T795" s="605"/>
      <c r="U795" s="605"/>
      <c r="V795" s="605"/>
      <c r="W795" s="605"/>
    </row>
    <row r="796">
      <c r="L796" s="416"/>
      <c r="M796" s="293"/>
      <c r="P796" s="416"/>
      <c r="Q796" s="416"/>
      <c r="R796" s="416"/>
      <c r="S796" s="604"/>
      <c r="T796" s="605"/>
      <c r="U796" s="605"/>
      <c r="V796" s="605"/>
      <c r="W796" s="605"/>
    </row>
    <row r="797">
      <c r="L797" s="416"/>
      <c r="M797" s="293"/>
      <c r="P797" s="416"/>
      <c r="Q797" s="416"/>
      <c r="R797" s="416"/>
      <c r="S797" s="604"/>
      <c r="T797" s="605"/>
      <c r="U797" s="605"/>
      <c r="V797" s="605"/>
      <c r="W797" s="605"/>
    </row>
    <row r="798">
      <c r="L798" s="416"/>
      <c r="M798" s="293"/>
      <c r="P798" s="416"/>
      <c r="Q798" s="416"/>
      <c r="R798" s="416"/>
      <c r="S798" s="604"/>
      <c r="T798" s="605"/>
      <c r="U798" s="605"/>
      <c r="V798" s="605"/>
      <c r="W798" s="605"/>
    </row>
    <row r="799">
      <c r="L799" s="416"/>
      <c r="M799" s="293"/>
      <c r="P799" s="416"/>
      <c r="Q799" s="416"/>
      <c r="R799" s="416"/>
      <c r="S799" s="604"/>
      <c r="T799" s="605"/>
      <c r="U799" s="605"/>
      <c r="V799" s="605"/>
      <c r="W799" s="605"/>
    </row>
    <row r="800">
      <c r="L800" s="416"/>
      <c r="M800" s="293"/>
      <c r="P800" s="416"/>
      <c r="Q800" s="416"/>
      <c r="R800" s="416"/>
      <c r="S800" s="604"/>
      <c r="T800" s="605"/>
      <c r="U800" s="605"/>
      <c r="V800" s="605"/>
      <c r="W800" s="605"/>
    </row>
    <row r="801">
      <c r="L801" s="416"/>
      <c r="M801" s="293"/>
      <c r="P801" s="416"/>
      <c r="Q801" s="416"/>
      <c r="R801" s="416"/>
      <c r="S801" s="604"/>
      <c r="T801" s="605"/>
      <c r="U801" s="605"/>
      <c r="V801" s="605"/>
      <c r="W801" s="605"/>
    </row>
    <row r="802">
      <c r="L802" s="416"/>
      <c r="M802" s="293"/>
      <c r="P802" s="416"/>
      <c r="Q802" s="416"/>
      <c r="R802" s="416"/>
      <c r="S802" s="604"/>
      <c r="T802" s="605"/>
      <c r="U802" s="605"/>
      <c r="V802" s="605"/>
      <c r="W802" s="605"/>
    </row>
    <row r="803">
      <c r="L803" s="416"/>
      <c r="M803" s="293"/>
      <c r="P803" s="416"/>
      <c r="Q803" s="416"/>
      <c r="R803" s="416"/>
      <c r="S803" s="604"/>
      <c r="T803" s="605"/>
      <c r="U803" s="605"/>
      <c r="V803" s="605"/>
      <c r="W803" s="605"/>
    </row>
    <row r="804">
      <c r="L804" s="416"/>
      <c r="M804" s="293"/>
      <c r="P804" s="416"/>
      <c r="Q804" s="416"/>
      <c r="R804" s="416"/>
      <c r="S804" s="604"/>
      <c r="T804" s="605"/>
      <c r="U804" s="605"/>
      <c r="V804" s="605"/>
      <c r="W804" s="605"/>
    </row>
    <row r="805">
      <c r="L805" s="416"/>
      <c r="M805" s="293"/>
      <c r="P805" s="416"/>
      <c r="Q805" s="416"/>
      <c r="R805" s="416"/>
      <c r="S805" s="604"/>
      <c r="T805" s="605"/>
      <c r="U805" s="605"/>
      <c r="V805" s="605"/>
      <c r="W805" s="605"/>
    </row>
    <row r="806">
      <c r="L806" s="416"/>
      <c r="M806" s="293"/>
      <c r="P806" s="416"/>
      <c r="Q806" s="416"/>
      <c r="R806" s="416"/>
      <c r="S806" s="604"/>
      <c r="T806" s="605"/>
      <c r="U806" s="605"/>
      <c r="V806" s="605"/>
      <c r="W806" s="605"/>
    </row>
    <row r="807">
      <c r="L807" s="416"/>
      <c r="M807" s="293"/>
      <c r="P807" s="416"/>
      <c r="Q807" s="416"/>
      <c r="R807" s="416"/>
      <c r="S807" s="604"/>
      <c r="T807" s="605"/>
      <c r="U807" s="605"/>
      <c r="V807" s="605"/>
      <c r="W807" s="605"/>
    </row>
    <row r="808">
      <c r="L808" s="416"/>
      <c r="M808" s="293"/>
      <c r="P808" s="416"/>
      <c r="Q808" s="416"/>
      <c r="R808" s="416"/>
      <c r="S808" s="604"/>
      <c r="T808" s="605"/>
      <c r="U808" s="605"/>
      <c r="V808" s="605"/>
      <c r="W808" s="605"/>
    </row>
    <row r="809">
      <c r="L809" s="416"/>
      <c r="M809" s="293"/>
      <c r="P809" s="416"/>
      <c r="Q809" s="416"/>
      <c r="R809" s="416"/>
      <c r="S809" s="604"/>
      <c r="T809" s="605"/>
      <c r="U809" s="605"/>
      <c r="V809" s="605"/>
      <c r="W809" s="605"/>
    </row>
    <row r="810">
      <c r="L810" s="416"/>
      <c r="M810" s="293"/>
      <c r="P810" s="416"/>
      <c r="Q810" s="416"/>
      <c r="R810" s="416"/>
      <c r="S810" s="604"/>
      <c r="T810" s="605"/>
      <c r="U810" s="605"/>
      <c r="V810" s="605"/>
      <c r="W810" s="605"/>
    </row>
    <row r="811">
      <c r="L811" s="416"/>
      <c r="M811" s="293"/>
      <c r="P811" s="416"/>
      <c r="Q811" s="416"/>
      <c r="R811" s="416"/>
      <c r="S811" s="604"/>
      <c r="T811" s="605"/>
      <c r="U811" s="605"/>
      <c r="V811" s="605"/>
      <c r="W811" s="605"/>
    </row>
    <row r="812">
      <c r="L812" s="416"/>
      <c r="M812" s="293"/>
      <c r="P812" s="416"/>
      <c r="Q812" s="416"/>
      <c r="R812" s="416"/>
      <c r="S812" s="604"/>
      <c r="T812" s="605"/>
      <c r="U812" s="605"/>
      <c r="V812" s="605"/>
      <c r="W812" s="605"/>
    </row>
    <row r="813">
      <c r="L813" s="416"/>
      <c r="M813" s="293"/>
      <c r="P813" s="416"/>
      <c r="Q813" s="416"/>
      <c r="R813" s="416"/>
      <c r="S813" s="604"/>
      <c r="T813" s="605"/>
      <c r="U813" s="605"/>
      <c r="V813" s="605"/>
      <c r="W813" s="605"/>
    </row>
    <row r="814">
      <c r="L814" s="416"/>
      <c r="M814" s="293"/>
      <c r="P814" s="416"/>
      <c r="Q814" s="416"/>
      <c r="R814" s="416"/>
      <c r="S814" s="604"/>
      <c r="T814" s="605"/>
      <c r="U814" s="605"/>
      <c r="V814" s="605"/>
      <c r="W814" s="605"/>
    </row>
    <row r="815">
      <c r="L815" s="416"/>
      <c r="M815" s="293"/>
      <c r="P815" s="416"/>
      <c r="Q815" s="416"/>
      <c r="R815" s="416"/>
      <c r="S815" s="604"/>
      <c r="T815" s="605"/>
      <c r="U815" s="605"/>
      <c r="V815" s="605"/>
      <c r="W815" s="605"/>
    </row>
    <row r="816">
      <c r="L816" s="416"/>
      <c r="M816" s="293"/>
      <c r="P816" s="416"/>
      <c r="Q816" s="416"/>
      <c r="R816" s="416"/>
      <c r="S816" s="604"/>
      <c r="T816" s="605"/>
      <c r="U816" s="605"/>
      <c r="V816" s="605"/>
      <c r="W816" s="605"/>
    </row>
    <row r="817">
      <c r="L817" s="416"/>
      <c r="M817" s="293"/>
      <c r="P817" s="416"/>
      <c r="Q817" s="416"/>
      <c r="R817" s="416"/>
      <c r="S817" s="604"/>
      <c r="T817" s="605"/>
      <c r="U817" s="605"/>
      <c r="V817" s="605"/>
      <c r="W817" s="605"/>
    </row>
    <row r="818">
      <c r="L818" s="416"/>
      <c r="M818" s="293"/>
      <c r="P818" s="416"/>
      <c r="Q818" s="416"/>
      <c r="R818" s="416"/>
      <c r="S818" s="604"/>
      <c r="T818" s="605"/>
      <c r="U818" s="605"/>
      <c r="V818" s="605"/>
      <c r="W818" s="605"/>
    </row>
    <row r="819">
      <c r="L819" s="416"/>
      <c r="M819" s="293"/>
      <c r="P819" s="416"/>
      <c r="Q819" s="416"/>
      <c r="R819" s="416"/>
      <c r="S819" s="604"/>
      <c r="T819" s="605"/>
      <c r="U819" s="605"/>
      <c r="V819" s="605"/>
      <c r="W819" s="605"/>
    </row>
    <row r="820">
      <c r="L820" s="416"/>
      <c r="M820" s="293"/>
      <c r="P820" s="416"/>
      <c r="Q820" s="416"/>
      <c r="R820" s="416"/>
      <c r="S820" s="604"/>
      <c r="T820" s="605"/>
      <c r="U820" s="605"/>
      <c r="V820" s="605"/>
      <c r="W820" s="605"/>
    </row>
    <row r="821">
      <c r="L821" s="416"/>
      <c r="M821" s="293"/>
      <c r="P821" s="416"/>
      <c r="Q821" s="416"/>
      <c r="R821" s="416"/>
      <c r="S821" s="604"/>
      <c r="T821" s="605"/>
      <c r="U821" s="605"/>
      <c r="V821" s="605"/>
      <c r="W821" s="605"/>
    </row>
    <row r="822">
      <c r="L822" s="416"/>
      <c r="M822" s="293"/>
      <c r="P822" s="416"/>
      <c r="Q822" s="416"/>
      <c r="R822" s="416"/>
      <c r="S822" s="604"/>
      <c r="T822" s="605"/>
      <c r="U822" s="605"/>
      <c r="V822" s="605"/>
      <c r="W822" s="605"/>
    </row>
    <row r="823">
      <c r="L823" s="416"/>
      <c r="M823" s="293"/>
      <c r="P823" s="416"/>
      <c r="Q823" s="416"/>
      <c r="R823" s="416"/>
      <c r="S823" s="604"/>
      <c r="T823" s="605"/>
      <c r="U823" s="605"/>
      <c r="V823" s="605"/>
      <c r="W823" s="605"/>
    </row>
    <row r="824">
      <c r="L824" s="416"/>
      <c r="M824" s="293"/>
      <c r="P824" s="416"/>
      <c r="Q824" s="416"/>
      <c r="R824" s="416"/>
      <c r="S824" s="604"/>
      <c r="T824" s="605"/>
      <c r="U824" s="605"/>
      <c r="V824" s="605"/>
      <c r="W824" s="605"/>
    </row>
    <row r="825">
      <c r="L825" s="416"/>
      <c r="M825" s="293"/>
      <c r="P825" s="416"/>
      <c r="Q825" s="416"/>
      <c r="R825" s="416"/>
      <c r="S825" s="604"/>
      <c r="T825" s="605"/>
      <c r="U825" s="605"/>
      <c r="V825" s="605"/>
      <c r="W825" s="605"/>
    </row>
    <row r="826">
      <c r="L826" s="416"/>
      <c r="M826" s="293"/>
      <c r="P826" s="416"/>
      <c r="Q826" s="416"/>
      <c r="R826" s="416"/>
      <c r="S826" s="604"/>
      <c r="T826" s="605"/>
      <c r="U826" s="605"/>
      <c r="V826" s="605"/>
      <c r="W826" s="605"/>
    </row>
    <row r="827">
      <c r="L827" s="416"/>
      <c r="M827" s="293"/>
      <c r="P827" s="416"/>
      <c r="Q827" s="416"/>
      <c r="R827" s="416"/>
      <c r="S827" s="604"/>
      <c r="T827" s="605"/>
      <c r="U827" s="605"/>
      <c r="V827" s="605"/>
      <c r="W827" s="605"/>
    </row>
    <row r="828">
      <c r="L828" s="416"/>
      <c r="M828" s="293"/>
      <c r="P828" s="416"/>
      <c r="Q828" s="416"/>
      <c r="R828" s="416"/>
      <c r="S828" s="604"/>
      <c r="T828" s="605"/>
      <c r="U828" s="605"/>
      <c r="V828" s="605"/>
      <c r="W828" s="605"/>
    </row>
    <row r="829">
      <c r="L829" s="416"/>
      <c r="M829" s="293"/>
      <c r="P829" s="416"/>
      <c r="Q829" s="416"/>
      <c r="R829" s="416"/>
      <c r="S829" s="604"/>
      <c r="T829" s="605"/>
      <c r="U829" s="605"/>
      <c r="V829" s="605"/>
      <c r="W829" s="605"/>
    </row>
    <row r="830">
      <c r="L830" s="416"/>
      <c r="M830" s="293"/>
      <c r="P830" s="416"/>
      <c r="Q830" s="416"/>
      <c r="R830" s="416"/>
      <c r="S830" s="604"/>
      <c r="T830" s="605"/>
      <c r="U830" s="605"/>
      <c r="V830" s="605"/>
      <c r="W830" s="605"/>
    </row>
    <row r="831">
      <c r="L831" s="416"/>
      <c r="M831" s="293"/>
      <c r="P831" s="416"/>
      <c r="Q831" s="416"/>
      <c r="R831" s="416"/>
      <c r="S831" s="604"/>
      <c r="T831" s="605"/>
      <c r="U831" s="605"/>
      <c r="V831" s="605"/>
      <c r="W831" s="605"/>
    </row>
    <row r="832">
      <c r="L832" s="416"/>
      <c r="M832" s="293"/>
      <c r="P832" s="416"/>
      <c r="Q832" s="416"/>
      <c r="R832" s="416"/>
      <c r="S832" s="604"/>
      <c r="T832" s="605"/>
      <c r="U832" s="605"/>
      <c r="V832" s="605"/>
      <c r="W832" s="605"/>
    </row>
    <row r="833">
      <c r="L833" s="416"/>
      <c r="M833" s="293"/>
      <c r="P833" s="416"/>
      <c r="Q833" s="416"/>
      <c r="R833" s="416"/>
      <c r="S833" s="604"/>
      <c r="T833" s="605"/>
      <c r="U833" s="605"/>
      <c r="V833" s="605"/>
      <c r="W833" s="605"/>
    </row>
    <row r="834">
      <c r="L834" s="416"/>
      <c r="M834" s="293"/>
      <c r="P834" s="416"/>
      <c r="Q834" s="416"/>
      <c r="R834" s="416"/>
      <c r="S834" s="604"/>
      <c r="T834" s="605"/>
      <c r="U834" s="605"/>
      <c r="V834" s="605"/>
      <c r="W834" s="605"/>
    </row>
    <row r="835">
      <c r="L835" s="416"/>
      <c r="M835" s="293"/>
      <c r="P835" s="416"/>
      <c r="Q835" s="416"/>
      <c r="R835" s="416"/>
      <c r="S835" s="604"/>
      <c r="T835" s="605"/>
      <c r="U835" s="605"/>
      <c r="V835" s="605"/>
      <c r="W835" s="605"/>
    </row>
    <row r="836">
      <c r="L836" s="416"/>
      <c r="M836" s="293"/>
      <c r="P836" s="416"/>
      <c r="Q836" s="416"/>
      <c r="R836" s="416"/>
      <c r="S836" s="604"/>
      <c r="T836" s="605"/>
      <c r="U836" s="605"/>
      <c r="V836" s="605"/>
      <c r="W836" s="605"/>
    </row>
    <row r="837">
      <c r="L837" s="416"/>
      <c r="M837" s="293"/>
      <c r="P837" s="416"/>
      <c r="Q837" s="416"/>
      <c r="R837" s="416"/>
      <c r="S837" s="604"/>
      <c r="T837" s="605"/>
      <c r="U837" s="605"/>
      <c r="V837" s="605"/>
      <c r="W837" s="605"/>
    </row>
    <row r="838">
      <c r="L838" s="416"/>
      <c r="M838" s="293"/>
      <c r="P838" s="416"/>
      <c r="Q838" s="416"/>
      <c r="R838" s="416"/>
      <c r="S838" s="604"/>
      <c r="T838" s="605"/>
      <c r="U838" s="605"/>
      <c r="V838" s="605"/>
      <c r="W838" s="605"/>
    </row>
    <row r="839">
      <c r="L839" s="416"/>
      <c r="M839" s="293"/>
      <c r="P839" s="416"/>
      <c r="Q839" s="416"/>
      <c r="R839" s="416"/>
      <c r="S839" s="604"/>
      <c r="T839" s="605"/>
      <c r="U839" s="605"/>
      <c r="V839" s="605"/>
      <c r="W839" s="605"/>
    </row>
    <row r="840">
      <c r="L840" s="416"/>
      <c r="M840" s="293"/>
      <c r="P840" s="416"/>
      <c r="Q840" s="416"/>
      <c r="R840" s="416"/>
      <c r="S840" s="604"/>
      <c r="T840" s="605"/>
      <c r="U840" s="605"/>
      <c r="V840" s="605"/>
      <c r="W840" s="605"/>
    </row>
    <row r="841">
      <c r="L841" s="416"/>
      <c r="M841" s="293"/>
      <c r="P841" s="416"/>
      <c r="Q841" s="416"/>
      <c r="R841" s="416"/>
      <c r="S841" s="604"/>
      <c r="T841" s="605"/>
      <c r="U841" s="605"/>
      <c r="V841" s="605"/>
      <c r="W841" s="605"/>
    </row>
    <row r="842">
      <c r="L842" s="416"/>
      <c r="M842" s="293"/>
      <c r="P842" s="416"/>
      <c r="Q842" s="416"/>
      <c r="R842" s="416"/>
      <c r="S842" s="604"/>
      <c r="T842" s="605"/>
      <c r="U842" s="605"/>
      <c r="V842" s="605"/>
      <c r="W842" s="605"/>
    </row>
    <row r="843">
      <c r="L843" s="416"/>
      <c r="M843" s="293"/>
      <c r="P843" s="416"/>
      <c r="Q843" s="416"/>
      <c r="R843" s="416"/>
      <c r="S843" s="604"/>
      <c r="T843" s="605"/>
      <c r="U843" s="605"/>
      <c r="V843" s="605"/>
      <c r="W843" s="605"/>
    </row>
    <row r="844">
      <c r="L844" s="416"/>
      <c r="M844" s="293"/>
      <c r="P844" s="416"/>
      <c r="Q844" s="416"/>
      <c r="R844" s="416"/>
      <c r="S844" s="604"/>
      <c r="T844" s="605"/>
      <c r="U844" s="605"/>
      <c r="V844" s="605"/>
      <c r="W844" s="605"/>
    </row>
    <row r="845">
      <c r="L845" s="416"/>
      <c r="M845" s="293"/>
      <c r="P845" s="416"/>
      <c r="Q845" s="416"/>
      <c r="R845" s="416"/>
      <c r="S845" s="604"/>
      <c r="T845" s="605"/>
      <c r="U845" s="605"/>
      <c r="V845" s="605"/>
      <c r="W845" s="605"/>
    </row>
    <row r="846">
      <c r="L846" s="416"/>
      <c r="M846" s="293"/>
      <c r="P846" s="416"/>
      <c r="Q846" s="416"/>
      <c r="R846" s="416"/>
      <c r="S846" s="604"/>
      <c r="T846" s="605"/>
      <c r="U846" s="605"/>
      <c r="V846" s="605"/>
      <c r="W846" s="605"/>
    </row>
    <row r="847">
      <c r="L847" s="416"/>
      <c r="M847" s="293"/>
      <c r="P847" s="416"/>
      <c r="Q847" s="416"/>
      <c r="R847" s="416"/>
      <c r="S847" s="604"/>
      <c r="T847" s="605"/>
      <c r="U847" s="605"/>
      <c r="V847" s="605"/>
      <c r="W847" s="605"/>
    </row>
    <row r="848">
      <c r="L848" s="416"/>
      <c r="M848" s="293"/>
      <c r="P848" s="416"/>
      <c r="Q848" s="416"/>
      <c r="R848" s="416"/>
      <c r="S848" s="604"/>
      <c r="T848" s="605"/>
      <c r="U848" s="605"/>
      <c r="V848" s="605"/>
      <c r="W848" s="605"/>
    </row>
    <row r="849">
      <c r="L849" s="416"/>
      <c r="M849" s="293"/>
      <c r="P849" s="416"/>
      <c r="Q849" s="416"/>
      <c r="R849" s="416"/>
      <c r="S849" s="604"/>
      <c r="T849" s="605"/>
      <c r="U849" s="605"/>
      <c r="V849" s="605"/>
      <c r="W849" s="605"/>
    </row>
    <row r="850">
      <c r="L850" s="416"/>
      <c r="M850" s="293"/>
      <c r="P850" s="416"/>
      <c r="Q850" s="416"/>
      <c r="R850" s="416"/>
      <c r="S850" s="604"/>
      <c r="T850" s="605"/>
      <c r="U850" s="605"/>
      <c r="V850" s="605"/>
      <c r="W850" s="605"/>
    </row>
    <row r="851">
      <c r="L851" s="416"/>
      <c r="M851" s="293"/>
      <c r="P851" s="416"/>
      <c r="Q851" s="416"/>
      <c r="R851" s="416"/>
      <c r="S851" s="604"/>
      <c r="T851" s="605"/>
      <c r="U851" s="605"/>
      <c r="V851" s="605"/>
      <c r="W851" s="605"/>
    </row>
    <row r="852">
      <c r="L852" s="416"/>
      <c r="M852" s="293"/>
      <c r="P852" s="416"/>
      <c r="Q852" s="416"/>
      <c r="R852" s="416"/>
      <c r="S852" s="604"/>
      <c r="T852" s="605"/>
      <c r="U852" s="605"/>
      <c r="V852" s="605"/>
      <c r="W852" s="605"/>
    </row>
    <row r="853">
      <c r="L853" s="416"/>
      <c r="M853" s="293"/>
      <c r="P853" s="416"/>
      <c r="Q853" s="416"/>
      <c r="R853" s="416"/>
      <c r="S853" s="604"/>
      <c r="T853" s="605"/>
      <c r="U853" s="605"/>
      <c r="V853" s="605"/>
      <c r="W853" s="605"/>
    </row>
    <row r="854">
      <c r="L854" s="416"/>
      <c r="M854" s="293"/>
      <c r="P854" s="416"/>
      <c r="Q854" s="416"/>
      <c r="R854" s="416"/>
      <c r="S854" s="604"/>
      <c r="T854" s="605"/>
      <c r="U854" s="605"/>
      <c r="V854" s="605"/>
      <c r="W854" s="605"/>
    </row>
    <row r="855">
      <c r="L855" s="416"/>
      <c r="M855" s="293"/>
      <c r="P855" s="416"/>
      <c r="Q855" s="416"/>
      <c r="R855" s="416"/>
      <c r="S855" s="604"/>
      <c r="T855" s="605"/>
      <c r="U855" s="605"/>
      <c r="V855" s="605"/>
      <c r="W855" s="605"/>
    </row>
    <row r="856">
      <c r="L856" s="416"/>
      <c r="M856" s="293"/>
      <c r="P856" s="416"/>
      <c r="Q856" s="416"/>
      <c r="R856" s="416"/>
      <c r="S856" s="604"/>
      <c r="T856" s="605"/>
      <c r="U856" s="605"/>
      <c r="V856" s="605"/>
      <c r="W856" s="605"/>
    </row>
    <row r="857">
      <c r="L857" s="416"/>
      <c r="M857" s="293"/>
      <c r="P857" s="416"/>
      <c r="Q857" s="416"/>
      <c r="R857" s="416"/>
      <c r="S857" s="604"/>
      <c r="T857" s="605"/>
      <c r="U857" s="605"/>
      <c r="V857" s="605"/>
      <c r="W857" s="605"/>
    </row>
    <row r="858">
      <c r="L858" s="416"/>
      <c r="M858" s="293"/>
      <c r="P858" s="416"/>
      <c r="Q858" s="416"/>
      <c r="R858" s="416"/>
      <c r="S858" s="604"/>
      <c r="T858" s="605"/>
      <c r="U858" s="605"/>
      <c r="V858" s="605"/>
      <c r="W858" s="605"/>
    </row>
    <row r="859">
      <c r="L859" s="416"/>
      <c r="M859" s="293"/>
      <c r="P859" s="416"/>
      <c r="Q859" s="416"/>
      <c r="R859" s="416"/>
      <c r="S859" s="604"/>
      <c r="T859" s="605"/>
      <c r="U859" s="605"/>
      <c r="V859" s="605"/>
      <c r="W859" s="605"/>
    </row>
    <row r="860">
      <c r="L860" s="416"/>
      <c r="M860" s="293"/>
      <c r="P860" s="416"/>
      <c r="Q860" s="416"/>
      <c r="R860" s="416"/>
      <c r="S860" s="604"/>
      <c r="T860" s="605"/>
      <c r="U860" s="605"/>
      <c r="V860" s="605"/>
      <c r="W860" s="605"/>
    </row>
    <row r="861">
      <c r="L861" s="416"/>
      <c r="M861" s="293"/>
      <c r="P861" s="416"/>
      <c r="Q861" s="416"/>
      <c r="R861" s="416"/>
      <c r="S861" s="604"/>
      <c r="T861" s="605"/>
      <c r="U861" s="605"/>
      <c r="V861" s="605"/>
      <c r="W861" s="605"/>
    </row>
    <row r="862">
      <c r="L862" s="416"/>
      <c r="M862" s="293"/>
      <c r="P862" s="416"/>
      <c r="Q862" s="416"/>
      <c r="R862" s="416"/>
      <c r="S862" s="604"/>
      <c r="T862" s="605"/>
      <c r="U862" s="605"/>
      <c r="V862" s="605"/>
      <c r="W862" s="605"/>
    </row>
    <row r="863">
      <c r="L863" s="416"/>
      <c r="M863" s="293"/>
      <c r="P863" s="416"/>
      <c r="Q863" s="416"/>
      <c r="R863" s="416"/>
      <c r="S863" s="604"/>
      <c r="T863" s="605"/>
      <c r="U863" s="605"/>
      <c r="V863" s="605"/>
      <c r="W863" s="605"/>
    </row>
    <row r="864">
      <c r="L864" s="416"/>
      <c r="M864" s="293"/>
      <c r="P864" s="416"/>
      <c r="Q864" s="416"/>
      <c r="R864" s="416"/>
      <c r="S864" s="604"/>
      <c r="T864" s="605"/>
      <c r="U864" s="605"/>
      <c r="V864" s="605"/>
      <c r="W864" s="605"/>
    </row>
    <row r="865">
      <c r="L865" s="416"/>
      <c r="M865" s="293"/>
      <c r="P865" s="416"/>
      <c r="Q865" s="416"/>
      <c r="R865" s="416"/>
      <c r="S865" s="604"/>
      <c r="T865" s="605"/>
      <c r="U865" s="605"/>
      <c r="V865" s="605"/>
      <c r="W865" s="605"/>
    </row>
    <row r="866">
      <c r="L866" s="416"/>
      <c r="M866" s="293"/>
      <c r="P866" s="416"/>
      <c r="Q866" s="416"/>
      <c r="R866" s="416"/>
      <c r="S866" s="604"/>
      <c r="T866" s="605"/>
      <c r="U866" s="605"/>
      <c r="V866" s="605"/>
      <c r="W866" s="605"/>
    </row>
    <row r="867">
      <c r="L867" s="416"/>
      <c r="M867" s="293"/>
      <c r="P867" s="416"/>
      <c r="Q867" s="416"/>
      <c r="R867" s="416"/>
      <c r="S867" s="604"/>
      <c r="T867" s="605"/>
      <c r="U867" s="605"/>
      <c r="V867" s="605"/>
      <c r="W867" s="605"/>
    </row>
    <row r="868">
      <c r="L868" s="416"/>
      <c r="M868" s="293"/>
      <c r="P868" s="416"/>
      <c r="Q868" s="416"/>
      <c r="R868" s="416"/>
      <c r="S868" s="604"/>
      <c r="T868" s="605"/>
      <c r="U868" s="605"/>
      <c r="V868" s="605"/>
      <c r="W868" s="605"/>
    </row>
    <row r="869">
      <c r="L869" s="416"/>
      <c r="M869" s="293"/>
      <c r="P869" s="416"/>
      <c r="Q869" s="416"/>
      <c r="R869" s="416"/>
      <c r="S869" s="604"/>
      <c r="T869" s="605"/>
      <c r="U869" s="605"/>
      <c r="V869" s="605"/>
      <c r="W869" s="605"/>
    </row>
    <row r="870">
      <c r="L870" s="416"/>
      <c r="M870" s="293"/>
      <c r="P870" s="416"/>
      <c r="Q870" s="416"/>
      <c r="R870" s="416"/>
      <c r="S870" s="604"/>
      <c r="T870" s="605"/>
      <c r="U870" s="605"/>
      <c r="V870" s="605"/>
      <c r="W870" s="605"/>
    </row>
    <row r="871">
      <c r="L871" s="416"/>
      <c r="M871" s="293"/>
      <c r="P871" s="416"/>
      <c r="Q871" s="416"/>
      <c r="R871" s="416"/>
      <c r="S871" s="604"/>
      <c r="T871" s="605"/>
      <c r="U871" s="605"/>
      <c r="V871" s="605"/>
      <c r="W871" s="605"/>
    </row>
    <row r="872">
      <c r="L872" s="416"/>
      <c r="M872" s="293"/>
      <c r="P872" s="416"/>
      <c r="Q872" s="416"/>
      <c r="R872" s="416"/>
      <c r="S872" s="604"/>
      <c r="T872" s="605"/>
      <c r="U872" s="605"/>
      <c r="V872" s="605"/>
      <c r="W872" s="605"/>
    </row>
    <row r="873">
      <c r="L873" s="416"/>
      <c r="M873" s="293"/>
      <c r="P873" s="416"/>
      <c r="Q873" s="416"/>
      <c r="R873" s="416"/>
      <c r="S873" s="604"/>
      <c r="T873" s="605"/>
      <c r="U873" s="605"/>
      <c r="V873" s="605"/>
      <c r="W873" s="605"/>
    </row>
    <row r="874">
      <c r="L874" s="416"/>
      <c r="M874" s="293"/>
      <c r="P874" s="416"/>
      <c r="Q874" s="416"/>
      <c r="R874" s="416"/>
      <c r="S874" s="604"/>
      <c r="T874" s="605"/>
      <c r="U874" s="605"/>
      <c r="V874" s="605"/>
      <c r="W874" s="605"/>
    </row>
    <row r="875">
      <c r="L875" s="416"/>
      <c r="M875" s="293"/>
      <c r="P875" s="416"/>
      <c r="Q875" s="416"/>
      <c r="R875" s="416"/>
      <c r="S875" s="604"/>
      <c r="T875" s="605"/>
      <c r="U875" s="605"/>
      <c r="V875" s="605"/>
      <c r="W875" s="605"/>
    </row>
    <row r="876">
      <c r="L876" s="416"/>
      <c r="M876" s="293"/>
      <c r="P876" s="416"/>
      <c r="Q876" s="416"/>
      <c r="R876" s="416"/>
      <c r="S876" s="604"/>
      <c r="T876" s="605"/>
      <c r="U876" s="605"/>
      <c r="V876" s="605"/>
      <c r="W876" s="605"/>
    </row>
    <row r="877">
      <c r="L877" s="416"/>
      <c r="M877" s="293"/>
      <c r="P877" s="416"/>
      <c r="Q877" s="416"/>
      <c r="R877" s="416"/>
      <c r="S877" s="604"/>
      <c r="T877" s="605"/>
      <c r="U877" s="605"/>
      <c r="V877" s="605"/>
      <c r="W877" s="605"/>
    </row>
    <row r="878">
      <c r="L878" s="416"/>
      <c r="M878" s="293"/>
      <c r="P878" s="416"/>
      <c r="Q878" s="416"/>
      <c r="R878" s="416"/>
      <c r="S878" s="604"/>
      <c r="T878" s="605"/>
      <c r="U878" s="605"/>
      <c r="V878" s="605"/>
      <c r="W878" s="605"/>
    </row>
    <row r="879">
      <c r="L879" s="416"/>
      <c r="M879" s="293"/>
      <c r="P879" s="416"/>
      <c r="Q879" s="416"/>
      <c r="R879" s="416"/>
      <c r="S879" s="604"/>
      <c r="T879" s="605"/>
      <c r="U879" s="605"/>
      <c r="V879" s="605"/>
      <c r="W879" s="605"/>
    </row>
    <row r="880">
      <c r="L880" s="416"/>
      <c r="M880" s="293"/>
      <c r="P880" s="416"/>
      <c r="Q880" s="416"/>
      <c r="R880" s="416"/>
      <c r="S880" s="604"/>
      <c r="T880" s="605"/>
      <c r="U880" s="605"/>
      <c r="V880" s="605"/>
      <c r="W880" s="605"/>
    </row>
    <row r="881">
      <c r="L881" s="416"/>
      <c r="M881" s="293"/>
      <c r="P881" s="416"/>
      <c r="Q881" s="416"/>
      <c r="R881" s="416"/>
      <c r="S881" s="604"/>
      <c r="T881" s="605"/>
      <c r="U881" s="605"/>
      <c r="V881" s="605"/>
      <c r="W881" s="605"/>
    </row>
    <row r="882">
      <c r="L882" s="416"/>
      <c r="M882" s="293"/>
      <c r="P882" s="416"/>
      <c r="Q882" s="416"/>
      <c r="R882" s="416"/>
      <c r="S882" s="604"/>
      <c r="T882" s="605"/>
      <c r="U882" s="605"/>
      <c r="V882" s="605"/>
      <c r="W882" s="605"/>
    </row>
    <row r="883">
      <c r="L883" s="416"/>
      <c r="M883" s="293"/>
      <c r="P883" s="416"/>
      <c r="Q883" s="416"/>
      <c r="R883" s="416"/>
      <c r="S883" s="604"/>
      <c r="T883" s="605"/>
      <c r="U883" s="605"/>
      <c r="V883" s="605"/>
      <c r="W883" s="605"/>
    </row>
    <row r="884">
      <c r="L884" s="416"/>
      <c r="M884" s="293"/>
      <c r="P884" s="416"/>
      <c r="Q884" s="416"/>
      <c r="R884" s="416"/>
      <c r="S884" s="604"/>
      <c r="T884" s="605"/>
      <c r="U884" s="605"/>
      <c r="V884" s="605"/>
      <c r="W884" s="605"/>
    </row>
    <row r="885">
      <c r="L885" s="416"/>
      <c r="M885" s="293"/>
      <c r="P885" s="416"/>
      <c r="Q885" s="416"/>
      <c r="R885" s="416"/>
      <c r="S885" s="604"/>
      <c r="T885" s="605"/>
      <c r="U885" s="605"/>
      <c r="V885" s="605"/>
      <c r="W885" s="605"/>
    </row>
    <row r="886">
      <c r="L886" s="416"/>
      <c r="M886" s="293"/>
      <c r="P886" s="416"/>
      <c r="Q886" s="416"/>
      <c r="R886" s="416"/>
      <c r="S886" s="604"/>
      <c r="T886" s="605"/>
      <c r="U886" s="605"/>
      <c r="V886" s="605"/>
      <c r="W886" s="605"/>
    </row>
    <row r="887">
      <c r="L887" s="416"/>
      <c r="M887" s="293"/>
      <c r="P887" s="416"/>
      <c r="Q887" s="416"/>
      <c r="R887" s="416"/>
      <c r="S887" s="604"/>
      <c r="T887" s="605"/>
      <c r="U887" s="605"/>
      <c r="V887" s="605"/>
      <c r="W887" s="605"/>
    </row>
    <row r="888">
      <c r="L888" s="416"/>
      <c r="M888" s="293"/>
      <c r="P888" s="416"/>
      <c r="Q888" s="416"/>
      <c r="R888" s="416"/>
      <c r="S888" s="604"/>
      <c r="T888" s="605"/>
      <c r="U888" s="605"/>
      <c r="V888" s="605"/>
      <c r="W888" s="605"/>
    </row>
    <row r="889">
      <c r="L889" s="416"/>
      <c r="M889" s="293"/>
      <c r="P889" s="416"/>
      <c r="Q889" s="416"/>
      <c r="R889" s="416"/>
      <c r="S889" s="604"/>
      <c r="T889" s="605"/>
      <c r="U889" s="605"/>
      <c r="V889" s="605"/>
      <c r="W889" s="605"/>
    </row>
    <row r="890">
      <c r="L890" s="416"/>
      <c r="M890" s="293"/>
      <c r="P890" s="416"/>
      <c r="Q890" s="416"/>
      <c r="R890" s="416"/>
      <c r="S890" s="604"/>
      <c r="T890" s="605"/>
      <c r="U890" s="605"/>
      <c r="V890" s="605"/>
      <c r="W890" s="605"/>
    </row>
    <row r="891">
      <c r="L891" s="416"/>
      <c r="M891" s="293"/>
      <c r="P891" s="416"/>
      <c r="Q891" s="416"/>
      <c r="R891" s="416"/>
      <c r="S891" s="604"/>
      <c r="T891" s="605"/>
      <c r="U891" s="605"/>
      <c r="V891" s="605"/>
      <c r="W891" s="605"/>
    </row>
    <row r="892">
      <c r="L892" s="416"/>
      <c r="M892" s="293"/>
      <c r="P892" s="416"/>
      <c r="Q892" s="416"/>
      <c r="R892" s="416"/>
      <c r="S892" s="604"/>
      <c r="T892" s="605"/>
      <c r="U892" s="605"/>
      <c r="V892" s="605"/>
      <c r="W892" s="605"/>
    </row>
    <row r="893">
      <c r="L893" s="416"/>
      <c r="M893" s="293"/>
      <c r="P893" s="416"/>
      <c r="Q893" s="416"/>
      <c r="R893" s="416"/>
      <c r="S893" s="604"/>
      <c r="T893" s="605"/>
      <c r="U893" s="605"/>
      <c r="V893" s="605"/>
      <c r="W893" s="605"/>
    </row>
    <row r="894">
      <c r="L894" s="416"/>
      <c r="M894" s="293"/>
      <c r="P894" s="416"/>
      <c r="Q894" s="416"/>
      <c r="R894" s="416"/>
      <c r="S894" s="604"/>
      <c r="T894" s="605"/>
      <c r="U894" s="605"/>
      <c r="V894" s="605"/>
      <c r="W894" s="605"/>
    </row>
    <row r="895">
      <c r="L895" s="416"/>
      <c r="M895" s="293"/>
      <c r="P895" s="416"/>
      <c r="Q895" s="416"/>
      <c r="R895" s="416"/>
      <c r="S895" s="604"/>
      <c r="T895" s="605"/>
      <c r="U895" s="605"/>
      <c r="V895" s="605"/>
      <c r="W895" s="605"/>
    </row>
    <row r="896">
      <c r="L896" s="416"/>
      <c r="M896" s="293"/>
      <c r="P896" s="416"/>
      <c r="Q896" s="416"/>
      <c r="R896" s="416"/>
      <c r="S896" s="604"/>
      <c r="T896" s="605"/>
      <c r="U896" s="605"/>
      <c r="V896" s="605"/>
      <c r="W896" s="605"/>
    </row>
    <row r="897">
      <c r="L897" s="416"/>
      <c r="M897" s="293"/>
      <c r="P897" s="416"/>
      <c r="Q897" s="416"/>
      <c r="R897" s="416"/>
      <c r="S897" s="604"/>
      <c r="T897" s="605"/>
      <c r="U897" s="605"/>
      <c r="V897" s="605"/>
      <c r="W897" s="605"/>
    </row>
    <row r="898">
      <c r="L898" s="416"/>
      <c r="M898" s="293"/>
      <c r="P898" s="416"/>
      <c r="Q898" s="416"/>
      <c r="R898" s="416"/>
      <c r="S898" s="604"/>
      <c r="T898" s="605"/>
      <c r="U898" s="605"/>
      <c r="V898" s="605"/>
      <c r="W898" s="605"/>
    </row>
    <row r="899">
      <c r="L899" s="416"/>
      <c r="M899" s="293"/>
      <c r="P899" s="416"/>
      <c r="Q899" s="416"/>
      <c r="R899" s="416"/>
      <c r="S899" s="604"/>
      <c r="T899" s="605"/>
      <c r="U899" s="605"/>
      <c r="V899" s="605"/>
      <c r="W899" s="605"/>
    </row>
    <row r="900">
      <c r="L900" s="416"/>
      <c r="M900" s="293"/>
      <c r="P900" s="416"/>
      <c r="Q900" s="416"/>
      <c r="R900" s="416"/>
      <c r="S900" s="604"/>
      <c r="T900" s="605"/>
      <c r="U900" s="605"/>
      <c r="V900" s="605"/>
      <c r="W900" s="605"/>
    </row>
    <row r="901">
      <c r="L901" s="416"/>
      <c r="M901" s="293"/>
      <c r="P901" s="416"/>
      <c r="Q901" s="416"/>
      <c r="R901" s="416"/>
      <c r="S901" s="604"/>
      <c r="T901" s="605"/>
      <c r="U901" s="605"/>
      <c r="V901" s="605"/>
      <c r="W901" s="605"/>
    </row>
    <row r="902">
      <c r="L902" s="416"/>
      <c r="M902" s="293"/>
      <c r="P902" s="416"/>
      <c r="Q902" s="416"/>
      <c r="R902" s="416"/>
      <c r="S902" s="604"/>
      <c r="T902" s="605"/>
      <c r="U902" s="605"/>
      <c r="V902" s="605"/>
      <c r="W902" s="605"/>
    </row>
    <row r="903">
      <c r="L903" s="416"/>
      <c r="M903" s="293"/>
      <c r="P903" s="416"/>
      <c r="Q903" s="416"/>
      <c r="R903" s="416"/>
      <c r="S903" s="604"/>
      <c r="T903" s="605"/>
      <c r="U903" s="605"/>
      <c r="V903" s="605"/>
      <c r="W903" s="605"/>
    </row>
    <row r="904">
      <c r="L904" s="416"/>
      <c r="M904" s="293"/>
      <c r="P904" s="416"/>
      <c r="Q904" s="416"/>
      <c r="R904" s="416"/>
      <c r="S904" s="604"/>
      <c r="T904" s="605"/>
      <c r="U904" s="605"/>
      <c r="V904" s="605"/>
      <c r="W904" s="605"/>
    </row>
    <row r="905">
      <c r="L905" s="416"/>
      <c r="M905" s="293"/>
      <c r="P905" s="416"/>
      <c r="Q905" s="416"/>
      <c r="R905" s="416"/>
      <c r="S905" s="604"/>
      <c r="T905" s="605"/>
      <c r="U905" s="605"/>
      <c r="V905" s="605"/>
      <c r="W905" s="605"/>
    </row>
    <row r="906">
      <c r="L906" s="416"/>
      <c r="M906" s="293"/>
      <c r="P906" s="416"/>
      <c r="Q906" s="416"/>
      <c r="R906" s="416"/>
      <c r="S906" s="604"/>
      <c r="T906" s="605"/>
      <c r="U906" s="605"/>
      <c r="V906" s="605"/>
      <c r="W906" s="605"/>
    </row>
    <row r="907">
      <c r="L907" s="416"/>
      <c r="M907" s="293"/>
      <c r="P907" s="416"/>
      <c r="Q907" s="416"/>
      <c r="R907" s="416"/>
      <c r="S907" s="604"/>
      <c r="T907" s="605"/>
      <c r="U907" s="605"/>
      <c r="V907" s="605"/>
      <c r="W907" s="605"/>
    </row>
    <row r="908">
      <c r="L908" s="416"/>
      <c r="M908" s="293"/>
      <c r="P908" s="416"/>
      <c r="Q908" s="416"/>
      <c r="R908" s="416"/>
      <c r="S908" s="604"/>
      <c r="T908" s="605"/>
      <c r="U908" s="605"/>
      <c r="V908" s="605"/>
      <c r="W908" s="605"/>
    </row>
    <row r="909">
      <c r="L909" s="416"/>
      <c r="M909" s="293"/>
      <c r="P909" s="416"/>
      <c r="Q909" s="416"/>
      <c r="R909" s="416"/>
      <c r="S909" s="604"/>
      <c r="T909" s="605"/>
      <c r="U909" s="605"/>
      <c r="V909" s="605"/>
      <c r="W909" s="605"/>
    </row>
    <row r="910">
      <c r="L910" s="416"/>
      <c r="M910" s="293"/>
      <c r="P910" s="416"/>
      <c r="Q910" s="416"/>
      <c r="R910" s="416"/>
      <c r="S910" s="604"/>
      <c r="T910" s="605"/>
      <c r="U910" s="605"/>
      <c r="V910" s="605"/>
      <c r="W910" s="605"/>
    </row>
    <row r="911">
      <c r="L911" s="416"/>
      <c r="M911" s="293"/>
      <c r="P911" s="416"/>
      <c r="Q911" s="416"/>
      <c r="R911" s="416"/>
      <c r="S911" s="604"/>
      <c r="T911" s="605"/>
      <c r="U911" s="605"/>
      <c r="V911" s="605"/>
      <c r="W911" s="605"/>
    </row>
    <row r="912">
      <c r="L912" s="416"/>
      <c r="M912" s="293"/>
      <c r="P912" s="416"/>
      <c r="Q912" s="416"/>
      <c r="R912" s="416"/>
      <c r="S912" s="604"/>
      <c r="T912" s="605"/>
      <c r="U912" s="605"/>
      <c r="V912" s="605"/>
      <c r="W912" s="605"/>
    </row>
    <row r="913">
      <c r="L913" s="416"/>
      <c r="M913" s="293"/>
      <c r="P913" s="416"/>
      <c r="Q913" s="416"/>
      <c r="R913" s="416"/>
      <c r="S913" s="604"/>
      <c r="T913" s="605"/>
      <c r="U913" s="605"/>
      <c r="V913" s="605"/>
      <c r="W913" s="605"/>
    </row>
    <row r="914">
      <c r="L914" s="416"/>
      <c r="M914" s="293"/>
      <c r="P914" s="416"/>
      <c r="Q914" s="416"/>
      <c r="R914" s="416"/>
      <c r="S914" s="604"/>
      <c r="T914" s="605"/>
      <c r="U914" s="605"/>
      <c r="V914" s="605"/>
      <c r="W914" s="605"/>
    </row>
    <row r="915">
      <c r="L915" s="416"/>
      <c r="M915" s="293"/>
      <c r="P915" s="416"/>
      <c r="Q915" s="416"/>
      <c r="R915" s="416"/>
      <c r="S915" s="604"/>
      <c r="T915" s="605"/>
      <c r="U915" s="605"/>
      <c r="V915" s="605"/>
      <c r="W915" s="605"/>
    </row>
    <row r="916">
      <c r="L916" s="416"/>
      <c r="M916" s="293"/>
      <c r="P916" s="416"/>
      <c r="Q916" s="416"/>
      <c r="R916" s="416"/>
      <c r="S916" s="604"/>
      <c r="T916" s="605"/>
      <c r="U916" s="605"/>
      <c r="V916" s="605"/>
      <c r="W916" s="605"/>
    </row>
    <row r="917">
      <c r="L917" s="416"/>
      <c r="M917" s="293"/>
      <c r="P917" s="416"/>
      <c r="Q917" s="416"/>
      <c r="R917" s="416"/>
      <c r="S917" s="604"/>
      <c r="T917" s="605"/>
      <c r="U917" s="605"/>
      <c r="V917" s="605"/>
      <c r="W917" s="605"/>
    </row>
    <row r="918">
      <c r="L918" s="416"/>
      <c r="M918" s="293"/>
      <c r="P918" s="416"/>
      <c r="Q918" s="416"/>
      <c r="R918" s="416"/>
      <c r="S918" s="604"/>
      <c r="T918" s="605"/>
      <c r="U918" s="605"/>
      <c r="V918" s="605"/>
      <c r="W918" s="605"/>
    </row>
    <row r="919">
      <c r="L919" s="416"/>
      <c r="M919" s="293"/>
      <c r="P919" s="416"/>
      <c r="Q919" s="416"/>
      <c r="R919" s="416"/>
      <c r="S919" s="604"/>
      <c r="T919" s="605"/>
      <c r="U919" s="605"/>
      <c r="V919" s="605"/>
      <c r="W919" s="605"/>
    </row>
    <row r="920">
      <c r="L920" s="416"/>
      <c r="M920" s="293"/>
      <c r="P920" s="416"/>
      <c r="Q920" s="416"/>
      <c r="R920" s="416"/>
      <c r="S920" s="604"/>
      <c r="T920" s="605"/>
      <c r="U920" s="605"/>
      <c r="V920" s="605"/>
      <c r="W920" s="605"/>
    </row>
    <row r="921">
      <c r="L921" s="416"/>
      <c r="M921" s="293"/>
      <c r="P921" s="416"/>
      <c r="Q921" s="416"/>
      <c r="R921" s="416"/>
      <c r="S921" s="604"/>
      <c r="T921" s="605"/>
      <c r="U921" s="605"/>
      <c r="V921" s="605"/>
      <c r="W921" s="605"/>
    </row>
    <row r="922">
      <c r="L922" s="416"/>
      <c r="M922" s="293"/>
      <c r="P922" s="416"/>
      <c r="Q922" s="416"/>
      <c r="R922" s="416"/>
      <c r="S922" s="604"/>
      <c r="T922" s="605"/>
      <c r="U922" s="605"/>
      <c r="V922" s="605"/>
      <c r="W922" s="605"/>
    </row>
    <row r="923">
      <c r="L923" s="416"/>
      <c r="M923" s="293"/>
      <c r="P923" s="416"/>
      <c r="Q923" s="416"/>
      <c r="R923" s="416"/>
      <c r="S923" s="604"/>
      <c r="T923" s="605"/>
      <c r="U923" s="605"/>
      <c r="V923" s="605"/>
      <c r="W923" s="605"/>
    </row>
    <row r="924">
      <c r="L924" s="416"/>
      <c r="M924" s="293"/>
      <c r="P924" s="416"/>
      <c r="Q924" s="416"/>
      <c r="R924" s="416"/>
      <c r="S924" s="604"/>
      <c r="T924" s="605"/>
      <c r="U924" s="605"/>
      <c r="V924" s="605"/>
      <c r="W924" s="605"/>
    </row>
    <row r="925">
      <c r="L925" s="416"/>
      <c r="M925" s="293"/>
      <c r="P925" s="416"/>
      <c r="Q925" s="416"/>
      <c r="R925" s="416"/>
      <c r="S925" s="604"/>
      <c r="T925" s="605"/>
      <c r="U925" s="605"/>
      <c r="V925" s="605"/>
      <c r="W925" s="605"/>
    </row>
    <row r="926">
      <c r="L926" s="416"/>
      <c r="M926" s="293"/>
      <c r="P926" s="416"/>
      <c r="Q926" s="416"/>
      <c r="R926" s="416"/>
      <c r="S926" s="604"/>
      <c r="T926" s="605"/>
      <c r="U926" s="605"/>
      <c r="V926" s="605"/>
      <c r="W926" s="605"/>
    </row>
    <row r="927">
      <c r="L927" s="416"/>
      <c r="M927" s="293"/>
      <c r="P927" s="416"/>
      <c r="Q927" s="416"/>
      <c r="R927" s="416"/>
      <c r="S927" s="604"/>
      <c r="T927" s="605"/>
      <c r="U927" s="605"/>
      <c r="V927" s="605"/>
      <c r="W927" s="605"/>
    </row>
    <row r="928">
      <c r="L928" s="416"/>
      <c r="M928" s="293"/>
      <c r="P928" s="416"/>
      <c r="Q928" s="416"/>
      <c r="R928" s="416"/>
      <c r="S928" s="604"/>
      <c r="T928" s="605"/>
      <c r="U928" s="605"/>
      <c r="V928" s="605"/>
      <c r="W928" s="605"/>
    </row>
    <row r="929">
      <c r="L929" s="416"/>
      <c r="M929" s="293"/>
      <c r="P929" s="416"/>
      <c r="Q929" s="416"/>
      <c r="R929" s="416"/>
      <c r="S929" s="604"/>
      <c r="T929" s="605"/>
      <c r="U929" s="605"/>
      <c r="V929" s="605"/>
      <c r="W929" s="605"/>
    </row>
    <row r="930">
      <c r="L930" s="416"/>
      <c r="M930" s="293"/>
      <c r="P930" s="416"/>
      <c r="Q930" s="416"/>
      <c r="R930" s="416"/>
      <c r="S930" s="604"/>
      <c r="T930" s="605"/>
      <c r="U930" s="605"/>
      <c r="V930" s="605"/>
      <c r="W930" s="605"/>
    </row>
    <row r="931">
      <c r="L931" s="416"/>
      <c r="M931" s="293"/>
      <c r="P931" s="416"/>
      <c r="Q931" s="416"/>
      <c r="R931" s="416"/>
      <c r="S931" s="604"/>
      <c r="T931" s="605"/>
      <c r="U931" s="605"/>
      <c r="V931" s="605"/>
      <c r="W931" s="605"/>
    </row>
    <row r="932">
      <c r="L932" s="416"/>
      <c r="M932" s="293"/>
      <c r="P932" s="416"/>
      <c r="Q932" s="416"/>
      <c r="R932" s="416"/>
      <c r="S932" s="604"/>
      <c r="T932" s="605"/>
      <c r="U932" s="605"/>
      <c r="V932" s="605"/>
      <c r="W932" s="605"/>
    </row>
    <row r="933">
      <c r="L933" s="416"/>
      <c r="M933" s="293"/>
      <c r="P933" s="416"/>
      <c r="Q933" s="416"/>
      <c r="R933" s="416"/>
      <c r="S933" s="604"/>
      <c r="T933" s="605"/>
      <c r="U933" s="605"/>
      <c r="V933" s="605"/>
      <c r="W933" s="605"/>
    </row>
    <row r="934">
      <c r="L934" s="416"/>
      <c r="M934" s="293"/>
      <c r="P934" s="416"/>
      <c r="Q934" s="416"/>
      <c r="R934" s="416"/>
      <c r="S934" s="604"/>
      <c r="T934" s="605"/>
      <c r="U934" s="605"/>
      <c r="V934" s="605"/>
      <c r="W934" s="605"/>
    </row>
    <row r="935">
      <c r="L935" s="416"/>
      <c r="M935" s="293"/>
      <c r="P935" s="416"/>
      <c r="Q935" s="416"/>
      <c r="R935" s="416"/>
      <c r="S935" s="604"/>
      <c r="T935" s="605"/>
      <c r="U935" s="605"/>
      <c r="V935" s="605"/>
      <c r="W935" s="605"/>
    </row>
    <row r="936">
      <c r="L936" s="416"/>
      <c r="M936" s="293"/>
      <c r="P936" s="416"/>
      <c r="Q936" s="416"/>
      <c r="R936" s="416"/>
      <c r="S936" s="604"/>
      <c r="T936" s="605"/>
      <c r="U936" s="605"/>
      <c r="V936" s="605"/>
      <c r="W936" s="605"/>
    </row>
    <row r="937">
      <c r="L937" s="416"/>
      <c r="M937" s="293"/>
      <c r="P937" s="416"/>
      <c r="Q937" s="416"/>
      <c r="R937" s="416"/>
      <c r="S937" s="604"/>
      <c r="T937" s="605"/>
      <c r="U937" s="605"/>
      <c r="V937" s="605"/>
      <c r="W937" s="605"/>
    </row>
    <row r="938">
      <c r="L938" s="416"/>
      <c r="M938" s="293"/>
      <c r="P938" s="416"/>
      <c r="Q938" s="416"/>
      <c r="R938" s="416"/>
      <c r="S938" s="604"/>
      <c r="T938" s="605"/>
      <c r="U938" s="605"/>
      <c r="V938" s="605"/>
      <c r="W938" s="605"/>
    </row>
    <row r="939">
      <c r="L939" s="416"/>
      <c r="M939" s="293"/>
      <c r="P939" s="416"/>
      <c r="Q939" s="416"/>
      <c r="R939" s="416"/>
      <c r="S939" s="604"/>
      <c r="T939" s="605"/>
      <c r="U939" s="605"/>
      <c r="V939" s="605"/>
      <c r="W939" s="605"/>
    </row>
    <row r="940">
      <c r="L940" s="416"/>
      <c r="M940" s="293"/>
      <c r="P940" s="416"/>
      <c r="Q940" s="416"/>
      <c r="R940" s="416"/>
      <c r="S940" s="604"/>
      <c r="T940" s="605"/>
      <c r="U940" s="605"/>
      <c r="V940" s="605"/>
      <c r="W940" s="605"/>
    </row>
    <row r="941">
      <c r="L941" s="416"/>
      <c r="M941" s="293"/>
      <c r="P941" s="416"/>
      <c r="Q941" s="416"/>
      <c r="R941" s="416"/>
      <c r="S941" s="604"/>
      <c r="T941" s="605"/>
      <c r="U941" s="605"/>
      <c r="V941" s="605"/>
      <c r="W941" s="605"/>
    </row>
    <row r="942">
      <c r="L942" s="416"/>
      <c r="M942" s="293"/>
      <c r="P942" s="416"/>
      <c r="Q942" s="416"/>
      <c r="R942" s="416"/>
      <c r="S942" s="604"/>
      <c r="T942" s="605"/>
      <c r="U942" s="605"/>
      <c r="V942" s="605"/>
      <c r="W942" s="605"/>
    </row>
    <row r="943">
      <c r="L943" s="416"/>
      <c r="M943" s="293"/>
      <c r="P943" s="416"/>
      <c r="Q943" s="416"/>
      <c r="R943" s="416"/>
      <c r="S943" s="604"/>
      <c r="T943" s="605"/>
      <c r="U943" s="605"/>
      <c r="V943" s="605"/>
      <c r="W943" s="605"/>
    </row>
    <row r="944">
      <c r="L944" s="416"/>
      <c r="M944" s="293"/>
      <c r="P944" s="416"/>
      <c r="Q944" s="416"/>
      <c r="R944" s="416"/>
      <c r="S944" s="604"/>
      <c r="T944" s="605"/>
      <c r="U944" s="605"/>
      <c r="V944" s="605"/>
      <c r="W944" s="605"/>
    </row>
    <row r="945">
      <c r="L945" s="416"/>
      <c r="M945" s="293"/>
      <c r="P945" s="416"/>
      <c r="Q945" s="416"/>
      <c r="R945" s="416"/>
      <c r="S945" s="604"/>
      <c r="T945" s="605"/>
      <c r="U945" s="605"/>
      <c r="V945" s="605"/>
      <c r="W945" s="605"/>
    </row>
    <row r="946">
      <c r="L946" s="416"/>
      <c r="M946" s="293"/>
      <c r="P946" s="416"/>
      <c r="Q946" s="416"/>
      <c r="R946" s="416"/>
      <c r="S946" s="604"/>
      <c r="T946" s="605"/>
      <c r="U946" s="605"/>
      <c r="V946" s="605"/>
      <c r="W946" s="605"/>
    </row>
    <row r="947">
      <c r="L947" s="416"/>
      <c r="M947" s="293"/>
      <c r="P947" s="416"/>
      <c r="Q947" s="416"/>
      <c r="R947" s="416"/>
      <c r="S947" s="604"/>
      <c r="T947" s="605"/>
      <c r="U947" s="605"/>
      <c r="V947" s="605"/>
      <c r="W947" s="605"/>
    </row>
    <row r="948">
      <c r="L948" s="416"/>
      <c r="M948" s="293"/>
      <c r="P948" s="416"/>
      <c r="Q948" s="416"/>
      <c r="R948" s="416"/>
      <c r="S948" s="604"/>
      <c r="T948" s="605"/>
      <c r="U948" s="605"/>
      <c r="V948" s="605"/>
      <c r="W948" s="605"/>
    </row>
    <row r="949">
      <c r="L949" s="416"/>
      <c r="M949" s="293"/>
      <c r="P949" s="416"/>
      <c r="Q949" s="416"/>
      <c r="R949" s="416"/>
      <c r="S949" s="604"/>
      <c r="T949" s="605"/>
      <c r="U949" s="605"/>
      <c r="V949" s="605"/>
      <c r="W949" s="605"/>
    </row>
    <row r="950">
      <c r="L950" s="416"/>
      <c r="M950" s="293"/>
      <c r="P950" s="416"/>
      <c r="Q950" s="416"/>
      <c r="R950" s="416"/>
      <c r="S950" s="604"/>
      <c r="T950" s="605"/>
      <c r="U950" s="605"/>
      <c r="V950" s="605"/>
      <c r="W950" s="605"/>
    </row>
    <row r="951">
      <c r="L951" s="416"/>
      <c r="M951" s="293"/>
      <c r="P951" s="416"/>
      <c r="Q951" s="416"/>
      <c r="R951" s="416"/>
      <c r="S951" s="604"/>
      <c r="T951" s="605"/>
      <c r="U951" s="605"/>
      <c r="V951" s="605"/>
      <c r="W951" s="605"/>
    </row>
    <row r="952">
      <c r="L952" s="416"/>
      <c r="M952" s="293"/>
      <c r="P952" s="416"/>
      <c r="Q952" s="416"/>
      <c r="R952" s="416"/>
      <c r="S952" s="604"/>
      <c r="T952" s="605"/>
      <c r="U952" s="605"/>
      <c r="V952" s="605"/>
      <c r="W952" s="605"/>
    </row>
    <row r="953">
      <c r="L953" s="416"/>
      <c r="M953" s="293"/>
      <c r="P953" s="416"/>
      <c r="Q953" s="416"/>
      <c r="R953" s="416"/>
      <c r="S953" s="604"/>
      <c r="T953" s="605"/>
      <c r="U953" s="605"/>
      <c r="V953" s="605"/>
      <c r="W953" s="605"/>
    </row>
    <row r="954">
      <c r="L954" s="416"/>
      <c r="M954" s="293"/>
      <c r="P954" s="416"/>
      <c r="Q954" s="416"/>
      <c r="R954" s="416"/>
      <c r="S954" s="604"/>
      <c r="T954" s="605"/>
      <c r="U954" s="605"/>
      <c r="V954" s="605"/>
      <c r="W954" s="605"/>
    </row>
    <row r="955">
      <c r="L955" s="416"/>
      <c r="M955" s="293"/>
      <c r="P955" s="416"/>
      <c r="Q955" s="416"/>
      <c r="R955" s="416"/>
      <c r="S955" s="604"/>
      <c r="T955" s="605"/>
      <c r="U955" s="605"/>
      <c r="V955" s="605"/>
      <c r="W955" s="605"/>
    </row>
    <row r="956">
      <c r="L956" s="416"/>
      <c r="M956" s="293"/>
      <c r="P956" s="416"/>
      <c r="Q956" s="416"/>
      <c r="R956" s="416"/>
      <c r="S956" s="604"/>
      <c r="T956" s="605"/>
      <c r="U956" s="605"/>
      <c r="V956" s="605"/>
      <c r="W956" s="605"/>
    </row>
    <row r="957">
      <c r="L957" s="416"/>
      <c r="M957" s="293"/>
      <c r="P957" s="416"/>
      <c r="Q957" s="416"/>
      <c r="R957" s="416"/>
      <c r="S957" s="604"/>
      <c r="T957" s="605"/>
      <c r="U957" s="605"/>
      <c r="V957" s="605"/>
      <c r="W957" s="605"/>
    </row>
    <row r="958">
      <c r="L958" s="416"/>
      <c r="M958" s="293"/>
      <c r="P958" s="416"/>
      <c r="Q958" s="416"/>
      <c r="R958" s="416"/>
      <c r="S958" s="604"/>
      <c r="T958" s="605"/>
      <c r="U958" s="605"/>
      <c r="V958" s="605"/>
      <c r="W958" s="605"/>
    </row>
    <row r="959">
      <c r="L959" s="416"/>
      <c r="M959" s="293"/>
      <c r="P959" s="416"/>
      <c r="Q959" s="416"/>
      <c r="R959" s="416"/>
      <c r="S959" s="604"/>
      <c r="T959" s="605"/>
      <c r="U959" s="605"/>
      <c r="V959" s="605"/>
      <c r="W959" s="605"/>
    </row>
    <row r="960">
      <c r="L960" s="416"/>
      <c r="M960" s="293"/>
      <c r="P960" s="416"/>
      <c r="Q960" s="416"/>
      <c r="R960" s="416"/>
      <c r="S960" s="604"/>
      <c r="T960" s="605"/>
      <c r="U960" s="605"/>
      <c r="V960" s="605"/>
      <c r="W960" s="605"/>
    </row>
    <row r="961">
      <c r="L961" s="416"/>
      <c r="M961" s="293"/>
      <c r="P961" s="416"/>
      <c r="Q961" s="416"/>
      <c r="R961" s="416"/>
      <c r="S961" s="604"/>
      <c r="T961" s="605"/>
      <c r="U961" s="605"/>
      <c r="V961" s="605"/>
      <c r="W961" s="605"/>
    </row>
    <row r="962">
      <c r="L962" s="416"/>
      <c r="M962" s="293"/>
      <c r="P962" s="416"/>
      <c r="Q962" s="416"/>
      <c r="R962" s="416"/>
      <c r="S962" s="604"/>
      <c r="T962" s="605"/>
      <c r="U962" s="605"/>
      <c r="V962" s="605"/>
      <c r="W962" s="605"/>
    </row>
    <row r="963">
      <c r="L963" s="416"/>
      <c r="M963" s="293"/>
      <c r="P963" s="416"/>
      <c r="Q963" s="416"/>
      <c r="R963" s="416"/>
      <c r="S963" s="604"/>
      <c r="T963" s="605"/>
      <c r="U963" s="605"/>
      <c r="V963" s="605"/>
      <c r="W963" s="605"/>
    </row>
    <row r="964">
      <c r="L964" s="416"/>
      <c r="M964" s="293"/>
      <c r="P964" s="416"/>
      <c r="Q964" s="416"/>
      <c r="R964" s="416"/>
      <c r="S964" s="604"/>
      <c r="T964" s="605"/>
      <c r="U964" s="605"/>
      <c r="V964" s="605"/>
      <c r="W964" s="605"/>
    </row>
    <row r="965">
      <c r="L965" s="416"/>
      <c r="M965" s="293"/>
      <c r="P965" s="416"/>
      <c r="Q965" s="416"/>
      <c r="R965" s="416"/>
      <c r="S965" s="604"/>
      <c r="T965" s="605"/>
      <c r="U965" s="605"/>
      <c r="V965" s="605"/>
      <c r="W965" s="605"/>
    </row>
    <row r="966">
      <c r="L966" s="416"/>
      <c r="M966" s="293"/>
      <c r="P966" s="416"/>
      <c r="Q966" s="416"/>
      <c r="R966" s="416"/>
      <c r="S966" s="604"/>
      <c r="T966" s="605"/>
      <c r="U966" s="605"/>
      <c r="V966" s="605"/>
      <c r="W966" s="605"/>
    </row>
    <row r="967">
      <c r="L967" s="416"/>
      <c r="M967" s="293"/>
      <c r="P967" s="416"/>
      <c r="Q967" s="416"/>
      <c r="R967" s="416"/>
      <c r="S967" s="604"/>
      <c r="T967" s="605"/>
      <c r="U967" s="605"/>
      <c r="V967" s="605"/>
      <c r="W967" s="605"/>
    </row>
    <row r="968">
      <c r="L968" s="416"/>
      <c r="M968" s="293"/>
      <c r="P968" s="416"/>
      <c r="Q968" s="416"/>
      <c r="R968" s="416"/>
      <c r="S968" s="604"/>
      <c r="T968" s="605"/>
      <c r="U968" s="605"/>
      <c r="V968" s="605"/>
      <c r="W968" s="605"/>
    </row>
    <row r="969">
      <c r="L969" s="416"/>
      <c r="M969" s="293"/>
      <c r="P969" s="416"/>
      <c r="Q969" s="416"/>
      <c r="R969" s="416"/>
      <c r="S969" s="604"/>
      <c r="T969" s="605"/>
      <c r="U969" s="605"/>
      <c r="V969" s="605"/>
      <c r="W969" s="605"/>
    </row>
    <row r="970">
      <c r="L970" s="416"/>
      <c r="M970" s="293"/>
      <c r="P970" s="416"/>
      <c r="Q970" s="416"/>
      <c r="R970" s="416"/>
      <c r="S970" s="604"/>
      <c r="T970" s="605"/>
      <c r="U970" s="605"/>
      <c r="V970" s="605"/>
      <c r="W970" s="605"/>
    </row>
    <row r="971">
      <c r="L971" s="416"/>
      <c r="M971" s="293"/>
      <c r="P971" s="416"/>
      <c r="Q971" s="416"/>
      <c r="R971" s="416"/>
      <c r="S971" s="604"/>
      <c r="T971" s="605"/>
      <c r="U971" s="605"/>
      <c r="V971" s="605"/>
      <c r="W971" s="605"/>
    </row>
    <row r="972">
      <c r="L972" s="416"/>
      <c r="M972" s="293"/>
      <c r="P972" s="416"/>
      <c r="Q972" s="416"/>
      <c r="R972" s="416"/>
      <c r="S972" s="604"/>
      <c r="T972" s="605"/>
      <c r="U972" s="605"/>
      <c r="V972" s="605"/>
      <c r="W972" s="605"/>
    </row>
    <row r="973">
      <c r="L973" s="416"/>
      <c r="M973" s="293"/>
      <c r="P973" s="416"/>
      <c r="Q973" s="416"/>
      <c r="R973" s="416"/>
      <c r="S973" s="604"/>
      <c r="T973" s="605"/>
      <c r="U973" s="605"/>
      <c r="V973" s="605"/>
      <c r="W973" s="605"/>
    </row>
    <row r="974">
      <c r="L974" s="416"/>
      <c r="M974" s="293"/>
      <c r="P974" s="416"/>
      <c r="Q974" s="416"/>
      <c r="R974" s="416"/>
      <c r="S974" s="604"/>
      <c r="T974" s="605"/>
      <c r="U974" s="605"/>
      <c r="V974" s="605"/>
      <c r="W974" s="605"/>
    </row>
    <row r="975">
      <c r="L975" s="416"/>
      <c r="M975" s="293"/>
      <c r="P975" s="416"/>
      <c r="Q975" s="416"/>
      <c r="R975" s="416"/>
      <c r="S975" s="604"/>
      <c r="T975" s="605"/>
      <c r="U975" s="605"/>
      <c r="V975" s="605"/>
      <c r="W975" s="605"/>
    </row>
    <row r="976">
      <c r="L976" s="416"/>
      <c r="M976" s="293"/>
      <c r="P976" s="416"/>
      <c r="Q976" s="416"/>
      <c r="R976" s="416"/>
      <c r="S976" s="604"/>
      <c r="T976" s="605"/>
      <c r="U976" s="605"/>
      <c r="V976" s="605"/>
      <c r="W976" s="605"/>
    </row>
    <row r="977">
      <c r="L977" s="416"/>
      <c r="M977" s="293"/>
      <c r="P977" s="416"/>
      <c r="Q977" s="416"/>
      <c r="R977" s="416"/>
      <c r="S977" s="604"/>
      <c r="T977" s="605"/>
      <c r="U977" s="605"/>
      <c r="V977" s="605"/>
      <c r="W977" s="605"/>
    </row>
    <row r="978">
      <c r="L978" s="416"/>
      <c r="M978" s="293"/>
      <c r="P978" s="416"/>
      <c r="Q978" s="416"/>
      <c r="R978" s="416"/>
      <c r="S978" s="604"/>
      <c r="T978" s="605"/>
      <c r="U978" s="605"/>
      <c r="V978" s="605"/>
      <c r="W978" s="605"/>
    </row>
    <row r="979">
      <c r="L979" s="416"/>
      <c r="M979" s="293"/>
      <c r="P979" s="416"/>
      <c r="Q979" s="416"/>
      <c r="R979" s="416"/>
      <c r="S979" s="604"/>
      <c r="T979" s="605"/>
      <c r="U979" s="605"/>
      <c r="V979" s="605"/>
      <c r="W979" s="605"/>
    </row>
    <row r="980">
      <c r="L980" s="416"/>
      <c r="M980" s="293"/>
      <c r="P980" s="416"/>
      <c r="Q980" s="416"/>
      <c r="R980" s="416"/>
      <c r="S980" s="604"/>
      <c r="T980" s="605"/>
      <c r="U980" s="605"/>
      <c r="V980" s="605"/>
      <c r="W980" s="605"/>
    </row>
    <row r="981">
      <c r="L981" s="416"/>
      <c r="M981" s="293"/>
      <c r="P981" s="416"/>
      <c r="Q981" s="416"/>
      <c r="R981" s="416"/>
      <c r="S981" s="604"/>
      <c r="T981" s="605"/>
      <c r="U981" s="605"/>
      <c r="V981" s="605"/>
      <c r="W981" s="605"/>
    </row>
    <row r="982">
      <c r="L982" s="416"/>
      <c r="M982" s="293"/>
      <c r="P982" s="416"/>
      <c r="Q982" s="416"/>
      <c r="R982" s="416"/>
      <c r="S982" s="604"/>
      <c r="T982" s="605"/>
      <c r="U982" s="605"/>
      <c r="V982" s="605"/>
      <c r="W982" s="605"/>
    </row>
    <row r="983">
      <c r="L983" s="416"/>
      <c r="M983" s="293"/>
      <c r="P983" s="416"/>
      <c r="Q983" s="416"/>
      <c r="R983" s="416"/>
      <c r="S983" s="604"/>
      <c r="T983" s="605"/>
      <c r="U983" s="605"/>
      <c r="V983" s="605"/>
      <c r="W983" s="605"/>
    </row>
    <row r="984">
      <c r="L984" s="416"/>
      <c r="M984" s="293"/>
      <c r="P984" s="416"/>
      <c r="Q984" s="416"/>
      <c r="R984" s="416"/>
      <c r="S984" s="604"/>
      <c r="T984" s="605"/>
      <c r="U984" s="605"/>
      <c r="V984" s="605"/>
      <c r="W984" s="605"/>
    </row>
    <row r="985">
      <c r="L985" s="416"/>
      <c r="M985" s="293"/>
      <c r="P985" s="416"/>
      <c r="Q985" s="416"/>
      <c r="R985" s="416"/>
      <c r="S985" s="604"/>
      <c r="T985" s="605"/>
      <c r="U985" s="605"/>
      <c r="V985" s="605"/>
      <c r="W985" s="605"/>
    </row>
    <row r="986">
      <c r="L986" s="416"/>
      <c r="M986" s="293"/>
      <c r="P986" s="416"/>
      <c r="Q986" s="416"/>
      <c r="R986" s="416"/>
      <c r="S986" s="604"/>
      <c r="T986" s="605"/>
      <c r="U986" s="605"/>
      <c r="V986" s="605"/>
      <c r="W986" s="605"/>
    </row>
    <row r="987">
      <c r="L987" s="416"/>
      <c r="M987" s="293"/>
      <c r="P987" s="416"/>
      <c r="Q987" s="416"/>
      <c r="R987" s="416"/>
      <c r="S987" s="604"/>
      <c r="T987" s="605"/>
      <c r="U987" s="605"/>
      <c r="V987" s="605"/>
      <c r="W987" s="605"/>
    </row>
    <row r="988">
      <c r="L988" s="416"/>
      <c r="M988" s="293"/>
      <c r="P988" s="416"/>
      <c r="Q988" s="416"/>
      <c r="R988" s="416"/>
      <c r="S988" s="604"/>
      <c r="T988" s="605"/>
      <c r="U988" s="605"/>
      <c r="V988" s="605"/>
      <c r="W988" s="605"/>
    </row>
    <row r="989">
      <c r="L989" s="416"/>
      <c r="M989" s="293"/>
      <c r="P989" s="416"/>
      <c r="Q989" s="416"/>
      <c r="R989" s="416"/>
      <c r="S989" s="604"/>
      <c r="T989" s="605"/>
      <c r="U989" s="605"/>
      <c r="V989" s="605"/>
      <c r="W989" s="605"/>
    </row>
    <row r="990">
      <c r="L990" s="416"/>
      <c r="M990" s="293"/>
      <c r="P990" s="416"/>
      <c r="Q990" s="416"/>
      <c r="R990" s="416"/>
      <c r="S990" s="604"/>
      <c r="T990" s="605"/>
      <c r="U990" s="605"/>
      <c r="V990" s="605"/>
      <c r="W990" s="605"/>
    </row>
    <row r="991">
      <c r="L991" s="416"/>
      <c r="M991" s="293"/>
      <c r="P991" s="416"/>
      <c r="Q991" s="416"/>
      <c r="R991" s="416"/>
      <c r="S991" s="604"/>
      <c r="T991" s="605"/>
      <c r="U991" s="605"/>
      <c r="V991" s="605"/>
      <c r="W991" s="605"/>
    </row>
    <row r="992">
      <c r="L992" s="416"/>
      <c r="M992" s="293"/>
      <c r="P992" s="416"/>
      <c r="Q992" s="416"/>
      <c r="R992" s="416"/>
      <c r="S992" s="604"/>
      <c r="T992" s="605"/>
      <c r="U992" s="605"/>
      <c r="V992" s="605"/>
      <c r="W992" s="605"/>
    </row>
    <row r="993">
      <c r="L993" s="416"/>
      <c r="M993" s="293"/>
      <c r="P993" s="416"/>
      <c r="Q993" s="416"/>
      <c r="R993" s="416"/>
      <c r="S993" s="604"/>
      <c r="T993" s="605"/>
      <c r="U993" s="605"/>
      <c r="V993" s="605"/>
      <c r="W993" s="605"/>
    </row>
    <row r="994">
      <c r="L994" s="416"/>
      <c r="M994" s="293"/>
      <c r="P994" s="416"/>
      <c r="Q994" s="416"/>
      <c r="R994" s="416"/>
      <c r="S994" s="604"/>
      <c r="T994" s="605"/>
      <c r="U994" s="605"/>
      <c r="V994" s="605"/>
      <c r="W994" s="605"/>
    </row>
    <row r="995">
      <c r="L995" s="416"/>
      <c r="M995" s="293"/>
      <c r="P995" s="416"/>
      <c r="Q995" s="416"/>
      <c r="R995" s="416"/>
      <c r="S995" s="604"/>
      <c r="T995" s="605"/>
      <c r="U995" s="605"/>
      <c r="V995" s="605"/>
      <c r="W995" s="605"/>
    </row>
    <row r="996">
      <c r="L996" s="416"/>
      <c r="M996" s="293"/>
      <c r="P996" s="416"/>
      <c r="Q996" s="416"/>
      <c r="R996" s="416"/>
      <c r="S996" s="604"/>
      <c r="T996" s="605"/>
      <c r="U996" s="605"/>
      <c r="V996" s="605"/>
      <c r="W996" s="605"/>
    </row>
    <row r="997">
      <c r="L997" s="416"/>
      <c r="M997" s="293"/>
      <c r="P997" s="416"/>
      <c r="Q997" s="416"/>
      <c r="R997" s="416"/>
      <c r="S997" s="604"/>
      <c r="T997" s="605"/>
      <c r="U997" s="605"/>
      <c r="V997" s="605"/>
      <c r="W997" s="605"/>
    </row>
    <row r="998">
      <c r="L998" s="416"/>
      <c r="M998" s="293"/>
      <c r="P998" s="416"/>
      <c r="Q998" s="416"/>
      <c r="R998" s="416"/>
      <c r="S998" s="604"/>
      <c r="T998" s="605"/>
      <c r="U998" s="605"/>
      <c r="V998" s="605"/>
      <c r="W998" s="605"/>
    </row>
    <row r="999">
      <c r="L999" s="416"/>
      <c r="M999" s="293"/>
      <c r="P999" s="416"/>
      <c r="Q999" s="416"/>
      <c r="R999" s="416"/>
      <c r="S999" s="604"/>
      <c r="T999" s="605"/>
      <c r="U999" s="605"/>
      <c r="V999" s="605"/>
      <c r="W999" s="605"/>
    </row>
    <row r="1000">
      <c r="L1000" s="416"/>
      <c r="M1000" s="293"/>
      <c r="P1000" s="416"/>
      <c r="Q1000" s="416"/>
      <c r="R1000" s="416"/>
      <c r="S1000" s="604"/>
      <c r="T1000" s="605"/>
      <c r="U1000" s="605"/>
      <c r="V1000" s="605"/>
      <c r="W1000" s="605"/>
    </row>
  </sheetData>
  <mergeCells count="777">
    <mergeCell ref="C61:C65"/>
    <mergeCell ref="D61:D65"/>
    <mergeCell ref="B39:B43"/>
    <mergeCell ref="C39:C43"/>
    <mergeCell ref="D39:D43"/>
    <mergeCell ref="B45:B49"/>
    <mergeCell ref="C45:C49"/>
    <mergeCell ref="D45:D49"/>
    <mergeCell ref="B51:B65"/>
    <mergeCell ref="C84:C88"/>
    <mergeCell ref="D84:D88"/>
    <mergeCell ref="B67:B71"/>
    <mergeCell ref="C67:C71"/>
    <mergeCell ref="D67:D71"/>
    <mergeCell ref="C73:C77"/>
    <mergeCell ref="D73:D77"/>
    <mergeCell ref="C78:C82"/>
    <mergeCell ref="D78:D82"/>
    <mergeCell ref="C105:C109"/>
    <mergeCell ref="D105:D109"/>
    <mergeCell ref="C110:C114"/>
    <mergeCell ref="D110:D114"/>
    <mergeCell ref="C115:C119"/>
    <mergeCell ref="D115:D119"/>
    <mergeCell ref="C120:C124"/>
    <mergeCell ref="D120:D124"/>
    <mergeCell ref="B73:B82"/>
    <mergeCell ref="B84:B98"/>
    <mergeCell ref="C89:C93"/>
    <mergeCell ref="D89:D93"/>
    <mergeCell ref="C94:C98"/>
    <mergeCell ref="D94:D98"/>
    <mergeCell ref="B100:B124"/>
    <mergeCell ref="C28:C32"/>
    <mergeCell ref="D28:D32"/>
    <mergeCell ref="C33:C37"/>
    <mergeCell ref="D33:D37"/>
    <mergeCell ref="A12:A16"/>
    <mergeCell ref="B18:B37"/>
    <mergeCell ref="C18:C22"/>
    <mergeCell ref="D18:D22"/>
    <mergeCell ref="C23:C27"/>
    <mergeCell ref="D23:D27"/>
    <mergeCell ref="B38:D38"/>
    <mergeCell ref="C51:C55"/>
    <mergeCell ref="D51:D55"/>
    <mergeCell ref="C56:C60"/>
    <mergeCell ref="D56:D60"/>
    <mergeCell ref="C100:C104"/>
    <mergeCell ref="D100:D104"/>
    <mergeCell ref="A18:A37"/>
    <mergeCell ref="A39:A43"/>
    <mergeCell ref="A45:A49"/>
    <mergeCell ref="A51:A65"/>
    <mergeCell ref="A67:A71"/>
    <mergeCell ref="A73:A82"/>
    <mergeCell ref="A84:A98"/>
    <mergeCell ref="A162:A166"/>
    <mergeCell ref="B162:B166"/>
    <mergeCell ref="C162:C166"/>
    <mergeCell ref="D162:D166"/>
    <mergeCell ref="B168:B172"/>
    <mergeCell ref="C168:C172"/>
    <mergeCell ref="D168:D172"/>
    <mergeCell ref="A168:A172"/>
    <mergeCell ref="A174:A178"/>
    <mergeCell ref="B174:B178"/>
    <mergeCell ref="C174:C178"/>
    <mergeCell ref="D174:D178"/>
    <mergeCell ref="A180:A184"/>
    <mergeCell ref="B180:B184"/>
    <mergeCell ref="D197:D201"/>
    <mergeCell ref="C202:C206"/>
    <mergeCell ref="D202:D206"/>
    <mergeCell ref="C207:C211"/>
    <mergeCell ref="D207:D211"/>
    <mergeCell ref="A186:A190"/>
    <mergeCell ref="B186:B190"/>
    <mergeCell ref="C186:C190"/>
    <mergeCell ref="D186:D190"/>
    <mergeCell ref="A192:A211"/>
    <mergeCell ref="B192:B211"/>
    <mergeCell ref="D192:D196"/>
    <mergeCell ref="C219:C223"/>
    <mergeCell ref="C224:C228"/>
    <mergeCell ref="D224:D228"/>
    <mergeCell ref="C229:C233"/>
    <mergeCell ref="D229:D233"/>
    <mergeCell ref="A235:A244"/>
    <mergeCell ref="B235:B244"/>
    <mergeCell ref="C235:C239"/>
    <mergeCell ref="D235:D239"/>
    <mergeCell ref="C240:C244"/>
    <mergeCell ref="D240:D244"/>
    <mergeCell ref="A213:A217"/>
    <mergeCell ref="B213:B217"/>
    <mergeCell ref="C213:C217"/>
    <mergeCell ref="D213:D217"/>
    <mergeCell ref="A219:A233"/>
    <mergeCell ref="B219:B233"/>
    <mergeCell ref="D219:D223"/>
    <mergeCell ref="C132:C136"/>
    <mergeCell ref="D132:D136"/>
    <mergeCell ref="A100:A124"/>
    <mergeCell ref="A126:A130"/>
    <mergeCell ref="B126:B130"/>
    <mergeCell ref="C126:C130"/>
    <mergeCell ref="D126:D130"/>
    <mergeCell ref="A132:A136"/>
    <mergeCell ref="B132:B136"/>
    <mergeCell ref="A138:A142"/>
    <mergeCell ref="B138:B142"/>
    <mergeCell ref="C138:C142"/>
    <mergeCell ref="D138:D142"/>
    <mergeCell ref="B144:B148"/>
    <mergeCell ref="C144:C148"/>
    <mergeCell ref="D144:D148"/>
    <mergeCell ref="C156:C160"/>
    <mergeCell ref="D156:D160"/>
    <mergeCell ref="A144:A148"/>
    <mergeCell ref="A150:A154"/>
    <mergeCell ref="B150:B154"/>
    <mergeCell ref="C150:C154"/>
    <mergeCell ref="D150:D154"/>
    <mergeCell ref="A156:A160"/>
    <mergeCell ref="B156:B160"/>
    <mergeCell ref="C180:C184"/>
    <mergeCell ref="D180:D184"/>
    <mergeCell ref="C192:C196"/>
    <mergeCell ref="C197:C201"/>
    <mergeCell ref="Q61:Q65"/>
    <mergeCell ref="R61:R65"/>
    <mergeCell ref="S61:S65"/>
    <mergeCell ref="T61:T65"/>
    <mergeCell ref="U61:U65"/>
    <mergeCell ref="V61:V65"/>
    <mergeCell ref="W61:W65"/>
    <mergeCell ref="K61:K65"/>
    <mergeCell ref="L61:L65"/>
    <mergeCell ref="M61:M65"/>
    <mergeCell ref="N61:N65"/>
    <mergeCell ref="O61:O65"/>
    <mergeCell ref="P61:P65"/>
    <mergeCell ref="B66:G66"/>
    <mergeCell ref="Q45:Q49"/>
    <mergeCell ref="R45:R49"/>
    <mergeCell ref="S45:S49"/>
    <mergeCell ref="T45:T49"/>
    <mergeCell ref="U45:U49"/>
    <mergeCell ref="V45:V49"/>
    <mergeCell ref="W45:W49"/>
    <mergeCell ref="V51:V55"/>
    <mergeCell ref="W51:W55"/>
    <mergeCell ref="O51:O55"/>
    <mergeCell ref="P51:P55"/>
    <mergeCell ref="Q51:Q55"/>
    <mergeCell ref="R51:R55"/>
    <mergeCell ref="S51:S55"/>
    <mergeCell ref="T51:T55"/>
    <mergeCell ref="U51:U55"/>
    <mergeCell ref="P45:P49"/>
    <mergeCell ref="B50:G50"/>
    <mergeCell ref="J51:J55"/>
    <mergeCell ref="K51:K55"/>
    <mergeCell ref="L51:L55"/>
    <mergeCell ref="M51:M55"/>
    <mergeCell ref="N51:N55"/>
    <mergeCell ref="Q56:Q60"/>
    <mergeCell ref="R56:R60"/>
    <mergeCell ref="S56:S60"/>
    <mergeCell ref="T56:T60"/>
    <mergeCell ref="U56:U60"/>
    <mergeCell ref="V56:V60"/>
    <mergeCell ref="W56:W60"/>
    <mergeCell ref="J56:J60"/>
    <mergeCell ref="K56:K60"/>
    <mergeCell ref="L56:L60"/>
    <mergeCell ref="M56:M60"/>
    <mergeCell ref="N56:N60"/>
    <mergeCell ref="O56:O60"/>
    <mergeCell ref="P56:P60"/>
    <mergeCell ref="J61:J65"/>
    <mergeCell ref="J67:J71"/>
    <mergeCell ref="K67:K71"/>
    <mergeCell ref="L67:L71"/>
    <mergeCell ref="M67:M71"/>
    <mergeCell ref="N67:N71"/>
    <mergeCell ref="O67:O71"/>
    <mergeCell ref="L6:L10"/>
    <mergeCell ref="M6:M10"/>
    <mergeCell ref="N6:N10"/>
    <mergeCell ref="O6:O10"/>
    <mergeCell ref="P6:P10"/>
    <mergeCell ref="Q6:Q10"/>
    <mergeCell ref="R6:R10"/>
    <mergeCell ref="A3:A4"/>
    <mergeCell ref="B6:B10"/>
    <mergeCell ref="C6:C10"/>
    <mergeCell ref="D6:D10"/>
    <mergeCell ref="J6:J10"/>
    <mergeCell ref="K6:K10"/>
    <mergeCell ref="B11:G11"/>
    <mergeCell ref="S12:S16"/>
    <mergeCell ref="T12:T16"/>
    <mergeCell ref="L12:L16"/>
    <mergeCell ref="M12:M16"/>
    <mergeCell ref="N12:N16"/>
    <mergeCell ref="O12:O16"/>
    <mergeCell ref="P12:P16"/>
    <mergeCell ref="Q12:Q16"/>
    <mergeCell ref="R12:R16"/>
    <mergeCell ref="Q3:R3"/>
    <mergeCell ref="S3:S4"/>
    <mergeCell ref="M3:N3"/>
    <mergeCell ref="O3:P3"/>
    <mergeCell ref="L18:L22"/>
    <mergeCell ref="M18:M22"/>
    <mergeCell ref="N18:N22"/>
    <mergeCell ref="O18:O22"/>
    <mergeCell ref="P18:P22"/>
    <mergeCell ref="T3:T4"/>
    <mergeCell ref="U3:U4"/>
    <mergeCell ref="U12:U16"/>
    <mergeCell ref="V12:V16"/>
    <mergeCell ref="W12:W16"/>
    <mergeCell ref="V3:V4"/>
    <mergeCell ref="W3:W4"/>
    <mergeCell ref="A1:W1"/>
    <mergeCell ref="A2:I2"/>
    <mergeCell ref="K2:S2"/>
    <mergeCell ref="T2:U2"/>
    <mergeCell ref="E3:G3"/>
    <mergeCell ref="K3:L3"/>
    <mergeCell ref="B5:G5"/>
    <mergeCell ref="S6:S10"/>
    <mergeCell ref="T6:T10"/>
    <mergeCell ref="U6:U10"/>
    <mergeCell ref="V6:V10"/>
    <mergeCell ref="W6:W10"/>
    <mergeCell ref="Q18:Q22"/>
    <mergeCell ref="R18:R22"/>
    <mergeCell ref="S18:S22"/>
    <mergeCell ref="T18:T22"/>
    <mergeCell ref="U18:U22"/>
    <mergeCell ref="V18:V22"/>
    <mergeCell ref="W18:W22"/>
    <mergeCell ref="Q23:Q27"/>
    <mergeCell ref="R23:R27"/>
    <mergeCell ref="S23:S27"/>
    <mergeCell ref="T23:T27"/>
    <mergeCell ref="U23:U27"/>
    <mergeCell ref="V23:V27"/>
    <mergeCell ref="W23:W27"/>
    <mergeCell ref="J23:J27"/>
    <mergeCell ref="K23:K27"/>
    <mergeCell ref="L23:L27"/>
    <mergeCell ref="M23:M27"/>
    <mergeCell ref="N23:N27"/>
    <mergeCell ref="O23:O27"/>
    <mergeCell ref="P23:P27"/>
    <mergeCell ref="Q39:Q43"/>
    <mergeCell ref="R39:R43"/>
    <mergeCell ref="S39:S43"/>
    <mergeCell ref="T39:T43"/>
    <mergeCell ref="U39:U43"/>
    <mergeCell ref="V39:V43"/>
    <mergeCell ref="W39:W43"/>
    <mergeCell ref="K39:K43"/>
    <mergeCell ref="L39:L43"/>
    <mergeCell ref="M39:M43"/>
    <mergeCell ref="N39:N43"/>
    <mergeCell ref="O39:O43"/>
    <mergeCell ref="P39:P43"/>
    <mergeCell ref="B44:G44"/>
    <mergeCell ref="A6:A10"/>
    <mergeCell ref="B12:B16"/>
    <mergeCell ref="C12:C16"/>
    <mergeCell ref="D12:D16"/>
    <mergeCell ref="J12:J16"/>
    <mergeCell ref="K12:K16"/>
    <mergeCell ref="B17:G17"/>
    <mergeCell ref="V28:V32"/>
    <mergeCell ref="W28:W32"/>
    <mergeCell ref="O28:O32"/>
    <mergeCell ref="P28:P32"/>
    <mergeCell ref="Q28:Q32"/>
    <mergeCell ref="R28:R32"/>
    <mergeCell ref="S28:S32"/>
    <mergeCell ref="T28:T32"/>
    <mergeCell ref="U28:U32"/>
    <mergeCell ref="J18:J22"/>
    <mergeCell ref="K18:K22"/>
    <mergeCell ref="J28:J32"/>
    <mergeCell ref="K28:K32"/>
    <mergeCell ref="L28:L32"/>
    <mergeCell ref="M28:M32"/>
    <mergeCell ref="N28:N32"/>
    <mergeCell ref="Q33:Q37"/>
    <mergeCell ref="R33:R37"/>
    <mergeCell ref="S33:S37"/>
    <mergeCell ref="T33:T37"/>
    <mergeCell ref="U33:U37"/>
    <mergeCell ref="V33:V37"/>
    <mergeCell ref="W33:W37"/>
    <mergeCell ref="J33:J37"/>
    <mergeCell ref="K33:K37"/>
    <mergeCell ref="L33:L37"/>
    <mergeCell ref="M33:M37"/>
    <mergeCell ref="N33:N37"/>
    <mergeCell ref="O33:O37"/>
    <mergeCell ref="P33:P37"/>
    <mergeCell ref="J39:J43"/>
    <mergeCell ref="J45:J49"/>
    <mergeCell ref="K45:K49"/>
    <mergeCell ref="L45:L49"/>
    <mergeCell ref="M45:M49"/>
    <mergeCell ref="N45:N49"/>
    <mergeCell ref="O45:O49"/>
    <mergeCell ref="Q89:Q93"/>
    <mergeCell ref="R89:R93"/>
    <mergeCell ref="S89:S93"/>
    <mergeCell ref="T89:T93"/>
    <mergeCell ref="U89:U93"/>
    <mergeCell ref="V89:V93"/>
    <mergeCell ref="W89:W93"/>
    <mergeCell ref="J89:J93"/>
    <mergeCell ref="K89:K93"/>
    <mergeCell ref="L89:L93"/>
    <mergeCell ref="M89:M93"/>
    <mergeCell ref="N89:N93"/>
    <mergeCell ref="O89:O93"/>
    <mergeCell ref="P89:P93"/>
    <mergeCell ref="Q144:Q148"/>
    <mergeCell ref="R144:R148"/>
    <mergeCell ref="S144:S148"/>
    <mergeCell ref="T144:T148"/>
    <mergeCell ref="U144:U148"/>
    <mergeCell ref="V144:V148"/>
    <mergeCell ref="W144:W148"/>
    <mergeCell ref="V150:V154"/>
    <mergeCell ref="W150:W154"/>
    <mergeCell ref="O150:O154"/>
    <mergeCell ref="P150:P154"/>
    <mergeCell ref="Q150:Q154"/>
    <mergeCell ref="R150:R154"/>
    <mergeCell ref="S150:S154"/>
    <mergeCell ref="T150:T154"/>
    <mergeCell ref="U150:U154"/>
    <mergeCell ref="P156:P160"/>
    <mergeCell ref="Q156:Q160"/>
    <mergeCell ref="R156:R160"/>
    <mergeCell ref="S156:S160"/>
    <mergeCell ref="T156:T160"/>
    <mergeCell ref="U156:U160"/>
    <mergeCell ref="V156:V160"/>
    <mergeCell ref="W156:W160"/>
    <mergeCell ref="Q162:Q166"/>
    <mergeCell ref="R162:R166"/>
    <mergeCell ref="S162:S166"/>
    <mergeCell ref="T162:T166"/>
    <mergeCell ref="U162:U166"/>
    <mergeCell ref="V162:V166"/>
    <mergeCell ref="W162:W166"/>
    <mergeCell ref="Q168:Q172"/>
    <mergeCell ref="R168:R172"/>
    <mergeCell ref="S168:S172"/>
    <mergeCell ref="T168:T172"/>
    <mergeCell ref="U168:U172"/>
    <mergeCell ref="V168:V172"/>
    <mergeCell ref="W168:W172"/>
    <mergeCell ref="P174:P178"/>
    <mergeCell ref="Q174:Q178"/>
    <mergeCell ref="R174:R178"/>
    <mergeCell ref="S174:S178"/>
    <mergeCell ref="T174:T178"/>
    <mergeCell ref="U174:U178"/>
    <mergeCell ref="V174:V178"/>
    <mergeCell ref="W174:W178"/>
    <mergeCell ref="J168:J172"/>
    <mergeCell ref="J174:J178"/>
    <mergeCell ref="K174:K178"/>
    <mergeCell ref="L174:L178"/>
    <mergeCell ref="M174:M178"/>
    <mergeCell ref="N174:N178"/>
    <mergeCell ref="O174:O178"/>
    <mergeCell ref="J150:J154"/>
    <mergeCell ref="J156:J160"/>
    <mergeCell ref="K156:K160"/>
    <mergeCell ref="L156:L160"/>
    <mergeCell ref="M156:M160"/>
    <mergeCell ref="N156:N160"/>
    <mergeCell ref="O156:O160"/>
    <mergeCell ref="P144:P148"/>
    <mergeCell ref="B149:G149"/>
    <mergeCell ref="K150:K154"/>
    <mergeCell ref="L150:L154"/>
    <mergeCell ref="M150:M154"/>
    <mergeCell ref="N150:N154"/>
    <mergeCell ref="B155:G155"/>
    <mergeCell ref="V180:V184"/>
    <mergeCell ref="W180:W184"/>
    <mergeCell ref="O180:O184"/>
    <mergeCell ref="P180:P184"/>
    <mergeCell ref="Q180:Q184"/>
    <mergeCell ref="R180:R184"/>
    <mergeCell ref="S180:S184"/>
    <mergeCell ref="T180:T184"/>
    <mergeCell ref="U180:U184"/>
    <mergeCell ref="B161:G161"/>
    <mergeCell ref="B179:G179"/>
    <mergeCell ref="K180:K184"/>
    <mergeCell ref="L180:L184"/>
    <mergeCell ref="M180:M184"/>
    <mergeCell ref="N180:N184"/>
    <mergeCell ref="B185:G185"/>
    <mergeCell ref="B191:G191"/>
    <mergeCell ref="Q186:Q190"/>
    <mergeCell ref="R186:R190"/>
    <mergeCell ref="S186:S190"/>
    <mergeCell ref="T186:T190"/>
    <mergeCell ref="U186:U190"/>
    <mergeCell ref="V186:V190"/>
    <mergeCell ref="W186:W190"/>
    <mergeCell ref="J180:J184"/>
    <mergeCell ref="J186:J190"/>
    <mergeCell ref="K186:K190"/>
    <mergeCell ref="L186:L190"/>
    <mergeCell ref="N186:N190"/>
    <mergeCell ref="O186:O190"/>
    <mergeCell ref="P186:P190"/>
    <mergeCell ref="Q192:Q196"/>
    <mergeCell ref="R192:R196"/>
    <mergeCell ref="S192:S196"/>
    <mergeCell ref="T192:T196"/>
    <mergeCell ref="U192:U196"/>
    <mergeCell ref="V192:V196"/>
    <mergeCell ref="W192:W196"/>
    <mergeCell ref="J192:J196"/>
    <mergeCell ref="K192:K196"/>
    <mergeCell ref="L192:L196"/>
    <mergeCell ref="M192:M196"/>
    <mergeCell ref="N192:N196"/>
    <mergeCell ref="O192:O196"/>
    <mergeCell ref="P192:P196"/>
    <mergeCell ref="S197:S201"/>
    <mergeCell ref="T197:T201"/>
    <mergeCell ref="U197:U201"/>
    <mergeCell ref="V197:V201"/>
    <mergeCell ref="W197:W201"/>
    <mergeCell ref="Q198:Q201"/>
    <mergeCell ref="R198:R201"/>
    <mergeCell ref="J197:J201"/>
    <mergeCell ref="K197:K201"/>
    <mergeCell ref="L197:L201"/>
    <mergeCell ref="M197:M201"/>
    <mergeCell ref="N197:N201"/>
    <mergeCell ref="O197:O201"/>
    <mergeCell ref="P197:P201"/>
    <mergeCell ref="Q202:Q206"/>
    <mergeCell ref="R202:R206"/>
    <mergeCell ref="S202:S206"/>
    <mergeCell ref="T202:T206"/>
    <mergeCell ref="U202:U206"/>
    <mergeCell ref="V202:V206"/>
    <mergeCell ref="W202:W206"/>
    <mergeCell ref="J202:J206"/>
    <mergeCell ref="K202:K206"/>
    <mergeCell ref="L202:L206"/>
    <mergeCell ref="M202:M206"/>
    <mergeCell ref="N202:N206"/>
    <mergeCell ref="O202:O206"/>
    <mergeCell ref="P202:P206"/>
    <mergeCell ref="Q224:Q228"/>
    <mergeCell ref="R224:R228"/>
    <mergeCell ref="S224:S228"/>
    <mergeCell ref="T224:T228"/>
    <mergeCell ref="U224:U228"/>
    <mergeCell ref="V224:V228"/>
    <mergeCell ref="W224:W228"/>
    <mergeCell ref="J224:J228"/>
    <mergeCell ref="K224:K228"/>
    <mergeCell ref="L224:L228"/>
    <mergeCell ref="M224:M228"/>
    <mergeCell ref="N224:N228"/>
    <mergeCell ref="O224:O228"/>
    <mergeCell ref="P224:P228"/>
    <mergeCell ref="Q229:Q233"/>
    <mergeCell ref="R229:R233"/>
    <mergeCell ref="S229:S233"/>
    <mergeCell ref="T229:T233"/>
    <mergeCell ref="U229:U233"/>
    <mergeCell ref="V229:V233"/>
    <mergeCell ref="W229:W233"/>
    <mergeCell ref="K229:K233"/>
    <mergeCell ref="L229:L233"/>
    <mergeCell ref="M229:M233"/>
    <mergeCell ref="N229:N233"/>
    <mergeCell ref="O229:O233"/>
    <mergeCell ref="P229:P233"/>
    <mergeCell ref="B234:G234"/>
    <mergeCell ref="J229:J233"/>
    <mergeCell ref="J235:J239"/>
    <mergeCell ref="K235:K239"/>
    <mergeCell ref="L235:L239"/>
    <mergeCell ref="M235:M239"/>
    <mergeCell ref="N235:N239"/>
    <mergeCell ref="O235:O239"/>
    <mergeCell ref="Q240:Q244"/>
    <mergeCell ref="R240:R244"/>
    <mergeCell ref="S240:S244"/>
    <mergeCell ref="T240:T244"/>
    <mergeCell ref="U240:U244"/>
    <mergeCell ref="V240:V244"/>
    <mergeCell ref="W240:W244"/>
    <mergeCell ref="J240:J244"/>
    <mergeCell ref="K240:K244"/>
    <mergeCell ref="L240:L244"/>
    <mergeCell ref="M240:M244"/>
    <mergeCell ref="N240:N244"/>
    <mergeCell ref="O240:O244"/>
    <mergeCell ref="P240:P244"/>
    <mergeCell ref="Q207:Q211"/>
    <mergeCell ref="R207:R211"/>
    <mergeCell ref="S207:S211"/>
    <mergeCell ref="T207:T211"/>
    <mergeCell ref="U207:U211"/>
    <mergeCell ref="V207:V211"/>
    <mergeCell ref="W207:W211"/>
    <mergeCell ref="K207:K211"/>
    <mergeCell ref="L207:L211"/>
    <mergeCell ref="M207:M211"/>
    <mergeCell ref="N207:N211"/>
    <mergeCell ref="O207:O211"/>
    <mergeCell ref="P207:P211"/>
    <mergeCell ref="B212:G212"/>
    <mergeCell ref="B218:G218"/>
    <mergeCell ref="P213:P217"/>
    <mergeCell ref="Q213:Q217"/>
    <mergeCell ref="R213:R217"/>
    <mergeCell ref="S213:S217"/>
    <mergeCell ref="T213:T217"/>
    <mergeCell ref="U213:U217"/>
    <mergeCell ref="V213:V217"/>
    <mergeCell ref="W213:W217"/>
    <mergeCell ref="J207:J211"/>
    <mergeCell ref="J213:J217"/>
    <mergeCell ref="K213:K217"/>
    <mergeCell ref="L213:L217"/>
    <mergeCell ref="M213:M217"/>
    <mergeCell ref="N213:N217"/>
    <mergeCell ref="O213:O217"/>
    <mergeCell ref="Q219:Q223"/>
    <mergeCell ref="R219:R223"/>
    <mergeCell ref="S219:S223"/>
    <mergeCell ref="T219:T223"/>
    <mergeCell ref="U219:U223"/>
    <mergeCell ref="V219:V223"/>
    <mergeCell ref="W219:W223"/>
    <mergeCell ref="J219:J223"/>
    <mergeCell ref="K219:K223"/>
    <mergeCell ref="L219:L223"/>
    <mergeCell ref="M219:M223"/>
    <mergeCell ref="N219:N223"/>
    <mergeCell ref="O219:O223"/>
    <mergeCell ref="P219:P223"/>
    <mergeCell ref="P235:P239"/>
    <mergeCell ref="Q235:Q239"/>
    <mergeCell ref="R235:R239"/>
    <mergeCell ref="S235:S239"/>
    <mergeCell ref="T235:T239"/>
    <mergeCell ref="U235:U239"/>
    <mergeCell ref="V235:V239"/>
    <mergeCell ref="W235:W239"/>
    <mergeCell ref="K78:K82"/>
    <mergeCell ref="L78:L82"/>
    <mergeCell ref="M78:M82"/>
    <mergeCell ref="N78:N82"/>
    <mergeCell ref="O78:O82"/>
    <mergeCell ref="P78:P82"/>
    <mergeCell ref="B83:G83"/>
    <mergeCell ref="J78:J82"/>
    <mergeCell ref="J84:J88"/>
    <mergeCell ref="K84:K88"/>
    <mergeCell ref="L84:L88"/>
    <mergeCell ref="M84:M88"/>
    <mergeCell ref="N84:N88"/>
    <mergeCell ref="O84:O88"/>
    <mergeCell ref="Q94:Q98"/>
    <mergeCell ref="R94:R98"/>
    <mergeCell ref="S94:S98"/>
    <mergeCell ref="T94:T98"/>
    <mergeCell ref="U94:U98"/>
    <mergeCell ref="V94:V98"/>
    <mergeCell ref="W94:W98"/>
    <mergeCell ref="K94:K98"/>
    <mergeCell ref="L94:L98"/>
    <mergeCell ref="M94:M98"/>
    <mergeCell ref="N94:N98"/>
    <mergeCell ref="O94:O98"/>
    <mergeCell ref="P94:P98"/>
    <mergeCell ref="B99:G99"/>
    <mergeCell ref="Q67:Q71"/>
    <mergeCell ref="R67:R71"/>
    <mergeCell ref="S67:S71"/>
    <mergeCell ref="T67:T71"/>
    <mergeCell ref="U67:U71"/>
    <mergeCell ref="V67:V71"/>
    <mergeCell ref="W67:W71"/>
    <mergeCell ref="V73:V77"/>
    <mergeCell ref="W73:W77"/>
    <mergeCell ref="O73:O77"/>
    <mergeCell ref="P73:P77"/>
    <mergeCell ref="Q73:Q77"/>
    <mergeCell ref="R73:R77"/>
    <mergeCell ref="S73:S77"/>
    <mergeCell ref="T73:T77"/>
    <mergeCell ref="U73:U77"/>
    <mergeCell ref="P67:P71"/>
    <mergeCell ref="B72:G72"/>
    <mergeCell ref="J73:J77"/>
    <mergeCell ref="K73:K77"/>
    <mergeCell ref="L73:L77"/>
    <mergeCell ref="M73:M77"/>
    <mergeCell ref="N73:N77"/>
    <mergeCell ref="Q78:Q82"/>
    <mergeCell ref="R78:R82"/>
    <mergeCell ref="S78:S82"/>
    <mergeCell ref="T78:T82"/>
    <mergeCell ref="U78:U82"/>
    <mergeCell ref="V78:V82"/>
    <mergeCell ref="W78:W82"/>
    <mergeCell ref="P84:P88"/>
    <mergeCell ref="Q84:Q88"/>
    <mergeCell ref="R84:R88"/>
    <mergeCell ref="S84:S88"/>
    <mergeCell ref="T84:T88"/>
    <mergeCell ref="U84:U88"/>
    <mergeCell ref="V84:V88"/>
    <mergeCell ref="W84:W88"/>
    <mergeCell ref="P100:P104"/>
    <mergeCell ref="Q100:Q104"/>
    <mergeCell ref="R100:R104"/>
    <mergeCell ref="S100:S104"/>
    <mergeCell ref="T100:T104"/>
    <mergeCell ref="U100:U104"/>
    <mergeCell ref="V100:V104"/>
    <mergeCell ref="W100:W104"/>
    <mergeCell ref="J94:J98"/>
    <mergeCell ref="J100:J104"/>
    <mergeCell ref="K100:K104"/>
    <mergeCell ref="L100:L104"/>
    <mergeCell ref="M100:M104"/>
    <mergeCell ref="N100:N104"/>
    <mergeCell ref="O100:O104"/>
    <mergeCell ref="Q105:Q109"/>
    <mergeCell ref="R105:R109"/>
    <mergeCell ref="S105:S109"/>
    <mergeCell ref="T105:T109"/>
    <mergeCell ref="U105:U109"/>
    <mergeCell ref="V105:V109"/>
    <mergeCell ref="W105:W109"/>
    <mergeCell ref="J105:J109"/>
    <mergeCell ref="K105:K109"/>
    <mergeCell ref="L105:L109"/>
    <mergeCell ref="M105:M109"/>
    <mergeCell ref="N105:N109"/>
    <mergeCell ref="O105:O109"/>
    <mergeCell ref="P105:P109"/>
    <mergeCell ref="Q110:Q114"/>
    <mergeCell ref="R110:R114"/>
    <mergeCell ref="S110:S114"/>
    <mergeCell ref="T110:T114"/>
    <mergeCell ref="U110:U114"/>
    <mergeCell ref="V110:V114"/>
    <mergeCell ref="W110:W114"/>
    <mergeCell ref="J110:J114"/>
    <mergeCell ref="K110:K114"/>
    <mergeCell ref="L110:L114"/>
    <mergeCell ref="M110:M114"/>
    <mergeCell ref="N110:N114"/>
    <mergeCell ref="O110:O114"/>
    <mergeCell ref="P110:P114"/>
    <mergeCell ref="Q115:Q119"/>
    <mergeCell ref="R115:R119"/>
    <mergeCell ref="S115:S119"/>
    <mergeCell ref="T115:T119"/>
    <mergeCell ref="U115:U119"/>
    <mergeCell ref="V115:V119"/>
    <mergeCell ref="W115:W119"/>
    <mergeCell ref="J115:J119"/>
    <mergeCell ref="K115:K119"/>
    <mergeCell ref="L115:L119"/>
    <mergeCell ref="M115:M119"/>
    <mergeCell ref="N115:N119"/>
    <mergeCell ref="O115:O119"/>
    <mergeCell ref="P115:P119"/>
    <mergeCell ref="J132:J136"/>
    <mergeCell ref="K132:K136"/>
    <mergeCell ref="L132:L136"/>
    <mergeCell ref="M132:M136"/>
    <mergeCell ref="N132:N136"/>
    <mergeCell ref="O132:O136"/>
    <mergeCell ref="P132:P136"/>
    <mergeCell ref="B137:G137"/>
    <mergeCell ref="K138:K142"/>
    <mergeCell ref="L138:L142"/>
    <mergeCell ref="M138:M142"/>
    <mergeCell ref="N138:N142"/>
    <mergeCell ref="O138:O142"/>
    <mergeCell ref="P138:P142"/>
    <mergeCell ref="B143:G143"/>
    <mergeCell ref="Q120:Q124"/>
    <mergeCell ref="R120:R124"/>
    <mergeCell ref="S120:S124"/>
    <mergeCell ref="T120:T124"/>
    <mergeCell ref="U120:U124"/>
    <mergeCell ref="V120:V124"/>
    <mergeCell ref="W120:W124"/>
    <mergeCell ref="K120:K124"/>
    <mergeCell ref="L120:L124"/>
    <mergeCell ref="M120:M124"/>
    <mergeCell ref="N120:N124"/>
    <mergeCell ref="O120:O124"/>
    <mergeCell ref="P120:P124"/>
    <mergeCell ref="B125:G125"/>
    <mergeCell ref="B131:G131"/>
    <mergeCell ref="P126:P130"/>
    <mergeCell ref="Q126:Q130"/>
    <mergeCell ref="R126:R130"/>
    <mergeCell ref="S126:S130"/>
    <mergeCell ref="T126:T130"/>
    <mergeCell ref="U126:U130"/>
    <mergeCell ref="V126:V130"/>
    <mergeCell ref="W126:W130"/>
    <mergeCell ref="Q132:Q136"/>
    <mergeCell ref="R132:R136"/>
    <mergeCell ref="S132:S136"/>
    <mergeCell ref="T132:T136"/>
    <mergeCell ref="U132:U136"/>
    <mergeCell ref="V132:V136"/>
    <mergeCell ref="W132:W136"/>
    <mergeCell ref="J120:J124"/>
    <mergeCell ref="J126:J130"/>
    <mergeCell ref="K126:K130"/>
    <mergeCell ref="L126:L130"/>
    <mergeCell ref="M126:M130"/>
    <mergeCell ref="N126:N130"/>
    <mergeCell ref="O126:O130"/>
    <mergeCell ref="Q138:Q142"/>
    <mergeCell ref="R138:R142"/>
    <mergeCell ref="S138:S142"/>
    <mergeCell ref="T138:T142"/>
    <mergeCell ref="U138:U142"/>
    <mergeCell ref="V138:V142"/>
    <mergeCell ref="W138:W142"/>
    <mergeCell ref="J138:J142"/>
    <mergeCell ref="J144:J148"/>
    <mergeCell ref="K144:K148"/>
    <mergeCell ref="L144:L148"/>
    <mergeCell ref="M144:M148"/>
    <mergeCell ref="N144:N148"/>
    <mergeCell ref="O144:O148"/>
    <mergeCell ref="J162:J166"/>
    <mergeCell ref="K162:K166"/>
    <mergeCell ref="L162:L166"/>
    <mergeCell ref="M162:M166"/>
    <mergeCell ref="N162:N166"/>
    <mergeCell ref="O162:O166"/>
    <mergeCell ref="P162:P166"/>
    <mergeCell ref="B167:G167"/>
    <mergeCell ref="K168:K172"/>
    <mergeCell ref="L168:L172"/>
    <mergeCell ref="M168:M172"/>
    <mergeCell ref="N168:N172"/>
    <mergeCell ref="O168:O172"/>
    <mergeCell ref="P168:P172"/>
    <mergeCell ref="B173:G173"/>
  </mergeCells>
  <conditionalFormatting sqref="T5:U244">
    <cfRule type="containsText" dxfId="7" priority="1" operator="containsText" text="T">
      <formula>NOT(ISERROR(SEARCH(("T"),(T5))))</formula>
    </cfRule>
  </conditionalFormatting>
  <dataValidations>
    <dataValidation type="list" allowBlank="1" showErrorMessage="1" sqref="L6 N6 P6 R6 V6 L12 N12 P12 R12 V12 L18 N18 P18 R18 V18 L23 N23 P23 R23 V23 L28 N28 P28 R28 V28 L33 N33 P33 R33 V33 L39 N39 P39 R39 V39 L44:L45 N45 P44:P45 R44:R45 V45 L51 N51 P51 R51 V51 L56 N56 P56 R56 V56 L61 N61 P61 R61 V61 L67 N67 P67 R67 V67 L73 N73 P73 R73 V73 L78 N78 P78 R78 V78 L84 N84 P84 R84 V84 L89 N89 P89 R89 V89 L94 N94 P94 R94 V94 L100 N100 P100 R100 V100 L105 N105 P105 R105 V105 L110 N110 P110 R110 V110 L115 N115 P115 R115 V115 L120 N120 P120 R120 V120 L126 N126 P126 R126 V126 L132 N132 P132 R132 V132 L138 N138 P138 R138 V138 L144 N144 P144 R144 V144 L150 N150 P150 R150 V150 L156 N156 P156 R156 V156 L162 N162 P162 R162 V162 L168 N168 P168 R168 V168 L174 N174 P174 R174 V174 L180 N180 P180 R180 V180 L186 N186 P186 R186 V186 L192 N192 P192 R192 V192 L197 N197 P197 V197 R197:R198 L202 N202 P202 R202 V202 L207 N207 P207 R207 V207 L213 N213 P213 R213 V213 L219 N219 P219 R219 V219 L224 N224 P224 R224 V224 L229 N229 P229 R229 V229 L235 N235 P235 R235 V235 L240 N240 P240 R240 V240">
      <formula1>"1,2,3,4,5"</formula1>
    </dataValidation>
    <dataValidation type="list" allowBlank="1" showErrorMessage="1" sqref="T6:U6 T12:U12 T18:U18 T23:U23 T28:U28 T33:U33 T39:U39 T45:U45 T51:U51 T56:U56 T61:U61 T67:U67 T73:U73 T78:U78 T84:U84 T89:U89 T94:U94 T100:U100 T105:U105 T110:U110 T115:U115 T120:U120 T126:U126 T132:U132 T138:U138 T144:U144 T150:U150 T156:U156 T162:U162 T168:U168 T174:U174 T180:U180 T186:U186 T192:U192 T197:U197 T202:U202 T207:U207 T213:U213 T219:U219 T224:U224 T229:U229 T235:U235 T240:U240">
      <formula1>"Y,T"</formula1>
    </dataValidation>
  </dataValidations>
  <hyperlinks>
    <hyperlink r:id="rId2" ref="K192"/>
  </hyperlinks>
  <printOptions/>
  <pageMargins bottom="0.75" footer="0.0" header="0.0" left="0.699305555555556" right="0.699305555555556" top="0.75"/>
  <pageSetup paperSize="9" orientation="portrait"/>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56"/>
    <col customWidth="1" min="3" max="3" width="6.44"/>
    <col customWidth="1" min="4" max="4" width="21.11"/>
    <col customWidth="1" min="5" max="7" width="8.11"/>
    <col customWidth="1" min="8" max="8" width="7.11"/>
    <col customWidth="1" min="9" max="9" width="60.0"/>
    <col customWidth="1" min="11" max="11" width="73.11"/>
    <col customWidth="1" min="12" max="12" width="17.44"/>
    <col customWidth="1" min="13" max="13" width="23.0"/>
    <col customWidth="1" min="14" max="14" width="18.44"/>
    <col customWidth="1" min="15" max="15" width="47.11"/>
    <col customWidth="1" min="16" max="16" width="73.0"/>
    <col customWidth="1" min="17" max="26" width="9.0"/>
  </cols>
  <sheetData>
    <row r="1" ht="61.5" customHeight="1">
      <c r="A1" s="4" t="str">
        <f>'KKLEAD II'!A1:N1</f>
        <v>PENJAMINAN KUALITAS HASIL PENILAIAN MANDIRI MATURITAS PENYELENGGARAAN SPIP
PEMERINTAH DAERAH …
Periode Penilaian 01 Juli 20XX-1 sampai dengan 30 Juni 20XX</v>
      </c>
    </row>
    <row r="2" ht="69.0" customHeight="1">
      <c r="A2" s="507" t="s">
        <v>2018</v>
      </c>
      <c r="J2" s="507"/>
      <c r="L2" s="507" t="s">
        <v>104</v>
      </c>
      <c r="N2" s="606" t="s">
        <v>105</v>
      </c>
      <c r="O2" s="507"/>
    </row>
    <row r="3">
      <c r="A3" s="507"/>
      <c r="J3" s="507"/>
      <c r="L3" s="507"/>
      <c r="M3" s="8"/>
      <c r="N3" s="8"/>
      <c r="O3" s="8"/>
    </row>
    <row r="4">
      <c r="A4" s="511" t="s">
        <v>106</v>
      </c>
      <c r="B4" s="511" t="s">
        <v>107</v>
      </c>
      <c r="C4" s="511" t="s">
        <v>108</v>
      </c>
      <c r="D4" s="511" t="s">
        <v>109</v>
      </c>
      <c r="E4" s="607" t="s">
        <v>110</v>
      </c>
      <c r="F4" s="62"/>
      <c r="G4" s="63"/>
      <c r="H4" s="608" t="s">
        <v>2019</v>
      </c>
      <c r="I4" s="511" t="s">
        <v>1625</v>
      </c>
      <c r="J4" s="511" t="s">
        <v>1626</v>
      </c>
      <c r="K4" s="511" t="s">
        <v>2020</v>
      </c>
      <c r="L4" s="511" t="s">
        <v>2021</v>
      </c>
      <c r="M4" s="609" t="s">
        <v>1629</v>
      </c>
      <c r="N4" s="610" t="s">
        <v>1631</v>
      </c>
      <c r="O4" s="611" t="s">
        <v>1632</v>
      </c>
      <c r="P4" s="612" t="s">
        <v>2022</v>
      </c>
    </row>
    <row r="5">
      <c r="A5" s="210"/>
      <c r="B5" s="210"/>
      <c r="C5" s="210"/>
      <c r="D5" s="210"/>
      <c r="E5" s="140" t="s">
        <v>119</v>
      </c>
      <c r="F5" s="140" t="s">
        <v>120</v>
      </c>
      <c r="G5" s="140" t="s">
        <v>58</v>
      </c>
      <c r="H5" s="210"/>
      <c r="I5" s="210"/>
      <c r="J5" s="210"/>
      <c r="K5" s="210"/>
      <c r="L5" s="210"/>
      <c r="M5" s="210"/>
      <c r="N5" s="210"/>
      <c r="O5" s="210"/>
      <c r="P5" s="536"/>
    </row>
    <row r="6">
      <c r="A6" s="144" t="s">
        <v>121</v>
      </c>
      <c r="B6" s="143" t="s">
        <v>122</v>
      </c>
      <c r="C6" s="62"/>
      <c r="D6" s="62"/>
      <c r="E6" s="62"/>
      <c r="F6" s="62"/>
      <c r="G6" s="62"/>
      <c r="H6" s="62"/>
      <c r="I6" s="63"/>
      <c r="J6" s="144"/>
      <c r="K6" s="144"/>
      <c r="L6" s="613">
        <f>L7</f>
        <v>5</v>
      </c>
      <c r="M6" s="614"/>
      <c r="N6" s="615"/>
      <c r="O6" s="616"/>
      <c r="P6" s="210"/>
    </row>
    <row r="7" ht="61.5" customHeight="1">
      <c r="A7" s="617"/>
      <c r="B7" s="618"/>
      <c r="C7" s="617">
        <v>1.0</v>
      </c>
      <c r="D7" s="58" t="s">
        <v>2023</v>
      </c>
      <c r="E7" s="82" t="s">
        <v>119</v>
      </c>
      <c r="F7" s="150" t="s">
        <v>124</v>
      </c>
      <c r="G7" s="150" t="s">
        <v>124</v>
      </c>
      <c r="H7" s="619" t="s">
        <v>1636</v>
      </c>
      <c r="I7" s="620" t="s">
        <v>1637</v>
      </c>
      <c r="J7" s="621" t="s">
        <v>1638</v>
      </c>
      <c r="K7" s="622" t="s">
        <v>2024</v>
      </c>
      <c r="L7" s="623">
        <v>5.0</v>
      </c>
      <c r="M7" s="100" t="s">
        <v>301</v>
      </c>
      <c r="N7" s="624">
        <v>5.0</v>
      </c>
      <c r="O7" s="100" t="s">
        <v>2025</v>
      </c>
      <c r="P7" s="625" t="s">
        <v>2026</v>
      </c>
    </row>
    <row r="8">
      <c r="A8" s="536"/>
      <c r="B8" s="536"/>
      <c r="C8" s="536"/>
      <c r="D8" s="536"/>
      <c r="E8" s="82" t="s">
        <v>119</v>
      </c>
      <c r="F8" s="150" t="s">
        <v>124</v>
      </c>
      <c r="G8" s="150" t="s">
        <v>124</v>
      </c>
      <c r="H8" s="626" t="s">
        <v>1643</v>
      </c>
      <c r="I8" s="627" t="s">
        <v>1644</v>
      </c>
      <c r="J8" s="538"/>
      <c r="K8" s="539"/>
      <c r="L8" s="538"/>
      <c r="M8" s="536"/>
      <c r="N8" s="539"/>
      <c r="O8" s="536"/>
      <c r="P8" s="536"/>
    </row>
    <row r="9">
      <c r="A9" s="536"/>
      <c r="B9" s="536"/>
      <c r="C9" s="536"/>
      <c r="D9" s="536"/>
      <c r="E9" s="82" t="s">
        <v>119</v>
      </c>
      <c r="F9" s="150" t="s">
        <v>124</v>
      </c>
      <c r="G9" s="150" t="s">
        <v>124</v>
      </c>
      <c r="H9" s="626" t="s">
        <v>1645</v>
      </c>
      <c r="I9" s="627" t="s">
        <v>1646</v>
      </c>
      <c r="J9" s="538"/>
      <c r="K9" s="539"/>
      <c r="L9" s="538"/>
      <c r="M9" s="536"/>
      <c r="N9" s="539"/>
      <c r="O9" s="536"/>
      <c r="P9" s="536"/>
    </row>
    <row r="10">
      <c r="A10" s="536"/>
      <c r="B10" s="536"/>
      <c r="C10" s="536"/>
      <c r="D10" s="536"/>
      <c r="E10" s="82" t="s">
        <v>119</v>
      </c>
      <c r="F10" s="150" t="s">
        <v>124</v>
      </c>
      <c r="G10" s="150" t="s">
        <v>124</v>
      </c>
      <c r="H10" s="626" t="s">
        <v>1638</v>
      </c>
      <c r="I10" s="627" t="s">
        <v>1647</v>
      </c>
      <c r="J10" s="538"/>
      <c r="K10" s="539"/>
      <c r="L10" s="538"/>
      <c r="M10" s="536"/>
      <c r="N10" s="539"/>
      <c r="O10" s="536"/>
      <c r="P10" s="536"/>
    </row>
    <row r="11">
      <c r="A11" s="210"/>
      <c r="B11" s="210"/>
      <c r="C11" s="210"/>
      <c r="D11" s="210"/>
      <c r="E11" s="82" t="s">
        <v>119</v>
      </c>
      <c r="F11" s="150" t="s">
        <v>124</v>
      </c>
      <c r="G11" s="150" t="s">
        <v>124</v>
      </c>
      <c r="H11" s="626" t="s">
        <v>1648</v>
      </c>
      <c r="I11" s="627" t="s">
        <v>1649</v>
      </c>
      <c r="J11" s="213"/>
      <c r="K11" s="440"/>
      <c r="L11" s="213"/>
      <c r="M11" s="210"/>
      <c r="N11" s="440"/>
      <c r="O11" s="210"/>
      <c r="P11" s="210"/>
    </row>
    <row r="12">
      <c r="A12" s="144" t="s">
        <v>132</v>
      </c>
      <c r="B12" s="143" t="s">
        <v>133</v>
      </c>
      <c r="C12" s="62"/>
      <c r="D12" s="62"/>
      <c r="E12" s="62"/>
      <c r="F12" s="62"/>
      <c r="G12" s="62"/>
      <c r="H12" s="62"/>
      <c r="I12" s="63"/>
      <c r="J12" s="144"/>
      <c r="K12" s="144"/>
      <c r="L12" s="613">
        <f>L13</f>
        <v>4</v>
      </c>
      <c r="M12" s="614"/>
      <c r="N12" s="615"/>
      <c r="O12" s="144"/>
      <c r="P12" s="54"/>
    </row>
    <row r="13" ht="46.5" customHeight="1">
      <c r="A13" s="100"/>
      <c r="B13" s="58"/>
      <c r="C13" s="100">
        <v>1.0</v>
      </c>
      <c r="D13" s="58" t="s">
        <v>2027</v>
      </c>
      <c r="E13" s="82" t="s">
        <v>119</v>
      </c>
      <c r="F13" s="150" t="s">
        <v>124</v>
      </c>
      <c r="G13" s="150" t="s">
        <v>124</v>
      </c>
      <c r="H13" s="168" t="s">
        <v>1636</v>
      </c>
      <c r="I13" s="620" t="s">
        <v>1650</v>
      </c>
      <c r="J13" s="621" t="s">
        <v>1638</v>
      </c>
      <c r="K13" s="628" t="s">
        <v>2028</v>
      </c>
      <c r="L13" s="623">
        <v>4.0</v>
      </c>
      <c r="M13" s="629" t="s">
        <v>301</v>
      </c>
      <c r="N13" s="624">
        <v>3.0</v>
      </c>
      <c r="O13" s="100" t="s">
        <v>2029</v>
      </c>
      <c r="P13" s="625" t="s">
        <v>2030</v>
      </c>
    </row>
    <row r="14">
      <c r="A14" s="536"/>
      <c r="B14" s="536"/>
      <c r="C14" s="536"/>
      <c r="D14" s="536"/>
      <c r="E14" s="82" t="s">
        <v>119</v>
      </c>
      <c r="F14" s="150" t="s">
        <v>124</v>
      </c>
      <c r="G14" s="150" t="s">
        <v>124</v>
      </c>
      <c r="H14" s="626" t="s">
        <v>1643</v>
      </c>
      <c r="I14" s="627" t="s">
        <v>1656</v>
      </c>
      <c r="J14" s="538"/>
      <c r="K14" s="539"/>
      <c r="L14" s="538"/>
      <c r="M14" s="536"/>
      <c r="N14" s="539"/>
      <c r="O14" s="536"/>
      <c r="P14" s="536"/>
    </row>
    <row r="15">
      <c r="A15" s="536"/>
      <c r="B15" s="536"/>
      <c r="C15" s="536"/>
      <c r="D15" s="536"/>
      <c r="E15" s="82" t="s">
        <v>119</v>
      </c>
      <c r="F15" s="150" t="s">
        <v>124</v>
      </c>
      <c r="G15" s="150" t="s">
        <v>124</v>
      </c>
      <c r="H15" s="630" t="s">
        <v>1645</v>
      </c>
      <c r="I15" s="627" t="s">
        <v>1657</v>
      </c>
      <c r="J15" s="538"/>
      <c r="K15" s="539"/>
      <c r="L15" s="538"/>
      <c r="M15" s="536"/>
      <c r="N15" s="539"/>
      <c r="O15" s="536"/>
      <c r="P15" s="536"/>
    </row>
    <row r="16">
      <c r="A16" s="536"/>
      <c r="B16" s="536"/>
      <c r="C16" s="536"/>
      <c r="D16" s="536"/>
      <c r="E16" s="82" t="s">
        <v>119</v>
      </c>
      <c r="F16" s="150" t="s">
        <v>124</v>
      </c>
      <c r="G16" s="150" t="s">
        <v>124</v>
      </c>
      <c r="H16" s="626" t="s">
        <v>1638</v>
      </c>
      <c r="I16" s="627" t="s">
        <v>1658</v>
      </c>
      <c r="J16" s="538"/>
      <c r="K16" s="539"/>
      <c r="L16" s="538"/>
      <c r="M16" s="536"/>
      <c r="N16" s="539"/>
      <c r="O16" s="536"/>
      <c r="P16" s="536"/>
    </row>
    <row r="17">
      <c r="A17" s="210"/>
      <c r="B17" s="210"/>
      <c r="C17" s="210"/>
      <c r="D17" s="210"/>
      <c r="E17" s="82" t="s">
        <v>119</v>
      </c>
      <c r="F17" s="150" t="s">
        <v>124</v>
      </c>
      <c r="G17" s="150" t="s">
        <v>124</v>
      </c>
      <c r="H17" s="626" t="s">
        <v>1648</v>
      </c>
      <c r="I17" s="627" t="s">
        <v>1659</v>
      </c>
      <c r="J17" s="213"/>
      <c r="K17" s="440"/>
      <c r="L17" s="213"/>
      <c r="M17" s="210"/>
      <c r="N17" s="440"/>
      <c r="O17" s="210"/>
      <c r="P17" s="210"/>
    </row>
    <row r="18" ht="19.5" customHeight="1">
      <c r="A18" s="144" t="s">
        <v>135</v>
      </c>
      <c r="B18" s="143" t="s">
        <v>136</v>
      </c>
      <c r="C18" s="62"/>
      <c r="D18" s="62"/>
      <c r="E18" s="62"/>
      <c r="F18" s="62"/>
      <c r="G18" s="62"/>
      <c r="H18" s="62"/>
      <c r="I18" s="63"/>
      <c r="J18" s="144"/>
      <c r="K18" s="144"/>
      <c r="L18" s="613">
        <f>AVERAGE(L19:L38)</f>
        <v>3.25</v>
      </c>
      <c r="M18" s="614"/>
      <c r="N18" s="615"/>
      <c r="O18" s="144"/>
      <c r="P18" s="54"/>
    </row>
    <row r="19">
      <c r="A19" s="100"/>
      <c r="B19" s="40"/>
      <c r="C19" s="100">
        <v>1.0</v>
      </c>
      <c r="D19" s="58" t="s">
        <v>2031</v>
      </c>
      <c r="E19" s="82" t="s">
        <v>119</v>
      </c>
      <c r="F19" s="150" t="s">
        <v>124</v>
      </c>
      <c r="G19" s="150" t="s">
        <v>124</v>
      </c>
      <c r="H19" s="168" t="s">
        <v>1636</v>
      </c>
      <c r="I19" s="620" t="s">
        <v>1662</v>
      </c>
      <c r="J19" s="621" t="s">
        <v>1638</v>
      </c>
      <c r="K19" s="622" t="s">
        <v>2032</v>
      </c>
      <c r="L19" s="623">
        <v>4.0</v>
      </c>
      <c r="M19" s="100" t="s">
        <v>301</v>
      </c>
      <c r="N19" s="624">
        <v>4.0</v>
      </c>
      <c r="O19" s="100" t="s">
        <v>1091</v>
      </c>
      <c r="P19" s="625" t="s">
        <v>2033</v>
      </c>
    </row>
    <row r="20" ht="67.5" customHeight="1">
      <c r="A20" s="536"/>
      <c r="B20" s="536"/>
      <c r="C20" s="536"/>
      <c r="D20" s="536"/>
      <c r="E20" s="82" t="s">
        <v>119</v>
      </c>
      <c r="F20" s="150" t="s">
        <v>124</v>
      </c>
      <c r="G20" s="150" t="s">
        <v>124</v>
      </c>
      <c r="H20" s="630" t="s">
        <v>1643</v>
      </c>
      <c r="I20" s="627" t="s">
        <v>1667</v>
      </c>
      <c r="J20" s="538"/>
      <c r="K20" s="539"/>
      <c r="L20" s="538"/>
      <c r="M20" s="536"/>
      <c r="N20" s="539"/>
      <c r="O20" s="536"/>
      <c r="P20" s="536"/>
    </row>
    <row r="21" ht="15.75" customHeight="1">
      <c r="A21" s="536"/>
      <c r="B21" s="536"/>
      <c r="C21" s="536"/>
      <c r="D21" s="536"/>
      <c r="E21" s="82" t="s">
        <v>119</v>
      </c>
      <c r="F21" s="150" t="s">
        <v>124</v>
      </c>
      <c r="G21" s="150" t="s">
        <v>124</v>
      </c>
      <c r="H21" s="626" t="s">
        <v>1645</v>
      </c>
      <c r="I21" s="627" t="s">
        <v>1668</v>
      </c>
      <c r="J21" s="538"/>
      <c r="K21" s="539"/>
      <c r="L21" s="538"/>
      <c r="M21" s="536"/>
      <c r="N21" s="539"/>
      <c r="O21" s="536"/>
      <c r="P21" s="536"/>
    </row>
    <row r="22" ht="15.75" customHeight="1">
      <c r="A22" s="536"/>
      <c r="B22" s="536"/>
      <c r="C22" s="536"/>
      <c r="D22" s="536"/>
      <c r="E22" s="82" t="s">
        <v>119</v>
      </c>
      <c r="F22" s="150" t="s">
        <v>124</v>
      </c>
      <c r="G22" s="150" t="s">
        <v>124</v>
      </c>
      <c r="H22" s="626" t="s">
        <v>1638</v>
      </c>
      <c r="I22" s="627" t="s">
        <v>1669</v>
      </c>
      <c r="J22" s="538"/>
      <c r="K22" s="539"/>
      <c r="L22" s="538"/>
      <c r="M22" s="536"/>
      <c r="N22" s="539"/>
      <c r="O22" s="536"/>
      <c r="P22" s="210"/>
    </row>
    <row r="23" ht="15.75" customHeight="1">
      <c r="A23" s="536"/>
      <c r="B23" s="536"/>
      <c r="C23" s="210"/>
      <c r="D23" s="210"/>
      <c r="E23" s="82" t="s">
        <v>119</v>
      </c>
      <c r="F23" s="150" t="s">
        <v>124</v>
      </c>
      <c r="G23" s="150" t="s">
        <v>124</v>
      </c>
      <c r="H23" s="626" t="s">
        <v>1648</v>
      </c>
      <c r="I23" s="627" t="s">
        <v>1670</v>
      </c>
      <c r="J23" s="213"/>
      <c r="K23" s="440"/>
      <c r="L23" s="213"/>
      <c r="M23" s="210"/>
      <c r="N23" s="440"/>
      <c r="O23" s="210"/>
      <c r="P23" s="54"/>
    </row>
    <row r="24" ht="54.0" customHeight="1">
      <c r="A24" s="536"/>
      <c r="B24" s="536"/>
      <c r="C24" s="100">
        <v>2.0</v>
      </c>
      <c r="D24" s="58" t="s">
        <v>1671</v>
      </c>
      <c r="E24" s="82" t="s">
        <v>119</v>
      </c>
      <c r="F24" s="82" t="s">
        <v>120</v>
      </c>
      <c r="G24" s="160" t="s">
        <v>124</v>
      </c>
      <c r="H24" s="626" t="s">
        <v>1636</v>
      </c>
      <c r="I24" s="627" t="s">
        <v>1672</v>
      </c>
      <c r="J24" s="631" t="s">
        <v>1638</v>
      </c>
      <c r="K24" s="632" t="s">
        <v>2034</v>
      </c>
      <c r="L24" s="633">
        <v>4.0</v>
      </c>
      <c r="M24" s="100" t="s">
        <v>301</v>
      </c>
      <c r="N24" s="634">
        <v>3.0</v>
      </c>
      <c r="O24" s="100" t="s">
        <v>2035</v>
      </c>
      <c r="P24" s="625" t="s">
        <v>2036</v>
      </c>
    </row>
    <row r="25" ht="79.5" customHeight="1">
      <c r="A25" s="536"/>
      <c r="B25" s="536"/>
      <c r="C25" s="536"/>
      <c r="D25" s="536"/>
      <c r="E25" s="82" t="s">
        <v>119</v>
      </c>
      <c r="F25" s="82" t="s">
        <v>120</v>
      </c>
      <c r="G25" s="160" t="s">
        <v>124</v>
      </c>
      <c r="H25" s="626" t="s">
        <v>1643</v>
      </c>
      <c r="I25" s="627" t="s">
        <v>1675</v>
      </c>
      <c r="J25" s="538"/>
      <c r="K25" s="539"/>
      <c r="L25" s="538"/>
      <c r="M25" s="536"/>
      <c r="N25" s="539"/>
      <c r="O25" s="536"/>
      <c r="P25" s="536"/>
    </row>
    <row r="26" ht="51.75" customHeight="1">
      <c r="A26" s="536"/>
      <c r="B26" s="536"/>
      <c r="C26" s="536"/>
      <c r="D26" s="536"/>
      <c r="E26" s="82" t="s">
        <v>119</v>
      </c>
      <c r="F26" s="82" t="s">
        <v>120</v>
      </c>
      <c r="G26" s="160" t="s">
        <v>124</v>
      </c>
      <c r="H26" s="630" t="s">
        <v>1645</v>
      </c>
      <c r="I26" s="627" t="s">
        <v>1676</v>
      </c>
      <c r="J26" s="538"/>
      <c r="K26" s="539"/>
      <c r="L26" s="538"/>
      <c r="M26" s="536"/>
      <c r="N26" s="539"/>
      <c r="O26" s="536"/>
      <c r="P26" s="536"/>
    </row>
    <row r="27" ht="15.75" customHeight="1">
      <c r="A27" s="536"/>
      <c r="B27" s="536"/>
      <c r="C27" s="536"/>
      <c r="D27" s="536"/>
      <c r="E27" s="82" t="s">
        <v>119</v>
      </c>
      <c r="F27" s="82" t="s">
        <v>120</v>
      </c>
      <c r="G27" s="160" t="s">
        <v>124</v>
      </c>
      <c r="H27" s="626" t="s">
        <v>1638</v>
      </c>
      <c r="I27" s="627" t="s">
        <v>1677</v>
      </c>
      <c r="J27" s="538"/>
      <c r="K27" s="539"/>
      <c r="L27" s="538"/>
      <c r="M27" s="536"/>
      <c r="N27" s="539"/>
      <c r="O27" s="536"/>
      <c r="P27" s="210"/>
    </row>
    <row r="28" ht="15.75" customHeight="1">
      <c r="A28" s="536"/>
      <c r="B28" s="536"/>
      <c r="C28" s="210"/>
      <c r="D28" s="210"/>
      <c r="E28" s="82" t="s">
        <v>119</v>
      </c>
      <c r="F28" s="82" t="s">
        <v>120</v>
      </c>
      <c r="G28" s="160" t="s">
        <v>124</v>
      </c>
      <c r="H28" s="626" t="s">
        <v>1648</v>
      </c>
      <c r="I28" s="627" t="s">
        <v>1678</v>
      </c>
      <c r="J28" s="213"/>
      <c r="K28" s="440"/>
      <c r="L28" s="213"/>
      <c r="M28" s="210"/>
      <c r="N28" s="440"/>
      <c r="O28" s="210"/>
      <c r="P28" s="54"/>
    </row>
    <row r="29" ht="15.75" customHeight="1">
      <c r="A29" s="536"/>
      <c r="B29" s="536"/>
      <c r="C29" s="100">
        <v>3.0</v>
      </c>
      <c r="D29" s="58" t="s">
        <v>1679</v>
      </c>
      <c r="E29" s="82" t="s">
        <v>119</v>
      </c>
      <c r="F29" s="82" t="s">
        <v>120</v>
      </c>
      <c r="G29" s="160" t="s">
        <v>124</v>
      </c>
      <c r="H29" s="626" t="s">
        <v>1636</v>
      </c>
      <c r="I29" s="627" t="s">
        <v>1680</v>
      </c>
      <c r="J29" s="631" t="s">
        <v>1638</v>
      </c>
      <c r="K29" s="632" t="s">
        <v>2037</v>
      </c>
      <c r="L29" s="633">
        <v>2.0</v>
      </c>
      <c r="M29" s="100" t="s">
        <v>301</v>
      </c>
      <c r="N29" s="634">
        <v>2.0</v>
      </c>
      <c r="O29" s="100" t="s">
        <v>1091</v>
      </c>
      <c r="P29" s="625" t="s">
        <v>2038</v>
      </c>
    </row>
    <row r="30" ht="15.75" customHeight="1">
      <c r="A30" s="536"/>
      <c r="B30" s="536"/>
      <c r="C30" s="536"/>
      <c r="D30" s="536"/>
      <c r="E30" s="82" t="s">
        <v>119</v>
      </c>
      <c r="F30" s="82" t="s">
        <v>120</v>
      </c>
      <c r="G30" s="160" t="s">
        <v>124</v>
      </c>
      <c r="H30" s="626" t="s">
        <v>1643</v>
      </c>
      <c r="I30" s="627" t="s">
        <v>1683</v>
      </c>
      <c r="J30" s="538"/>
      <c r="K30" s="539"/>
      <c r="L30" s="538"/>
      <c r="M30" s="536"/>
      <c r="N30" s="539"/>
      <c r="O30" s="536"/>
      <c r="P30" s="536"/>
    </row>
    <row r="31" ht="78.75" customHeight="1">
      <c r="A31" s="536"/>
      <c r="B31" s="536"/>
      <c r="C31" s="536"/>
      <c r="D31" s="536"/>
      <c r="E31" s="82" t="s">
        <v>119</v>
      </c>
      <c r="F31" s="82" t="s">
        <v>120</v>
      </c>
      <c r="G31" s="160" t="s">
        <v>124</v>
      </c>
      <c r="H31" s="626" t="s">
        <v>1645</v>
      </c>
      <c r="I31" s="627" t="s">
        <v>1684</v>
      </c>
      <c r="J31" s="538"/>
      <c r="K31" s="539"/>
      <c r="L31" s="538"/>
      <c r="M31" s="536"/>
      <c r="N31" s="539"/>
      <c r="O31" s="536"/>
      <c r="P31" s="536"/>
    </row>
    <row r="32" ht="45.0" customHeight="1">
      <c r="A32" s="536"/>
      <c r="B32" s="536"/>
      <c r="C32" s="536"/>
      <c r="D32" s="536"/>
      <c r="E32" s="82" t="s">
        <v>119</v>
      </c>
      <c r="F32" s="82" t="s">
        <v>120</v>
      </c>
      <c r="G32" s="160" t="s">
        <v>124</v>
      </c>
      <c r="H32" s="630" t="s">
        <v>1638</v>
      </c>
      <c r="I32" s="627" t="s">
        <v>1685</v>
      </c>
      <c r="J32" s="538"/>
      <c r="K32" s="539"/>
      <c r="L32" s="538"/>
      <c r="M32" s="536"/>
      <c r="N32" s="539"/>
      <c r="O32" s="536"/>
      <c r="P32" s="210"/>
    </row>
    <row r="33" ht="15.75" customHeight="1">
      <c r="A33" s="536"/>
      <c r="B33" s="536"/>
      <c r="C33" s="210"/>
      <c r="D33" s="210"/>
      <c r="E33" s="82" t="s">
        <v>119</v>
      </c>
      <c r="F33" s="82" t="s">
        <v>120</v>
      </c>
      <c r="G33" s="160" t="s">
        <v>124</v>
      </c>
      <c r="H33" s="626" t="s">
        <v>1648</v>
      </c>
      <c r="I33" s="627" t="s">
        <v>1686</v>
      </c>
      <c r="J33" s="213"/>
      <c r="K33" s="440"/>
      <c r="L33" s="213"/>
      <c r="M33" s="210"/>
      <c r="N33" s="440"/>
      <c r="O33" s="210"/>
      <c r="P33" s="54"/>
    </row>
    <row r="34" ht="15.75" customHeight="1">
      <c r="A34" s="536"/>
      <c r="B34" s="536"/>
      <c r="C34" s="100">
        <v>4.0</v>
      </c>
      <c r="D34" s="58" t="s">
        <v>1687</v>
      </c>
      <c r="E34" s="82" t="s">
        <v>119</v>
      </c>
      <c r="F34" s="82" t="s">
        <v>120</v>
      </c>
      <c r="G34" s="160" t="s">
        <v>124</v>
      </c>
      <c r="H34" s="626" t="s">
        <v>1636</v>
      </c>
      <c r="I34" s="627" t="s">
        <v>1688</v>
      </c>
      <c r="J34" s="631" t="s">
        <v>1638</v>
      </c>
      <c r="K34" s="632" t="s">
        <v>2039</v>
      </c>
      <c r="L34" s="633">
        <v>3.0</v>
      </c>
      <c r="M34" s="100" t="s">
        <v>271</v>
      </c>
      <c r="N34" s="634">
        <v>3.0</v>
      </c>
      <c r="O34" s="100"/>
      <c r="P34" s="625" t="s">
        <v>2040</v>
      </c>
    </row>
    <row r="35" ht="55.5" customHeight="1">
      <c r="A35" s="536"/>
      <c r="B35" s="536"/>
      <c r="C35" s="536"/>
      <c r="D35" s="536"/>
      <c r="E35" s="82" t="s">
        <v>119</v>
      </c>
      <c r="F35" s="82" t="s">
        <v>120</v>
      </c>
      <c r="G35" s="160" t="s">
        <v>124</v>
      </c>
      <c r="H35" s="626" t="s">
        <v>1643</v>
      </c>
      <c r="I35" s="635" t="s">
        <v>1691</v>
      </c>
      <c r="J35" s="538"/>
      <c r="K35" s="539"/>
      <c r="L35" s="538"/>
      <c r="M35" s="536"/>
      <c r="N35" s="539"/>
      <c r="O35" s="536"/>
      <c r="P35" s="536"/>
    </row>
    <row r="36" ht="60.0" customHeight="1">
      <c r="A36" s="536"/>
      <c r="B36" s="536"/>
      <c r="C36" s="536"/>
      <c r="D36" s="536"/>
      <c r="E36" s="82" t="s">
        <v>119</v>
      </c>
      <c r="F36" s="82" t="s">
        <v>120</v>
      </c>
      <c r="G36" s="160" t="s">
        <v>124</v>
      </c>
      <c r="H36" s="630" t="s">
        <v>1645</v>
      </c>
      <c r="I36" s="635" t="s">
        <v>1692</v>
      </c>
      <c r="J36" s="538"/>
      <c r="K36" s="539"/>
      <c r="L36" s="538"/>
      <c r="M36" s="536"/>
      <c r="N36" s="539"/>
      <c r="O36" s="536"/>
      <c r="P36" s="536"/>
    </row>
    <row r="37" ht="84.0" customHeight="1">
      <c r="A37" s="536"/>
      <c r="B37" s="536"/>
      <c r="C37" s="536"/>
      <c r="D37" s="536"/>
      <c r="E37" s="82" t="s">
        <v>119</v>
      </c>
      <c r="F37" s="82" t="s">
        <v>120</v>
      </c>
      <c r="G37" s="160" t="s">
        <v>124</v>
      </c>
      <c r="H37" s="626" t="s">
        <v>1638</v>
      </c>
      <c r="I37" s="635" t="s">
        <v>1693</v>
      </c>
      <c r="J37" s="538"/>
      <c r="K37" s="539"/>
      <c r="L37" s="538"/>
      <c r="M37" s="536"/>
      <c r="N37" s="539"/>
      <c r="O37" s="536"/>
      <c r="P37" s="536"/>
    </row>
    <row r="38" ht="15.75" customHeight="1">
      <c r="A38" s="210"/>
      <c r="B38" s="210"/>
      <c r="C38" s="210"/>
      <c r="D38" s="210"/>
      <c r="E38" s="82" t="s">
        <v>119</v>
      </c>
      <c r="F38" s="82" t="s">
        <v>120</v>
      </c>
      <c r="G38" s="160" t="s">
        <v>124</v>
      </c>
      <c r="H38" s="626" t="s">
        <v>1648</v>
      </c>
      <c r="I38" s="635" t="s">
        <v>1694</v>
      </c>
      <c r="J38" s="213"/>
      <c r="K38" s="440"/>
      <c r="L38" s="213"/>
      <c r="M38" s="210"/>
      <c r="N38" s="440"/>
      <c r="O38" s="210"/>
      <c r="P38" s="210"/>
    </row>
    <row r="39" ht="15.75" customHeight="1">
      <c r="A39" s="144" t="s">
        <v>145</v>
      </c>
      <c r="B39" s="143" t="s">
        <v>2041</v>
      </c>
      <c r="C39" s="62"/>
      <c r="D39" s="62"/>
      <c r="E39" s="62"/>
      <c r="F39" s="62"/>
      <c r="G39" s="62"/>
      <c r="H39" s="62"/>
      <c r="I39" s="63"/>
      <c r="J39" s="144"/>
      <c r="K39" s="144"/>
      <c r="L39" s="613">
        <f>L40</f>
        <v>5</v>
      </c>
      <c r="M39" s="614"/>
      <c r="N39" s="615"/>
      <c r="O39" s="144"/>
      <c r="P39" s="54"/>
    </row>
    <row r="40" ht="15.75" customHeight="1">
      <c r="A40" s="100"/>
      <c r="B40" s="58"/>
      <c r="C40" s="100">
        <v>1.0</v>
      </c>
      <c r="D40" s="58" t="s">
        <v>2042</v>
      </c>
      <c r="E40" s="82" t="s">
        <v>119</v>
      </c>
      <c r="F40" s="150" t="s">
        <v>124</v>
      </c>
      <c r="G40" s="150" t="s">
        <v>124</v>
      </c>
      <c r="H40" s="168" t="s">
        <v>1636</v>
      </c>
      <c r="I40" s="620" t="s">
        <v>1696</v>
      </c>
      <c r="J40" s="621" t="s">
        <v>1638</v>
      </c>
      <c r="K40" s="628" t="s">
        <v>2043</v>
      </c>
      <c r="L40" s="623">
        <v>5.0</v>
      </c>
      <c r="M40" s="100" t="s">
        <v>301</v>
      </c>
      <c r="N40" s="624">
        <v>4.0</v>
      </c>
      <c r="O40" s="100" t="s">
        <v>2044</v>
      </c>
      <c r="P40" s="625" t="s">
        <v>2045</v>
      </c>
    </row>
    <row r="41" ht="78.75" customHeight="1">
      <c r="A41" s="536"/>
      <c r="B41" s="536"/>
      <c r="C41" s="536"/>
      <c r="D41" s="536"/>
      <c r="E41" s="82" t="s">
        <v>119</v>
      </c>
      <c r="F41" s="150" t="s">
        <v>124</v>
      </c>
      <c r="G41" s="150" t="s">
        <v>124</v>
      </c>
      <c r="H41" s="630" t="s">
        <v>1643</v>
      </c>
      <c r="I41" s="627" t="s">
        <v>1701</v>
      </c>
      <c r="J41" s="538"/>
      <c r="K41" s="539"/>
      <c r="L41" s="538"/>
      <c r="M41" s="536"/>
      <c r="N41" s="539"/>
      <c r="O41" s="536"/>
      <c r="P41" s="536"/>
    </row>
    <row r="42" ht="108.75" customHeight="1">
      <c r="A42" s="536"/>
      <c r="B42" s="536"/>
      <c r="C42" s="536"/>
      <c r="D42" s="536"/>
      <c r="E42" s="82" t="s">
        <v>119</v>
      </c>
      <c r="F42" s="150" t="s">
        <v>124</v>
      </c>
      <c r="G42" s="150" t="s">
        <v>124</v>
      </c>
      <c r="H42" s="626" t="s">
        <v>1645</v>
      </c>
      <c r="I42" s="627" t="s">
        <v>1702</v>
      </c>
      <c r="J42" s="538"/>
      <c r="K42" s="539"/>
      <c r="L42" s="538"/>
      <c r="M42" s="536"/>
      <c r="N42" s="539"/>
      <c r="O42" s="536"/>
      <c r="P42" s="536"/>
    </row>
    <row r="43" ht="15.75" customHeight="1">
      <c r="A43" s="536"/>
      <c r="B43" s="536"/>
      <c r="C43" s="536"/>
      <c r="D43" s="536"/>
      <c r="E43" s="82" t="s">
        <v>119</v>
      </c>
      <c r="F43" s="150" t="s">
        <v>124</v>
      </c>
      <c r="G43" s="150" t="s">
        <v>124</v>
      </c>
      <c r="H43" s="626" t="s">
        <v>1638</v>
      </c>
      <c r="I43" s="627" t="s">
        <v>1703</v>
      </c>
      <c r="J43" s="538"/>
      <c r="K43" s="539"/>
      <c r="L43" s="538"/>
      <c r="M43" s="536"/>
      <c r="N43" s="539"/>
      <c r="O43" s="536"/>
      <c r="P43" s="536"/>
    </row>
    <row r="44" ht="15.75" customHeight="1">
      <c r="A44" s="210"/>
      <c r="B44" s="210"/>
      <c r="C44" s="210"/>
      <c r="D44" s="210"/>
      <c r="E44" s="82" t="s">
        <v>119</v>
      </c>
      <c r="F44" s="150" t="s">
        <v>124</v>
      </c>
      <c r="G44" s="150" t="s">
        <v>124</v>
      </c>
      <c r="H44" s="626" t="s">
        <v>1648</v>
      </c>
      <c r="I44" s="627" t="s">
        <v>1704</v>
      </c>
      <c r="J44" s="213"/>
      <c r="K44" s="440"/>
      <c r="L44" s="213"/>
      <c r="M44" s="210"/>
      <c r="N44" s="440"/>
      <c r="O44" s="210"/>
      <c r="P44" s="210"/>
    </row>
    <row r="45" ht="15.75" customHeight="1">
      <c r="A45" s="144" t="s">
        <v>148</v>
      </c>
      <c r="B45" s="143" t="s">
        <v>149</v>
      </c>
      <c r="C45" s="62"/>
      <c r="D45" s="62"/>
      <c r="E45" s="62"/>
      <c r="F45" s="62"/>
      <c r="G45" s="62"/>
      <c r="H45" s="62"/>
      <c r="I45" s="63"/>
      <c r="J45" s="144"/>
      <c r="K45" s="144"/>
      <c r="L45" s="613">
        <f>L46</f>
        <v>5</v>
      </c>
      <c r="M45" s="614"/>
      <c r="N45" s="615"/>
      <c r="O45" s="144"/>
      <c r="P45" s="54"/>
    </row>
    <row r="46" ht="79.5" customHeight="1">
      <c r="A46" s="100"/>
      <c r="B46" s="58"/>
      <c r="C46" s="100">
        <v>1.0</v>
      </c>
      <c r="D46" s="58" t="s">
        <v>2046</v>
      </c>
      <c r="E46" s="82" t="s">
        <v>119</v>
      </c>
      <c r="F46" s="150" t="s">
        <v>124</v>
      </c>
      <c r="G46" s="150" t="s">
        <v>124</v>
      </c>
      <c r="H46" s="619" t="s">
        <v>1636</v>
      </c>
      <c r="I46" s="620" t="s">
        <v>1706</v>
      </c>
      <c r="J46" s="621" t="s">
        <v>1638</v>
      </c>
      <c r="K46" s="628" t="s">
        <v>2047</v>
      </c>
      <c r="L46" s="623">
        <v>5.0</v>
      </c>
      <c r="M46" s="100" t="s">
        <v>271</v>
      </c>
      <c r="N46" s="624">
        <v>5.0</v>
      </c>
      <c r="O46" s="100" t="s">
        <v>1091</v>
      </c>
      <c r="P46" s="625" t="s">
        <v>2048</v>
      </c>
    </row>
    <row r="47" ht="109.5" customHeight="1">
      <c r="A47" s="536"/>
      <c r="B47" s="536"/>
      <c r="C47" s="536"/>
      <c r="D47" s="536"/>
      <c r="E47" s="82" t="s">
        <v>119</v>
      </c>
      <c r="F47" s="150" t="s">
        <v>124</v>
      </c>
      <c r="G47" s="150" t="s">
        <v>124</v>
      </c>
      <c r="H47" s="626" t="s">
        <v>1643</v>
      </c>
      <c r="I47" s="627" t="s">
        <v>1711</v>
      </c>
      <c r="J47" s="538"/>
      <c r="K47" s="539"/>
      <c r="L47" s="538"/>
      <c r="M47" s="536"/>
      <c r="N47" s="539"/>
      <c r="O47" s="536"/>
      <c r="P47" s="536"/>
    </row>
    <row r="48" ht="15.75" customHeight="1">
      <c r="A48" s="536"/>
      <c r="B48" s="536"/>
      <c r="C48" s="536"/>
      <c r="D48" s="536"/>
      <c r="E48" s="82" t="s">
        <v>119</v>
      </c>
      <c r="F48" s="150" t="s">
        <v>124</v>
      </c>
      <c r="G48" s="150" t="s">
        <v>124</v>
      </c>
      <c r="H48" s="626" t="s">
        <v>1645</v>
      </c>
      <c r="I48" s="627" t="s">
        <v>1712</v>
      </c>
      <c r="J48" s="538"/>
      <c r="K48" s="539"/>
      <c r="L48" s="538"/>
      <c r="M48" s="536"/>
      <c r="N48" s="539"/>
      <c r="O48" s="536"/>
      <c r="P48" s="536"/>
    </row>
    <row r="49" ht="15.75" customHeight="1">
      <c r="A49" s="536"/>
      <c r="B49" s="536"/>
      <c r="C49" s="536"/>
      <c r="D49" s="536"/>
      <c r="E49" s="82" t="s">
        <v>119</v>
      </c>
      <c r="F49" s="150" t="s">
        <v>124</v>
      </c>
      <c r="G49" s="150" t="s">
        <v>124</v>
      </c>
      <c r="H49" s="626" t="s">
        <v>1638</v>
      </c>
      <c r="I49" s="627" t="s">
        <v>1713</v>
      </c>
      <c r="J49" s="538"/>
      <c r="K49" s="539"/>
      <c r="L49" s="538"/>
      <c r="M49" s="536"/>
      <c r="N49" s="539"/>
      <c r="O49" s="536"/>
      <c r="P49" s="536"/>
    </row>
    <row r="50" ht="15.75" customHeight="1">
      <c r="A50" s="210"/>
      <c r="B50" s="210"/>
      <c r="C50" s="210"/>
      <c r="D50" s="210"/>
      <c r="E50" s="82" t="s">
        <v>119</v>
      </c>
      <c r="F50" s="150" t="s">
        <v>124</v>
      </c>
      <c r="G50" s="150" t="s">
        <v>124</v>
      </c>
      <c r="H50" s="626" t="s">
        <v>1648</v>
      </c>
      <c r="I50" s="627" t="s">
        <v>1714</v>
      </c>
      <c r="J50" s="213"/>
      <c r="K50" s="440"/>
      <c r="L50" s="213"/>
      <c r="M50" s="210"/>
      <c r="N50" s="440"/>
      <c r="O50" s="210"/>
      <c r="P50" s="210"/>
    </row>
    <row r="51" ht="15.75" customHeight="1">
      <c r="A51" s="144" t="s">
        <v>151</v>
      </c>
      <c r="B51" s="143" t="s">
        <v>152</v>
      </c>
      <c r="C51" s="62"/>
      <c r="D51" s="62"/>
      <c r="E51" s="62"/>
      <c r="F51" s="62"/>
      <c r="G51" s="62"/>
      <c r="H51" s="62"/>
      <c r="I51" s="63"/>
      <c r="J51" s="144"/>
      <c r="K51" s="144"/>
      <c r="L51" s="613">
        <f>AVERAGE(L52:L66)</f>
        <v>2</v>
      </c>
      <c r="M51" s="614"/>
      <c r="N51" s="615"/>
      <c r="O51" s="144"/>
      <c r="P51" s="54"/>
    </row>
    <row r="52" ht="15.75" customHeight="1">
      <c r="A52" s="617"/>
      <c r="B52" s="618"/>
      <c r="C52" s="100">
        <v>1.0</v>
      </c>
      <c r="D52" s="58" t="s">
        <v>2049</v>
      </c>
      <c r="E52" s="82" t="s">
        <v>119</v>
      </c>
      <c r="F52" s="150" t="s">
        <v>124</v>
      </c>
      <c r="G52" s="150" t="s">
        <v>124</v>
      </c>
      <c r="H52" s="168" t="s">
        <v>1636</v>
      </c>
      <c r="I52" s="620" t="s">
        <v>1715</v>
      </c>
      <c r="J52" s="621" t="s">
        <v>1638</v>
      </c>
      <c r="K52" s="632" t="s">
        <v>2050</v>
      </c>
      <c r="L52" s="623">
        <v>2.0</v>
      </c>
      <c r="M52" s="100" t="s">
        <v>301</v>
      </c>
      <c r="N52" s="624">
        <v>2.0</v>
      </c>
      <c r="O52" s="100" t="s">
        <v>1091</v>
      </c>
      <c r="P52" s="625" t="s">
        <v>2051</v>
      </c>
    </row>
    <row r="53" ht="45.75" customHeight="1">
      <c r="A53" s="536"/>
      <c r="B53" s="536"/>
      <c r="C53" s="536"/>
      <c r="D53" s="536"/>
      <c r="E53" s="82" t="s">
        <v>119</v>
      </c>
      <c r="F53" s="150" t="s">
        <v>124</v>
      </c>
      <c r="G53" s="150" t="s">
        <v>124</v>
      </c>
      <c r="H53" s="626" t="s">
        <v>1643</v>
      </c>
      <c r="I53" s="627" t="s">
        <v>1720</v>
      </c>
      <c r="J53" s="538"/>
      <c r="K53" s="539"/>
      <c r="L53" s="538"/>
      <c r="M53" s="536"/>
      <c r="N53" s="539"/>
      <c r="O53" s="536"/>
      <c r="P53" s="536"/>
    </row>
    <row r="54" ht="15.75" customHeight="1">
      <c r="A54" s="536"/>
      <c r="B54" s="536"/>
      <c r="C54" s="536"/>
      <c r="D54" s="536"/>
      <c r="E54" s="82" t="s">
        <v>119</v>
      </c>
      <c r="F54" s="150" t="s">
        <v>124</v>
      </c>
      <c r="G54" s="150" t="s">
        <v>124</v>
      </c>
      <c r="H54" s="626" t="s">
        <v>1645</v>
      </c>
      <c r="I54" s="627" t="s">
        <v>1721</v>
      </c>
      <c r="J54" s="538"/>
      <c r="K54" s="539"/>
      <c r="L54" s="538"/>
      <c r="M54" s="536"/>
      <c r="N54" s="539"/>
      <c r="O54" s="536"/>
      <c r="P54" s="536"/>
    </row>
    <row r="55" ht="15.75" customHeight="1">
      <c r="A55" s="536"/>
      <c r="B55" s="536"/>
      <c r="C55" s="536"/>
      <c r="D55" s="536"/>
      <c r="E55" s="82" t="s">
        <v>119</v>
      </c>
      <c r="F55" s="150" t="s">
        <v>124</v>
      </c>
      <c r="G55" s="150" t="s">
        <v>124</v>
      </c>
      <c r="H55" s="630" t="s">
        <v>1638</v>
      </c>
      <c r="I55" s="627" t="s">
        <v>1722</v>
      </c>
      <c r="J55" s="538"/>
      <c r="K55" s="539"/>
      <c r="L55" s="538"/>
      <c r="M55" s="536"/>
      <c r="N55" s="539"/>
      <c r="O55" s="536"/>
      <c r="P55" s="536"/>
    </row>
    <row r="56" ht="51.75" customHeight="1">
      <c r="A56" s="536"/>
      <c r="B56" s="536"/>
      <c r="C56" s="210"/>
      <c r="D56" s="210"/>
      <c r="E56" s="82" t="s">
        <v>119</v>
      </c>
      <c r="F56" s="150" t="s">
        <v>124</v>
      </c>
      <c r="G56" s="150" t="s">
        <v>124</v>
      </c>
      <c r="H56" s="626" t="s">
        <v>1648</v>
      </c>
      <c r="I56" s="627" t="s">
        <v>1723</v>
      </c>
      <c r="J56" s="213"/>
      <c r="K56" s="440"/>
      <c r="L56" s="213"/>
      <c r="M56" s="210"/>
      <c r="N56" s="440"/>
      <c r="O56" s="210"/>
      <c r="P56" s="210"/>
    </row>
    <row r="57" ht="15.75" customHeight="1">
      <c r="A57" s="536"/>
      <c r="B57" s="536"/>
      <c r="C57" s="100">
        <v>2.0</v>
      </c>
      <c r="D57" s="58" t="s">
        <v>154</v>
      </c>
      <c r="E57" s="82" t="s">
        <v>119</v>
      </c>
      <c r="F57" s="82" t="s">
        <v>120</v>
      </c>
      <c r="G57" s="160" t="s">
        <v>124</v>
      </c>
      <c r="H57" s="626" t="s">
        <v>1636</v>
      </c>
      <c r="I57" s="636" t="s">
        <v>1724</v>
      </c>
      <c r="J57" s="631" t="s">
        <v>1638</v>
      </c>
      <c r="K57" s="632" t="s">
        <v>2050</v>
      </c>
      <c r="L57" s="633">
        <v>2.0</v>
      </c>
      <c r="M57" s="100" t="s">
        <v>301</v>
      </c>
      <c r="N57" s="634">
        <v>2.0</v>
      </c>
      <c r="O57" s="100" t="s">
        <v>1091</v>
      </c>
      <c r="P57" s="625" t="s">
        <v>2052</v>
      </c>
    </row>
    <row r="58" ht="15.75" customHeight="1">
      <c r="A58" s="536"/>
      <c r="B58" s="536"/>
      <c r="C58" s="536"/>
      <c r="D58" s="536"/>
      <c r="E58" s="82" t="s">
        <v>119</v>
      </c>
      <c r="F58" s="82" t="s">
        <v>120</v>
      </c>
      <c r="G58" s="160" t="s">
        <v>124</v>
      </c>
      <c r="H58" s="626" t="s">
        <v>1643</v>
      </c>
      <c r="I58" s="636" t="s">
        <v>1729</v>
      </c>
      <c r="J58" s="538"/>
      <c r="K58" s="539"/>
      <c r="L58" s="538"/>
      <c r="M58" s="536"/>
      <c r="N58" s="539"/>
      <c r="O58" s="536"/>
      <c r="P58" s="536"/>
    </row>
    <row r="59" ht="96.75" customHeight="1">
      <c r="A59" s="536"/>
      <c r="B59" s="536"/>
      <c r="C59" s="536"/>
      <c r="D59" s="536"/>
      <c r="E59" s="82" t="s">
        <v>119</v>
      </c>
      <c r="F59" s="82" t="s">
        <v>120</v>
      </c>
      <c r="G59" s="160" t="s">
        <v>124</v>
      </c>
      <c r="H59" s="626" t="s">
        <v>1645</v>
      </c>
      <c r="I59" s="636" t="s">
        <v>1730</v>
      </c>
      <c r="J59" s="538"/>
      <c r="K59" s="539"/>
      <c r="L59" s="538"/>
      <c r="M59" s="536"/>
      <c r="N59" s="539"/>
      <c r="O59" s="536"/>
      <c r="P59" s="536"/>
    </row>
    <row r="60" ht="63.75" customHeight="1">
      <c r="A60" s="536"/>
      <c r="B60" s="536"/>
      <c r="C60" s="536"/>
      <c r="D60" s="536"/>
      <c r="E60" s="82" t="s">
        <v>119</v>
      </c>
      <c r="F60" s="82" t="s">
        <v>120</v>
      </c>
      <c r="G60" s="160" t="s">
        <v>124</v>
      </c>
      <c r="H60" s="630" t="s">
        <v>1638</v>
      </c>
      <c r="I60" s="636" t="s">
        <v>1731</v>
      </c>
      <c r="J60" s="538"/>
      <c r="K60" s="539"/>
      <c r="L60" s="538"/>
      <c r="M60" s="536"/>
      <c r="N60" s="539"/>
      <c r="O60" s="536"/>
      <c r="P60" s="536"/>
    </row>
    <row r="61" ht="96.0" customHeight="1">
      <c r="A61" s="536"/>
      <c r="B61" s="536"/>
      <c r="C61" s="210"/>
      <c r="D61" s="210"/>
      <c r="E61" s="82" t="s">
        <v>119</v>
      </c>
      <c r="F61" s="82" t="s">
        <v>120</v>
      </c>
      <c r="G61" s="160" t="s">
        <v>124</v>
      </c>
      <c r="H61" s="626" t="s">
        <v>1648</v>
      </c>
      <c r="I61" s="636" t="s">
        <v>1732</v>
      </c>
      <c r="J61" s="213"/>
      <c r="K61" s="440"/>
      <c r="L61" s="213"/>
      <c r="M61" s="210"/>
      <c r="N61" s="440"/>
      <c r="O61" s="210"/>
      <c r="P61" s="210"/>
    </row>
    <row r="62" ht="15.75" customHeight="1">
      <c r="A62" s="536"/>
      <c r="B62" s="536"/>
      <c r="C62" s="100">
        <v>3.0</v>
      </c>
      <c r="D62" s="58" t="s">
        <v>156</v>
      </c>
      <c r="E62" s="82" t="s">
        <v>119</v>
      </c>
      <c r="F62" s="82" t="s">
        <v>120</v>
      </c>
      <c r="G62" s="160" t="s">
        <v>124</v>
      </c>
      <c r="H62" s="637" t="s">
        <v>1636</v>
      </c>
      <c r="I62" s="638" t="s">
        <v>1733</v>
      </c>
      <c r="J62" s="631" t="s">
        <v>1638</v>
      </c>
      <c r="K62" s="632" t="s">
        <v>2050</v>
      </c>
      <c r="L62" s="633">
        <v>2.0</v>
      </c>
      <c r="M62" s="100" t="s">
        <v>301</v>
      </c>
      <c r="N62" s="634">
        <v>2.0</v>
      </c>
      <c r="O62" s="100" t="s">
        <v>1091</v>
      </c>
      <c r="P62" s="625" t="s">
        <v>2053</v>
      </c>
    </row>
    <row r="63" ht="82.5" customHeight="1">
      <c r="A63" s="536"/>
      <c r="B63" s="536"/>
      <c r="C63" s="536"/>
      <c r="D63" s="536"/>
      <c r="E63" s="82" t="s">
        <v>119</v>
      </c>
      <c r="F63" s="82" t="s">
        <v>120</v>
      </c>
      <c r="G63" s="160" t="s">
        <v>124</v>
      </c>
      <c r="H63" s="637" t="s">
        <v>1643</v>
      </c>
      <c r="I63" s="638" t="s">
        <v>1737</v>
      </c>
      <c r="J63" s="538"/>
      <c r="K63" s="539"/>
      <c r="L63" s="538"/>
      <c r="M63" s="536"/>
      <c r="N63" s="539"/>
      <c r="O63" s="536"/>
      <c r="P63" s="536"/>
    </row>
    <row r="64" ht="27.75" customHeight="1">
      <c r="A64" s="536"/>
      <c r="B64" s="536"/>
      <c r="C64" s="536"/>
      <c r="D64" s="536"/>
      <c r="E64" s="82" t="s">
        <v>119</v>
      </c>
      <c r="F64" s="82" t="s">
        <v>120</v>
      </c>
      <c r="G64" s="160" t="s">
        <v>124</v>
      </c>
      <c r="H64" s="637" t="s">
        <v>1645</v>
      </c>
      <c r="I64" s="638" t="s">
        <v>1738</v>
      </c>
      <c r="J64" s="538"/>
      <c r="K64" s="539"/>
      <c r="L64" s="538"/>
      <c r="M64" s="536"/>
      <c r="N64" s="539"/>
      <c r="O64" s="536"/>
      <c r="P64" s="536"/>
    </row>
    <row r="65" ht="15.75" customHeight="1">
      <c r="A65" s="536"/>
      <c r="B65" s="536"/>
      <c r="C65" s="536"/>
      <c r="D65" s="536"/>
      <c r="E65" s="82" t="s">
        <v>119</v>
      </c>
      <c r="F65" s="82" t="s">
        <v>120</v>
      </c>
      <c r="G65" s="160" t="s">
        <v>124</v>
      </c>
      <c r="H65" s="639" t="s">
        <v>1638</v>
      </c>
      <c r="I65" s="638" t="s">
        <v>1739</v>
      </c>
      <c r="J65" s="538"/>
      <c r="K65" s="539"/>
      <c r="L65" s="538"/>
      <c r="M65" s="536"/>
      <c r="N65" s="539"/>
      <c r="O65" s="536"/>
      <c r="P65" s="536"/>
    </row>
    <row r="66" ht="61.5" customHeight="1">
      <c r="A66" s="210"/>
      <c r="B66" s="210"/>
      <c r="C66" s="210"/>
      <c r="D66" s="210"/>
      <c r="E66" s="82" t="s">
        <v>119</v>
      </c>
      <c r="F66" s="82" t="s">
        <v>120</v>
      </c>
      <c r="G66" s="160" t="s">
        <v>124</v>
      </c>
      <c r="H66" s="637" t="s">
        <v>1648</v>
      </c>
      <c r="I66" s="638" t="s">
        <v>1740</v>
      </c>
      <c r="J66" s="213"/>
      <c r="K66" s="440"/>
      <c r="L66" s="213"/>
      <c r="M66" s="210"/>
      <c r="N66" s="440"/>
      <c r="O66" s="210"/>
      <c r="P66" s="210"/>
    </row>
    <row r="67" ht="15.75" customHeight="1">
      <c r="A67" s="144" t="s">
        <v>157</v>
      </c>
      <c r="B67" s="143" t="s">
        <v>1741</v>
      </c>
      <c r="C67" s="62"/>
      <c r="D67" s="62"/>
      <c r="E67" s="62"/>
      <c r="F67" s="62"/>
      <c r="G67" s="62"/>
      <c r="H67" s="62"/>
      <c r="I67" s="63"/>
      <c r="J67" s="144"/>
      <c r="K67" s="144"/>
      <c r="L67" s="613">
        <f>L68</f>
        <v>3</v>
      </c>
      <c r="M67" s="614"/>
      <c r="N67" s="615">
        <f>N68</f>
        <v>3</v>
      </c>
      <c r="O67" s="144"/>
      <c r="P67" s="54"/>
    </row>
    <row r="68" ht="15.75" customHeight="1">
      <c r="A68" s="100"/>
      <c r="B68" s="58"/>
      <c r="C68" s="100">
        <v>1.0</v>
      </c>
      <c r="D68" s="58" t="s">
        <v>159</v>
      </c>
      <c r="E68" s="82" t="s">
        <v>119</v>
      </c>
      <c r="F68" s="150" t="s">
        <v>124</v>
      </c>
      <c r="G68" s="150" t="s">
        <v>124</v>
      </c>
      <c r="H68" s="168" t="s">
        <v>1636</v>
      </c>
      <c r="I68" s="620" t="s">
        <v>1742</v>
      </c>
      <c r="J68" s="621" t="s">
        <v>1638</v>
      </c>
      <c r="K68" s="628" t="s">
        <v>2054</v>
      </c>
      <c r="L68" s="623">
        <v>3.0</v>
      </c>
      <c r="M68" s="100" t="s">
        <v>301</v>
      </c>
      <c r="N68" s="624">
        <v>3.0</v>
      </c>
      <c r="O68" s="100" t="s">
        <v>2055</v>
      </c>
      <c r="P68" s="640" t="s">
        <v>2056</v>
      </c>
    </row>
    <row r="69" ht="15.75" customHeight="1">
      <c r="A69" s="536"/>
      <c r="B69" s="536"/>
      <c r="C69" s="536"/>
      <c r="D69" s="536"/>
      <c r="E69" s="82" t="s">
        <v>119</v>
      </c>
      <c r="F69" s="150" t="s">
        <v>124</v>
      </c>
      <c r="G69" s="150" t="s">
        <v>124</v>
      </c>
      <c r="H69" s="626" t="s">
        <v>1643</v>
      </c>
      <c r="I69" s="627" t="s">
        <v>1747</v>
      </c>
      <c r="J69" s="538"/>
      <c r="K69" s="539"/>
      <c r="L69" s="538"/>
      <c r="M69" s="536"/>
      <c r="N69" s="539"/>
      <c r="O69" s="536"/>
      <c r="P69" s="536"/>
    </row>
    <row r="70" ht="15.75" customHeight="1">
      <c r="A70" s="536"/>
      <c r="B70" s="536"/>
      <c r="C70" s="536"/>
      <c r="D70" s="536"/>
      <c r="E70" s="82" t="s">
        <v>119</v>
      </c>
      <c r="F70" s="150" t="s">
        <v>124</v>
      </c>
      <c r="G70" s="150" t="s">
        <v>124</v>
      </c>
      <c r="H70" s="630" t="s">
        <v>1645</v>
      </c>
      <c r="I70" s="627" t="s">
        <v>1748</v>
      </c>
      <c r="J70" s="538"/>
      <c r="K70" s="539"/>
      <c r="L70" s="538"/>
      <c r="M70" s="536"/>
      <c r="N70" s="539"/>
      <c r="O70" s="536"/>
      <c r="P70" s="536"/>
    </row>
    <row r="71" ht="15.75" customHeight="1">
      <c r="A71" s="536"/>
      <c r="B71" s="536"/>
      <c r="C71" s="536"/>
      <c r="D71" s="536"/>
      <c r="E71" s="82" t="s">
        <v>119</v>
      </c>
      <c r="F71" s="150" t="s">
        <v>124</v>
      </c>
      <c r="G71" s="150" t="s">
        <v>124</v>
      </c>
      <c r="H71" s="626" t="s">
        <v>1638</v>
      </c>
      <c r="I71" s="627" t="s">
        <v>1749</v>
      </c>
      <c r="J71" s="538"/>
      <c r="K71" s="539"/>
      <c r="L71" s="538"/>
      <c r="M71" s="536"/>
      <c r="N71" s="539"/>
      <c r="O71" s="536"/>
      <c r="P71" s="536"/>
    </row>
    <row r="72" ht="15.75" customHeight="1">
      <c r="A72" s="210"/>
      <c r="B72" s="210"/>
      <c r="C72" s="210"/>
      <c r="D72" s="210"/>
      <c r="E72" s="82" t="s">
        <v>119</v>
      </c>
      <c r="F72" s="150" t="s">
        <v>124</v>
      </c>
      <c r="G72" s="150" t="s">
        <v>124</v>
      </c>
      <c r="H72" s="626" t="s">
        <v>1648</v>
      </c>
      <c r="I72" s="627" t="s">
        <v>1750</v>
      </c>
      <c r="J72" s="213"/>
      <c r="K72" s="440"/>
      <c r="L72" s="213"/>
      <c r="M72" s="210"/>
      <c r="N72" s="440"/>
      <c r="O72" s="210"/>
      <c r="P72" s="210"/>
    </row>
    <row r="73" ht="15.75" customHeight="1">
      <c r="A73" s="144" t="s">
        <v>160</v>
      </c>
      <c r="B73" s="143" t="s">
        <v>161</v>
      </c>
      <c r="C73" s="62"/>
      <c r="D73" s="62"/>
      <c r="E73" s="62"/>
      <c r="F73" s="62"/>
      <c r="G73" s="62"/>
      <c r="H73" s="62"/>
      <c r="I73" s="63"/>
      <c r="J73" s="144"/>
      <c r="K73" s="144"/>
      <c r="L73" s="613">
        <f>AVERAGE(L74:L83)</f>
        <v>4</v>
      </c>
      <c r="M73" s="614"/>
      <c r="N73" s="615"/>
      <c r="O73" s="144"/>
      <c r="P73" s="54"/>
    </row>
    <row r="74" ht="15.75" customHeight="1">
      <c r="A74" s="617"/>
      <c r="B74" s="618"/>
      <c r="C74" s="100">
        <v>1.0</v>
      </c>
      <c r="D74" s="58" t="s">
        <v>2057</v>
      </c>
      <c r="E74" s="82" t="s">
        <v>119</v>
      </c>
      <c r="F74" s="150" t="s">
        <v>124</v>
      </c>
      <c r="G74" s="150" t="s">
        <v>124</v>
      </c>
      <c r="H74" s="619" t="s">
        <v>1636</v>
      </c>
      <c r="I74" s="620" t="s">
        <v>1752</v>
      </c>
      <c r="J74" s="621" t="s">
        <v>1638</v>
      </c>
      <c r="K74" s="628" t="s">
        <v>2058</v>
      </c>
      <c r="L74" s="623">
        <v>5.0</v>
      </c>
      <c r="M74" s="100" t="s">
        <v>301</v>
      </c>
      <c r="N74" s="624">
        <v>5.0</v>
      </c>
      <c r="O74" s="100" t="s">
        <v>1091</v>
      </c>
      <c r="P74" s="640" t="s">
        <v>2059</v>
      </c>
    </row>
    <row r="75" ht="81.0" customHeight="1">
      <c r="A75" s="536"/>
      <c r="B75" s="536"/>
      <c r="C75" s="536"/>
      <c r="D75" s="536"/>
      <c r="E75" s="82" t="s">
        <v>119</v>
      </c>
      <c r="F75" s="150" t="s">
        <v>124</v>
      </c>
      <c r="G75" s="150" t="s">
        <v>124</v>
      </c>
      <c r="H75" s="626" t="s">
        <v>1643</v>
      </c>
      <c r="I75" s="627" t="s">
        <v>1756</v>
      </c>
      <c r="J75" s="538"/>
      <c r="K75" s="539"/>
      <c r="L75" s="538"/>
      <c r="M75" s="536"/>
      <c r="N75" s="539"/>
      <c r="O75" s="536"/>
      <c r="P75" s="536"/>
    </row>
    <row r="76" ht="15.75" customHeight="1">
      <c r="A76" s="536"/>
      <c r="B76" s="536"/>
      <c r="C76" s="536"/>
      <c r="D76" s="536"/>
      <c r="E76" s="82" t="s">
        <v>119</v>
      </c>
      <c r="F76" s="150" t="s">
        <v>124</v>
      </c>
      <c r="G76" s="150" t="s">
        <v>124</v>
      </c>
      <c r="H76" s="626" t="s">
        <v>1645</v>
      </c>
      <c r="I76" s="627" t="s">
        <v>1757</v>
      </c>
      <c r="J76" s="538"/>
      <c r="K76" s="539"/>
      <c r="L76" s="538"/>
      <c r="M76" s="536"/>
      <c r="N76" s="539"/>
      <c r="O76" s="536"/>
      <c r="P76" s="536"/>
    </row>
    <row r="77" ht="15.75" customHeight="1">
      <c r="A77" s="536"/>
      <c r="B77" s="536"/>
      <c r="C77" s="536"/>
      <c r="D77" s="536"/>
      <c r="E77" s="82" t="s">
        <v>119</v>
      </c>
      <c r="F77" s="150" t="s">
        <v>124</v>
      </c>
      <c r="G77" s="150" t="s">
        <v>124</v>
      </c>
      <c r="H77" s="626" t="s">
        <v>1638</v>
      </c>
      <c r="I77" s="627" t="s">
        <v>1758</v>
      </c>
      <c r="J77" s="538"/>
      <c r="K77" s="539"/>
      <c r="L77" s="538"/>
      <c r="M77" s="536"/>
      <c r="N77" s="539"/>
      <c r="O77" s="536"/>
      <c r="P77" s="536"/>
    </row>
    <row r="78" ht="72.75" customHeight="1">
      <c r="A78" s="536"/>
      <c r="B78" s="536"/>
      <c r="C78" s="210"/>
      <c r="D78" s="210"/>
      <c r="E78" s="82" t="s">
        <v>119</v>
      </c>
      <c r="F78" s="150" t="s">
        <v>124</v>
      </c>
      <c r="G78" s="150" t="s">
        <v>124</v>
      </c>
      <c r="H78" s="626" t="s">
        <v>1648</v>
      </c>
      <c r="I78" s="627" t="s">
        <v>1759</v>
      </c>
      <c r="J78" s="213"/>
      <c r="K78" s="440"/>
      <c r="L78" s="213"/>
      <c r="M78" s="210"/>
      <c r="N78" s="440"/>
      <c r="O78" s="210"/>
      <c r="P78" s="210"/>
    </row>
    <row r="79" ht="15.75" customHeight="1">
      <c r="A79" s="536"/>
      <c r="B79" s="536"/>
      <c r="C79" s="100">
        <v>2.0</v>
      </c>
      <c r="D79" s="585" t="s">
        <v>1760</v>
      </c>
      <c r="E79" s="82" t="s">
        <v>119</v>
      </c>
      <c r="F79" s="82" t="s">
        <v>120</v>
      </c>
      <c r="G79" s="160" t="s">
        <v>124</v>
      </c>
      <c r="H79" s="637" t="s">
        <v>1636</v>
      </c>
      <c r="I79" s="638" t="s">
        <v>1761</v>
      </c>
      <c r="J79" s="631" t="s">
        <v>1638</v>
      </c>
      <c r="K79" s="632" t="s">
        <v>2060</v>
      </c>
      <c r="L79" s="633">
        <v>3.0</v>
      </c>
      <c r="M79" s="100" t="s">
        <v>301</v>
      </c>
      <c r="N79" s="634">
        <v>3.0</v>
      </c>
      <c r="O79" s="100" t="s">
        <v>1091</v>
      </c>
      <c r="P79" s="54"/>
    </row>
    <row r="80" ht="15.75" customHeight="1">
      <c r="A80" s="536"/>
      <c r="B80" s="536"/>
      <c r="C80" s="536"/>
      <c r="D80" s="536"/>
      <c r="E80" s="82" t="s">
        <v>119</v>
      </c>
      <c r="F80" s="82" t="s">
        <v>120</v>
      </c>
      <c r="G80" s="160" t="s">
        <v>124</v>
      </c>
      <c r="H80" s="637" t="s">
        <v>1643</v>
      </c>
      <c r="I80" s="638" t="s">
        <v>1765</v>
      </c>
      <c r="J80" s="538"/>
      <c r="K80" s="539"/>
      <c r="L80" s="538"/>
      <c r="M80" s="536"/>
      <c r="N80" s="539"/>
      <c r="O80" s="536"/>
      <c r="P80" s="625" t="s">
        <v>2061</v>
      </c>
    </row>
    <row r="81" ht="72.0" customHeight="1">
      <c r="A81" s="536"/>
      <c r="B81" s="536"/>
      <c r="C81" s="536"/>
      <c r="D81" s="536"/>
      <c r="E81" s="82" t="s">
        <v>119</v>
      </c>
      <c r="F81" s="82" t="s">
        <v>120</v>
      </c>
      <c r="G81" s="160" t="s">
        <v>124</v>
      </c>
      <c r="H81" s="639" t="s">
        <v>1645</v>
      </c>
      <c r="I81" s="638" t="s">
        <v>1766</v>
      </c>
      <c r="J81" s="538"/>
      <c r="K81" s="539"/>
      <c r="L81" s="538"/>
      <c r="M81" s="536"/>
      <c r="N81" s="539"/>
      <c r="O81" s="536"/>
      <c r="P81" s="536"/>
    </row>
    <row r="82" ht="15.75" customHeight="1">
      <c r="A82" s="536"/>
      <c r="B82" s="536"/>
      <c r="C82" s="536"/>
      <c r="D82" s="536"/>
      <c r="E82" s="82" t="s">
        <v>119</v>
      </c>
      <c r="F82" s="82" t="s">
        <v>120</v>
      </c>
      <c r="G82" s="160" t="s">
        <v>124</v>
      </c>
      <c r="H82" s="637" t="s">
        <v>1638</v>
      </c>
      <c r="I82" s="638" t="s">
        <v>1767</v>
      </c>
      <c r="J82" s="538"/>
      <c r="K82" s="539"/>
      <c r="L82" s="538"/>
      <c r="M82" s="536"/>
      <c r="N82" s="539"/>
      <c r="O82" s="536"/>
      <c r="P82" s="536"/>
    </row>
    <row r="83" ht="15.75" customHeight="1">
      <c r="A83" s="210"/>
      <c r="B83" s="210"/>
      <c r="C83" s="210"/>
      <c r="D83" s="210"/>
      <c r="E83" s="82" t="s">
        <v>119</v>
      </c>
      <c r="F83" s="82" t="s">
        <v>120</v>
      </c>
      <c r="G83" s="160" t="s">
        <v>124</v>
      </c>
      <c r="H83" s="637" t="s">
        <v>1648</v>
      </c>
      <c r="I83" s="638" t="s">
        <v>1768</v>
      </c>
      <c r="J83" s="213"/>
      <c r="K83" s="440"/>
      <c r="L83" s="213"/>
      <c r="M83" s="210"/>
      <c r="N83" s="440"/>
      <c r="O83" s="210"/>
      <c r="P83" s="210"/>
    </row>
    <row r="84" ht="15.75" customHeight="1">
      <c r="A84" s="641" t="s">
        <v>165</v>
      </c>
      <c r="B84" s="642" t="s">
        <v>166</v>
      </c>
      <c r="C84" s="62"/>
      <c r="D84" s="62"/>
      <c r="E84" s="62"/>
      <c r="F84" s="62"/>
      <c r="G84" s="62"/>
      <c r="H84" s="62"/>
      <c r="I84" s="63"/>
      <c r="J84" s="641"/>
      <c r="K84" s="641"/>
      <c r="L84" s="613">
        <f>AVERAGE(L85:L99)</f>
        <v>3</v>
      </c>
      <c r="M84" s="614"/>
      <c r="N84" s="615"/>
      <c r="O84" s="144"/>
      <c r="P84" s="54"/>
    </row>
    <row r="85" ht="15.75" customHeight="1">
      <c r="A85" s="100"/>
      <c r="B85" s="58"/>
      <c r="C85" s="100">
        <v>1.0</v>
      </c>
      <c r="D85" s="58" t="s">
        <v>1769</v>
      </c>
      <c r="E85" s="82" t="s">
        <v>119</v>
      </c>
      <c r="F85" s="82" t="s">
        <v>120</v>
      </c>
      <c r="G85" s="160" t="s">
        <v>124</v>
      </c>
      <c r="H85" s="168" t="s">
        <v>1636</v>
      </c>
      <c r="I85" s="643" t="s">
        <v>1770</v>
      </c>
      <c r="J85" s="621" t="s">
        <v>1638</v>
      </c>
      <c r="K85" s="622" t="s">
        <v>2062</v>
      </c>
      <c r="L85" s="623">
        <v>3.0</v>
      </c>
      <c r="M85" s="100" t="s">
        <v>301</v>
      </c>
      <c r="N85" s="624">
        <v>2.0</v>
      </c>
      <c r="O85" s="100" t="s">
        <v>2063</v>
      </c>
      <c r="P85" s="644" t="s">
        <v>2064</v>
      </c>
    </row>
    <row r="86" ht="105.75" customHeight="1">
      <c r="A86" s="536"/>
      <c r="B86" s="536"/>
      <c r="C86" s="536"/>
      <c r="D86" s="536"/>
      <c r="E86" s="82" t="s">
        <v>119</v>
      </c>
      <c r="F86" s="82" t="s">
        <v>120</v>
      </c>
      <c r="G86" s="160" t="s">
        <v>124</v>
      </c>
      <c r="H86" s="626" t="s">
        <v>1643</v>
      </c>
      <c r="I86" s="636" t="s">
        <v>1775</v>
      </c>
      <c r="J86" s="538"/>
      <c r="K86" s="539"/>
      <c r="L86" s="538"/>
      <c r="M86" s="536"/>
      <c r="N86" s="539"/>
      <c r="O86" s="536"/>
      <c r="P86" s="536"/>
    </row>
    <row r="87" ht="15.75" customHeight="1">
      <c r="A87" s="536"/>
      <c r="B87" s="536"/>
      <c r="C87" s="536"/>
      <c r="D87" s="536"/>
      <c r="E87" s="82" t="s">
        <v>119</v>
      </c>
      <c r="F87" s="82" t="s">
        <v>120</v>
      </c>
      <c r="G87" s="160" t="s">
        <v>124</v>
      </c>
      <c r="H87" s="626" t="s">
        <v>1645</v>
      </c>
      <c r="I87" s="636" t="s">
        <v>1776</v>
      </c>
      <c r="J87" s="538"/>
      <c r="K87" s="539"/>
      <c r="L87" s="538"/>
      <c r="M87" s="536"/>
      <c r="N87" s="539"/>
      <c r="O87" s="536"/>
      <c r="P87" s="536"/>
    </row>
    <row r="88" ht="15.75" customHeight="1">
      <c r="A88" s="536"/>
      <c r="B88" s="536"/>
      <c r="C88" s="536"/>
      <c r="D88" s="536"/>
      <c r="E88" s="82" t="s">
        <v>119</v>
      </c>
      <c r="F88" s="82" t="s">
        <v>120</v>
      </c>
      <c r="G88" s="160" t="s">
        <v>124</v>
      </c>
      <c r="H88" s="630" t="s">
        <v>1638</v>
      </c>
      <c r="I88" s="636" t="s">
        <v>1777</v>
      </c>
      <c r="J88" s="538"/>
      <c r="K88" s="539"/>
      <c r="L88" s="538"/>
      <c r="M88" s="536"/>
      <c r="N88" s="539"/>
      <c r="O88" s="536"/>
      <c r="P88" s="536"/>
    </row>
    <row r="89" ht="15.75" customHeight="1">
      <c r="A89" s="536"/>
      <c r="B89" s="536"/>
      <c r="C89" s="210"/>
      <c r="D89" s="210"/>
      <c r="E89" s="82" t="s">
        <v>119</v>
      </c>
      <c r="F89" s="82" t="s">
        <v>120</v>
      </c>
      <c r="G89" s="160" t="s">
        <v>124</v>
      </c>
      <c r="H89" s="626" t="s">
        <v>1648</v>
      </c>
      <c r="I89" s="636" t="s">
        <v>1778</v>
      </c>
      <c r="J89" s="213"/>
      <c r="K89" s="440"/>
      <c r="L89" s="213"/>
      <c r="M89" s="210"/>
      <c r="N89" s="440"/>
      <c r="O89" s="210"/>
      <c r="P89" s="210"/>
    </row>
    <row r="90" ht="15.75" customHeight="1">
      <c r="A90" s="536"/>
      <c r="B90" s="536"/>
      <c r="C90" s="100">
        <v>2.0</v>
      </c>
      <c r="D90" s="58" t="s">
        <v>169</v>
      </c>
      <c r="E90" s="82" t="s">
        <v>119</v>
      </c>
      <c r="F90" s="82" t="s">
        <v>120</v>
      </c>
      <c r="G90" s="160" t="s">
        <v>124</v>
      </c>
      <c r="H90" s="626" t="s">
        <v>1636</v>
      </c>
      <c r="I90" s="636" t="s">
        <v>1779</v>
      </c>
      <c r="J90" s="631" t="s">
        <v>1638</v>
      </c>
      <c r="K90" s="632" t="s">
        <v>2065</v>
      </c>
      <c r="L90" s="633">
        <v>3.0</v>
      </c>
      <c r="M90" s="100" t="s">
        <v>301</v>
      </c>
      <c r="N90" s="634">
        <v>3.0</v>
      </c>
      <c r="O90" s="100" t="s">
        <v>1091</v>
      </c>
      <c r="P90" s="640" t="s">
        <v>2066</v>
      </c>
    </row>
    <row r="91" ht="15.75" customHeight="1">
      <c r="A91" s="536"/>
      <c r="B91" s="536"/>
      <c r="C91" s="536"/>
      <c r="D91" s="536"/>
      <c r="E91" s="82" t="s">
        <v>119</v>
      </c>
      <c r="F91" s="82" t="s">
        <v>120</v>
      </c>
      <c r="G91" s="160" t="s">
        <v>124</v>
      </c>
      <c r="H91" s="626" t="s">
        <v>1643</v>
      </c>
      <c r="I91" s="636" t="s">
        <v>1782</v>
      </c>
      <c r="J91" s="538"/>
      <c r="K91" s="539"/>
      <c r="L91" s="538"/>
      <c r="M91" s="536"/>
      <c r="N91" s="539"/>
      <c r="O91" s="536"/>
      <c r="P91" s="536"/>
    </row>
    <row r="92" ht="94.5" customHeight="1">
      <c r="A92" s="536"/>
      <c r="B92" s="536"/>
      <c r="C92" s="536"/>
      <c r="D92" s="536"/>
      <c r="E92" s="82" t="s">
        <v>119</v>
      </c>
      <c r="F92" s="82" t="s">
        <v>120</v>
      </c>
      <c r="G92" s="160" t="s">
        <v>124</v>
      </c>
      <c r="H92" s="630" t="s">
        <v>1645</v>
      </c>
      <c r="I92" s="636" t="s">
        <v>1783</v>
      </c>
      <c r="J92" s="538"/>
      <c r="K92" s="539"/>
      <c r="L92" s="538"/>
      <c r="M92" s="536"/>
      <c r="N92" s="539"/>
      <c r="O92" s="536"/>
      <c r="P92" s="536"/>
    </row>
    <row r="93" ht="15.75" customHeight="1">
      <c r="A93" s="536"/>
      <c r="B93" s="536"/>
      <c r="C93" s="536"/>
      <c r="D93" s="536"/>
      <c r="E93" s="82" t="s">
        <v>119</v>
      </c>
      <c r="F93" s="82" t="s">
        <v>120</v>
      </c>
      <c r="G93" s="160" t="s">
        <v>124</v>
      </c>
      <c r="H93" s="626" t="s">
        <v>1638</v>
      </c>
      <c r="I93" s="636" t="s">
        <v>1784</v>
      </c>
      <c r="J93" s="538"/>
      <c r="K93" s="539"/>
      <c r="L93" s="538"/>
      <c r="M93" s="536"/>
      <c r="N93" s="539"/>
      <c r="O93" s="536"/>
      <c r="P93" s="536"/>
    </row>
    <row r="94" ht="15.75" customHeight="1">
      <c r="A94" s="536"/>
      <c r="B94" s="536"/>
      <c r="C94" s="210"/>
      <c r="D94" s="210"/>
      <c r="E94" s="82" t="s">
        <v>119</v>
      </c>
      <c r="F94" s="82" t="s">
        <v>120</v>
      </c>
      <c r="G94" s="160" t="s">
        <v>124</v>
      </c>
      <c r="H94" s="626" t="s">
        <v>1648</v>
      </c>
      <c r="I94" s="636" t="s">
        <v>1785</v>
      </c>
      <c r="J94" s="213"/>
      <c r="K94" s="440"/>
      <c r="L94" s="213"/>
      <c r="M94" s="210"/>
      <c r="N94" s="440"/>
      <c r="O94" s="210"/>
      <c r="P94" s="210"/>
    </row>
    <row r="95" ht="15.75" customHeight="1">
      <c r="A95" s="536"/>
      <c r="B95" s="536"/>
      <c r="C95" s="100">
        <v>3.0</v>
      </c>
      <c r="D95" s="58" t="s">
        <v>1786</v>
      </c>
      <c r="E95" s="82" t="s">
        <v>119</v>
      </c>
      <c r="F95" s="82" t="s">
        <v>120</v>
      </c>
      <c r="G95" s="160" t="s">
        <v>124</v>
      </c>
      <c r="H95" s="626" t="s">
        <v>1636</v>
      </c>
      <c r="I95" s="627" t="s">
        <v>1787</v>
      </c>
      <c r="J95" s="631" t="s">
        <v>1638</v>
      </c>
      <c r="K95" s="632" t="s">
        <v>2067</v>
      </c>
      <c r="L95" s="633">
        <v>3.0</v>
      </c>
      <c r="M95" s="100" t="s">
        <v>301</v>
      </c>
      <c r="N95" s="634">
        <v>2.0</v>
      </c>
      <c r="O95" s="100" t="s">
        <v>2068</v>
      </c>
      <c r="P95" s="640" t="s">
        <v>2069</v>
      </c>
    </row>
    <row r="96" ht="15.75" customHeight="1">
      <c r="A96" s="536"/>
      <c r="B96" s="536"/>
      <c r="C96" s="536"/>
      <c r="D96" s="536"/>
      <c r="E96" s="82" t="s">
        <v>119</v>
      </c>
      <c r="F96" s="82" t="s">
        <v>120</v>
      </c>
      <c r="G96" s="160" t="s">
        <v>124</v>
      </c>
      <c r="H96" s="626" t="s">
        <v>1643</v>
      </c>
      <c r="I96" s="635" t="s">
        <v>1790</v>
      </c>
      <c r="J96" s="538"/>
      <c r="K96" s="539"/>
      <c r="L96" s="538"/>
      <c r="M96" s="536"/>
      <c r="N96" s="539"/>
      <c r="O96" s="536"/>
      <c r="P96" s="536"/>
    </row>
    <row r="97" ht="84.0" customHeight="1">
      <c r="A97" s="536"/>
      <c r="B97" s="536"/>
      <c r="C97" s="536"/>
      <c r="D97" s="536"/>
      <c r="E97" s="82" t="s">
        <v>119</v>
      </c>
      <c r="F97" s="82" t="s">
        <v>120</v>
      </c>
      <c r="G97" s="160" t="s">
        <v>124</v>
      </c>
      <c r="H97" s="626" t="s">
        <v>1645</v>
      </c>
      <c r="I97" s="635" t="s">
        <v>1791</v>
      </c>
      <c r="J97" s="538"/>
      <c r="K97" s="539"/>
      <c r="L97" s="538"/>
      <c r="M97" s="536"/>
      <c r="N97" s="539"/>
      <c r="O97" s="536"/>
      <c r="P97" s="536"/>
    </row>
    <row r="98" ht="15.75" customHeight="1">
      <c r="A98" s="536"/>
      <c r="B98" s="536"/>
      <c r="C98" s="536"/>
      <c r="D98" s="536"/>
      <c r="E98" s="82" t="s">
        <v>119</v>
      </c>
      <c r="F98" s="82" t="s">
        <v>120</v>
      </c>
      <c r="G98" s="160" t="s">
        <v>124</v>
      </c>
      <c r="H98" s="630" t="s">
        <v>1638</v>
      </c>
      <c r="I98" s="635" t="s">
        <v>1792</v>
      </c>
      <c r="J98" s="538"/>
      <c r="K98" s="539"/>
      <c r="L98" s="538"/>
      <c r="M98" s="536"/>
      <c r="N98" s="539"/>
      <c r="O98" s="536"/>
      <c r="P98" s="536"/>
    </row>
    <row r="99" ht="15.75" customHeight="1">
      <c r="A99" s="210"/>
      <c r="B99" s="210"/>
      <c r="C99" s="210"/>
      <c r="D99" s="210"/>
      <c r="E99" s="82" t="s">
        <v>119</v>
      </c>
      <c r="F99" s="82" t="s">
        <v>120</v>
      </c>
      <c r="G99" s="160" t="s">
        <v>124</v>
      </c>
      <c r="H99" s="626" t="s">
        <v>1648</v>
      </c>
      <c r="I99" s="635" t="s">
        <v>1793</v>
      </c>
      <c r="J99" s="213"/>
      <c r="K99" s="440"/>
      <c r="L99" s="213"/>
      <c r="M99" s="210"/>
      <c r="N99" s="440"/>
      <c r="O99" s="210"/>
      <c r="P99" s="210"/>
    </row>
    <row r="100" ht="15.75" customHeight="1">
      <c r="A100" s="641" t="s">
        <v>172</v>
      </c>
      <c r="B100" s="143" t="s">
        <v>173</v>
      </c>
      <c r="C100" s="62"/>
      <c r="D100" s="62"/>
      <c r="E100" s="62"/>
      <c r="F100" s="62"/>
      <c r="G100" s="62"/>
      <c r="H100" s="62"/>
      <c r="I100" s="63"/>
      <c r="J100" s="641"/>
      <c r="K100" s="641"/>
      <c r="L100" s="613">
        <f>AVERAGE(L101:L125)</f>
        <v>2.6</v>
      </c>
      <c r="M100" s="614"/>
      <c r="N100" s="615"/>
      <c r="O100" s="144"/>
      <c r="P100" s="54"/>
    </row>
    <row r="101" ht="76.5" customHeight="1">
      <c r="A101" s="100"/>
      <c r="B101" s="58"/>
      <c r="C101" s="100">
        <v>1.0</v>
      </c>
      <c r="D101" s="58" t="s">
        <v>174</v>
      </c>
      <c r="E101" s="82" t="s">
        <v>119</v>
      </c>
      <c r="F101" s="82" t="s">
        <v>120</v>
      </c>
      <c r="G101" s="160" t="s">
        <v>124</v>
      </c>
      <c r="H101" s="168" t="s">
        <v>1636</v>
      </c>
      <c r="I101" s="643" t="s">
        <v>1795</v>
      </c>
      <c r="J101" s="621" t="s">
        <v>1638</v>
      </c>
      <c r="K101" s="622" t="s">
        <v>2070</v>
      </c>
      <c r="L101" s="623">
        <v>3.0</v>
      </c>
      <c r="M101" s="100" t="s">
        <v>301</v>
      </c>
      <c r="N101" s="624">
        <v>3.0</v>
      </c>
      <c r="O101" s="100" t="s">
        <v>1091</v>
      </c>
      <c r="P101" s="640" t="s">
        <v>2071</v>
      </c>
    </row>
    <row r="102" ht="78.0" customHeight="1">
      <c r="A102" s="536"/>
      <c r="B102" s="536"/>
      <c r="C102" s="536"/>
      <c r="D102" s="536"/>
      <c r="E102" s="82" t="s">
        <v>119</v>
      </c>
      <c r="F102" s="82" t="s">
        <v>120</v>
      </c>
      <c r="G102" s="160" t="s">
        <v>124</v>
      </c>
      <c r="H102" s="626" t="s">
        <v>1643</v>
      </c>
      <c r="I102" s="636" t="s">
        <v>1800</v>
      </c>
      <c r="J102" s="538"/>
      <c r="K102" s="539"/>
      <c r="L102" s="538"/>
      <c r="M102" s="536"/>
      <c r="N102" s="539"/>
      <c r="O102" s="536"/>
      <c r="P102" s="536"/>
    </row>
    <row r="103" ht="81.0" customHeight="1">
      <c r="A103" s="536"/>
      <c r="B103" s="536"/>
      <c r="C103" s="536"/>
      <c r="D103" s="536"/>
      <c r="E103" s="82" t="s">
        <v>119</v>
      </c>
      <c r="F103" s="82" t="s">
        <v>120</v>
      </c>
      <c r="G103" s="160" t="s">
        <v>124</v>
      </c>
      <c r="H103" s="630" t="s">
        <v>1645</v>
      </c>
      <c r="I103" s="636" t="s">
        <v>1801</v>
      </c>
      <c r="J103" s="538"/>
      <c r="K103" s="539"/>
      <c r="L103" s="538"/>
      <c r="M103" s="536"/>
      <c r="N103" s="539"/>
      <c r="O103" s="536"/>
      <c r="P103" s="536"/>
    </row>
    <row r="104" ht="15.75" customHeight="1">
      <c r="A104" s="536"/>
      <c r="B104" s="536"/>
      <c r="C104" s="536"/>
      <c r="D104" s="536"/>
      <c r="E104" s="82" t="s">
        <v>119</v>
      </c>
      <c r="F104" s="82" t="s">
        <v>120</v>
      </c>
      <c r="G104" s="160" t="s">
        <v>124</v>
      </c>
      <c r="H104" s="626" t="s">
        <v>1638</v>
      </c>
      <c r="I104" s="636" t="s">
        <v>1802</v>
      </c>
      <c r="J104" s="538"/>
      <c r="K104" s="539"/>
      <c r="L104" s="538"/>
      <c r="M104" s="536"/>
      <c r="N104" s="539"/>
      <c r="O104" s="536"/>
      <c r="P104" s="536"/>
    </row>
    <row r="105" ht="15.75" customHeight="1">
      <c r="A105" s="536"/>
      <c r="B105" s="536"/>
      <c r="C105" s="210"/>
      <c r="D105" s="210"/>
      <c r="E105" s="82" t="s">
        <v>119</v>
      </c>
      <c r="F105" s="82" t="s">
        <v>120</v>
      </c>
      <c r="G105" s="160" t="s">
        <v>124</v>
      </c>
      <c r="H105" s="626" t="s">
        <v>1648</v>
      </c>
      <c r="I105" s="636" t="s">
        <v>1803</v>
      </c>
      <c r="J105" s="213"/>
      <c r="K105" s="440"/>
      <c r="L105" s="213"/>
      <c r="M105" s="210"/>
      <c r="N105" s="440"/>
      <c r="O105" s="210"/>
      <c r="P105" s="210"/>
    </row>
    <row r="106" ht="91.5" customHeight="1">
      <c r="A106" s="536"/>
      <c r="B106" s="536"/>
      <c r="C106" s="100">
        <v>2.0</v>
      </c>
      <c r="D106" s="58" t="s">
        <v>1804</v>
      </c>
      <c r="E106" s="82" t="s">
        <v>119</v>
      </c>
      <c r="F106" s="82" t="s">
        <v>120</v>
      </c>
      <c r="G106" s="160" t="s">
        <v>124</v>
      </c>
      <c r="H106" s="626" t="s">
        <v>1636</v>
      </c>
      <c r="I106" s="636" t="s">
        <v>1805</v>
      </c>
      <c r="J106" s="645" t="s">
        <v>1638</v>
      </c>
      <c r="K106" s="632" t="s">
        <v>2072</v>
      </c>
      <c r="L106" s="633">
        <v>3.0</v>
      </c>
      <c r="M106" s="100" t="s">
        <v>301</v>
      </c>
      <c r="N106" s="634">
        <v>3.0</v>
      </c>
      <c r="O106" s="100"/>
      <c r="P106" s="625" t="s">
        <v>2073</v>
      </c>
    </row>
    <row r="107" ht="93.0" customHeight="1">
      <c r="A107" s="536"/>
      <c r="B107" s="536"/>
      <c r="C107" s="536"/>
      <c r="D107" s="536"/>
      <c r="E107" s="82" t="s">
        <v>119</v>
      </c>
      <c r="F107" s="82" t="s">
        <v>120</v>
      </c>
      <c r="G107" s="160" t="s">
        <v>124</v>
      </c>
      <c r="H107" s="626" t="s">
        <v>1643</v>
      </c>
      <c r="I107" s="636" t="s">
        <v>1808</v>
      </c>
      <c r="K107" s="539"/>
      <c r="L107" s="538"/>
      <c r="M107" s="536"/>
      <c r="N107" s="539"/>
      <c r="O107" s="536"/>
      <c r="P107" s="536"/>
    </row>
    <row r="108" ht="103.5" customHeight="1">
      <c r="A108" s="536"/>
      <c r="B108" s="536"/>
      <c r="C108" s="536"/>
      <c r="D108" s="536"/>
      <c r="E108" s="82" t="s">
        <v>119</v>
      </c>
      <c r="F108" s="82" t="s">
        <v>120</v>
      </c>
      <c r="G108" s="160" t="s">
        <v>124</v>
      </c>
      <c r="H108" s="626" t="s">
        <v>1645</v>
      </c>
      <c r="I108" s="636" t="s">
        <v>2074</v>
      </c>
      <c r="K108" s="539"/>
      <c r="L108" s="538"/>
      <c r="M108" s="536"/>
      <c r="N108" s="539"/>
      <c r="O108" s="536"/>
      <c r="P108" s="536"/>
    </row>
    <row r="109" ht="15.75" customHeight="1">
      <c r="A109" s="536"/>
      <c r="B109" s="536"/>
      <c r="C109" s="536"/>
      <c r="D109" s="536"/>
      <c r="E109" s="82" t="s">
        <v>119</v>
      </c>
      <c r="F109" s="82" t="s">
        <v>120</v>
      </c>
      <c r="G109" s="160" t="s">
        <v>124</v>
      </c>
      <c r="H109" s="630" t="s">
        <v>1638</v>
      </c>
      <c r="I109" s="636" t="s">
        <v>1810</v>
      </c>
      <c r="K109" s="539"/>
      <c r="L109" s="538"/>
      <c r="M109" s="536"/>
      <c r="N109" s="539"/>
      <c r="O109" s="536"/>
      <c r="P109" s="536"/>
    </row>
    <row r="110" ht="45.75" customHeight="1">
      <c r="A110" s="536"/>
      <c r="B110" s="536"/>
      <c r="C110" s="210"/>
      <c r="D110" s="210"/>
      <c r="E110" s="82" t="s">
        <v>119</v>
      </c>
      <c r="F110" s="82" t="s">
        <v>120</v>
      </c>
      <c r="G110" s="160" t="s">
        <v>124</v>
      </c>
      <c r="H110" s="626" t="s">
        <v>1648</v>
      </c>
      <c r="I110" s="636" t="s">
        <v>1811</v>
      </c>
      <c r="J110" s="212"/>
      <c r="K110" s="440"/>
      <c r="L110" s="213"/>
      <c r="M110" s="210"/>
      <c r="N110" s="440"/>
      <c r="O110" s="210"/>
      <c r="P110" s="210"/>
    </row>
    <row r="111" ht="15.75" customHeight="1">
      <c r="A111" s="536"/>
      <c r="B111" s="536"/>
      <c r="C111" s="100">
        <v>3.0</v>
      </c>
      <c r="D111" s="58" t="s">
        <v>1812</v>
      </c>
      <c r="E111" s="82" t="s">
        <v>119</v>
      </c>
      <c r="F111" s="82" t="s">
        <v>120</v>
      </c>
      <c r="G111" s="160" t="s">
        <v>124</v>
      </c>
      <c r="H111" s="626" t="s">
        <v>1636</v>
      </c>
      <c r="I111" s="636" t="s">
        <v>1813</v>
      </c>
      <c r="J111" s="631" t="s">
        <v>1638</v>
      </c>
      <c r="L111" s="633">
        <v>3.0</v>
      </c>
      <c r="M111" s="100" t="s">
        <v>301</v>
      </c>
      <c r="N111" s="634">
        <v>3.0</v>
      </c>
      <c r="O111" s="100"/>
      <c r="P111" s="625" t="s">
        <v>2075</v>
      </c>
    </row>
    <row r="112" ht="15.75" customHeight="1">
      <c r="A112" s="536"/>
      <c r="B112" s="536"/>
      <c r="C112" s="536"/>
      <c r="D112" s="536"/>
      <c r="E112" s="82" t="s">
        <v>119</v>
      </c>
      <c r="F112" s="82" t="s">
        <v>120</v>
      </c>
      <c r="G112" s="160" t="s">
        <v>124</v>
      </c>
      <c r="H112" s="626" t="s">
        <v>1643</v>
      </c>
      <c r="I112" s="636" t="s">
        <v>1816</v>
      </c>
      <c r="J112" s="538"/>
      <c r="L112" s="538"/>
      <c r="M112" s="536"/>
      <c r="N112" s="539"/>
      <c r="O112" s="536"/>
      <c r="P112" s="536"/>
    </row>
    <row r="113" ht="120.0" customHeight="1">
      <c r="A113" s="536"/>
      <c r="B113" s="536"/>
      <c r="C113" s="536"/>
      <c r="D113" s="536"/>
      <c r="E113" s="82" t="s">
        <v>119</v>
      </c>
      <c r="F113" s="82" t="s">
        <v>120</v>
      </c>
      <c r="G113" s="160" t="s">
        <v>124</v>
      </c>
      <c r="H113" s="626" t="s">
        <v>1645</v>
      </c>
      <c r="I113" s="636" t="s">
        <v>1817</v>
      </c>
      <c r="J113" s="538"/>
      <c r="L113" s="538"/>
      <c r="M113" s="536"/>
      <c r="N113" s="539"/>
      <c r="O113" s="536"/>
      <c r="P113" s="536"/>
    </row>
    <row r="114" ht="15.75" customHeight="1">
      <c r="A114" s="536"/>
      <c r="B114" s="536"/>
      <c r="C114" s="536"/>
      <c r="D114" s="536"/>
      <c r="E114" s="82" t="s">
        <v>119</v>
      </c>
      <c r="F114" s="82" t="s">
        <v>120</v>
      </c>
      <c r="G114" s="160" t="s">
        <v>124</v>
      </c>
      <c r="H114" s="630" t="s">
        <v>1638</v>
      </c>
      <c r="I114" s="636" t="s">
        <v>1818</v>
      </c>
      <c r="J114" s="538"/>
      <c r="L114" s="538"/>
      <c r="M114" s="536"/>
      <c r="N114" s="539"/>
      <c r="O114" s="536"/>
      <c r="P114" s="536"/>
    </row>
    <row r="115" ht="15.75" customHeight="1">
      <c r="A115" s="536"/>
      <c r="B115" s="536"/>
      <c r="C115" s="210"/>
      <c r="D115" s="210"/>
      <c r="E115" s="82" t="s">
        <v>119</v>
      </c>
      <c r="F115" s="82" t="s">
        <v>120</v>
      </c>
      <c r="G115" s="160" t="s">
        <v>124</v>
      </c>
      <c r="H115" s="626" t="s">
        <v>1648</v>
      </c>
      <c r="I115" s="636" t="s">
        <v>1819</v>
      </c>
      <c r="J115" s="213"/>
      <c r="L115" s="213"/>
      <c r="M115" s="210"/>
      <c r="N115" s="440"/>
      <c r="O115" s="210"/>
      <c r="P115" s="210"/>
    </row>
    <row r="116" ht="15.75" customHeight="1">
      <c r="A116" s="536"/>
      <c r="B116" s="536"/>
      <c r="C116" s="100">
        <v>4.0</v>
      </c>
      <c r="D116" s="58" t="s">
        <v>177</v>
      </c>
      <c r="E116" s="82" t="s">
        <v>119</v>
      </c>
      <c r="F116" s="82" t="s">
        <v>120</v>
      </c>
      <c r="G116" s="160" t="s">
        <v>124</v>
      </c>
      <c r="H116" s="626" t="s">
        <v>1636</v>
      </c>
      <c r="I116" s="636" t="s">
        <v>1820</v>
      </c>
      <c r="J116" s="631" t="s">
        <v>1638</v>
      </c>
      <c r="K116" s="632" t="s">
        <v>2076</v>
      </c>
      <c r="L116" s="633">
        <v>3.0</v>
      </c>
      <c r="M116" s="100" t="s">
        <v>301</v>
      </c>
      <c r="N116" s="634">
        <v>3.0</v>
      </c>
      <c r="O116" s="100" t="s">
        <v>1091</v>
      </c>
      <c r="P116" s="625" t="s">
        <v>2077</v>
      </c>
    </row>
    <row r="117" ht="15.75" customHeight="1">
      <c r="A117" s="536"/>
      <c r="B117" s="536"/>
      <c r="C117" s="536"/>
      <c r="D117" s="536"/>
      <c r="E117" s="82" t="s">
        <v>119</v>
      </c>
      <c r="F117" s="82" t="s">
        <v>120</v>
      </c>
      <c r="G117" s="160" t="s">
        <v>124</v>
      </c>
      <c r="H117" s="626" t="s">
        <v>1643</v>
      </c>
      <c r="I117" s="636" t="s">
        <v>1823</v>
      </c>
      <c r="J117" s="538"/>
      <c r="K117" s="539"/>
      <c r="L117" s="538"/>
      <c r="M117" s="536"/>
      <c r="N117" s="539"/>
      <c r="O117" s="536"/>
      <c r="P117" s="536"/>
    </row>
    <row r="118" ht="15.75" customHeight="1">
      <c r="A118" s="536"/>
      <c r="B118" s="536"/>
      <c r="C118" s="536"/>
      <c r="D118" s="536"/>
      <c r="E118" s="82" t="s">
        <v>119</v>
      </c>
      <c r="F118" s="82" t="s">
        <v>120</v>
      </c>
      <c r="G118" s="160" t="s">
        <v>124</v>
      </c>
      <c r="H118" s="630" t="s">
        <v>1645</v>
      </c>
      <c r="I118" s="636" t="s">
        <v>1824</v>
      </c>
      <c r="J118" s="538"/>
      <c r="K118" s="539"/>
      <c r="L118" s="538"/>
      <c r="M118" s="536"/>
      <c r="N118" s="539"/>
      <c r="O118" s="536"/>
      <c r="P118" s="536"/>
    </row>
    <row r="119" ht="15.75" customHeight="1">
      <c r="A119" s="536"/>
      <c r="B119" s="536"/>
      <c r="C119" s="536"/>
      <c r="D119" s="536"/>
      <c r="E119" s="82" t="s">
        <v>119</v>
      </c>
      <c r="F119" s="82" t="s">
        <v>120</v>
      </c>
      <c r="G119" s="160" t="s">
        <v>124</v>
      </c>
      <c r="H119" s="626" t="s">
        <v>1638</v>
      </c>
      <c r="I119" s="636" t="s">
        <v>1825</v>
      </c>
      <c r="J119" s="538"/>
      <c r="K119" s="539"/>
      <c r="L119" s="538"/>
      <c r="M119" s="536"/>
      <c r="N119" s="539"/>
      <c r="O119" s="536"/>
      <c r="P119" s="536"/>
    </row>
    <row r="120" ht="15.75" customHeight="1">
      <c r="A120" s="536"/>
      <c r="B120" s="536"/>
      <c r="C120" s="210"/>
      <c r="D120" s="210"/>
      <c r="E120" s="82" t="s">
        <v>119</v>
      </c>
      <c r="F120" s="82" t="s">
        <v>120</v>
      </c>
      <c r="G120" s="160" t="s">
        <v>124</v>
      </c>
      <c r="H120" s="626" t="s">
        <v>1648</v>
      </c>
      <c r="I120" s="636" t="s">
        <v>1826</v>
      </c>
      <c r="J120" s="213"/>
      <c r="K120" s="440"/>
      <c r="L120" s="213"/>
      <c r="M120" s="210"/>
      <c r="N120" s="440"/>
      <c r="O120" s="210"/>
      <c r="P120" s="210"/>
    </row>
    <row r="121" ht="15.75" customHeight="1">
      <c r="A121" s="536"/>
      <c r="B121" s="536"/>
      <c r="C121" s="100">
        <v>5.0</v>
      </c>
      <c r="D121" s="58" t="s">
        <v>178</v>
      </c>
      <c r="E121" s="82" t="s">
        <v>119</v>
      </c>
      <c r="F121" s="82" t="s">
        <v>120</v>
      </c>
      <c r="G121" s="160" t="s">
        <v>124</v>
      </c>
      <c r="H121" s="626" t="s">
        <v>1636</v>
      </c>
      <c r="I121" s="636" t="s">
        <v>1827</v>
      </c>
      <c r="J121" s="631" t="s">
        <v>1638</v>
      </c>
      <c r="K121" s="632" t="s">
        <v>2078</v>
      </c>
      <c r="L121" s="633">
        <v>1.0</v>
      </c>
      <c r="M121" s="100" t="s">
        <v>301</v>
      </c>
      <c r="N121" s="634">
        <v>1.0</v>
      </c>
      <c r="O121" s="100" t="s">
        <v>1091</v>
      </c>
      <c r="P121" s="646" t="s">
        <v>2079</v>
      </c>
    </row>
    <row r="122" ht="15.75" customHeight="1">
      <c r="A122" s="536"/>
      <c r="B122" s="536"/>
      <c r="C122" s="536"/>
      <c r="D122" s="536"/>
      <c r="E122" s="82" t="s">
        <v>119</v>
      </c>
      <c r="F122" s="82" t="s">
        <v>120</v>
      </c>
      <c r="G122" s="160" t="s">
        <v>124</v>
      </c>
      <c r="H122" s="626" t="s">
        <v>1643</v>
      </c>
      <c r="I122" s="636" t="s">
        <v>1830</v>
      </c>
      <c r="J122" s="538"/>
      <c r="K122" s="539"/>
      <c r="L122" s="538"/>
      <c r="M122" s="536"/>
      <c r="N122" s="539"/>
      <c r="O122" s="536"/>
      <c r="P122" s="536"/>
    </row>
    <row r="123" ht="15.75" customHeight="1">
      <c r="A123" s="536"/>
      <c r="B123" s="536"/>
      <c r="C123" s="536"/>
      <c r="D123" s="536"/>
      <c r="E123" s="82" t="s">
        <v>119</v>
      </c>
      <c r="F123" s="82" t="s">
        <v>120</v>
      </c>
      <c r="G123" s="160" t="s">
        <v>124</v>
      </c>
      <c r="H123" s="626" t="s">
        <v>1645</v>
      </c>
      <c r="I123" s="636" t="s">
        <v>1831</v>
      </c>
      <c r="J123" s="538"/>
      <c r="K123" s="539"/>
      <c r="L123" s="538"/>
      <c r="M123" s="536"/>
      <c r="N123" s="539"/>
      <c r="O123" s="536"/>
      <c r="P123" s="536"/>
    </row>
    <row r="124" ht="114.0" customHeight="1">
      <c r="A124" s="536"/>
      <c r="B124" s="536"/>
      <c r="C124" s="536"/>
      <c r="D124" s="536"/>
      <c r="E124" s="82" t="s">
        <v>119</v>
      </c>
      <c r="F124" s="82" t="s">
        <v>120</v>
      </c>
      <c r="G124" s="160" t="s">
        <v>124</v>
      </c>
      <c r="H124" s="626" t="s">
        <v>1638</v>
      </c>
      <c r="I124" s="636" t="s">
        <v>1832</v>
      </c>
      <c r="J124" s="538"/>
      <c r="K124" s="539"/>
      <c r="L124" s="538"/>
      <c r="M124" s="536"/>
      <c r="N124" s="539"/>
      <c r="O124" s="536"/>
      <c r="P124" s="536"/>
    </row>
    <row r="125" ht="64.5" customHeight="1">
      <c r="A125" s="210"/>
      <c r="B125" s="210"/>
      <c r="C125" s="210"/>
      <c r="D125" s="210"/>
      <c r="E125" s="82" t="s">
        <v>119</v>
      </c>
      <c r="F125" s="82" t="s">
        <v>120</v>
      </c>
      <c r="G125" s="160" t="s">
        <v>124</v>
      </c>
      <c r="H125" s="630" t="s">
        <v>1648</v>
      </c>
      <c r="I125" s="636" t="s">
        <v>1833</v>
      </c>
      <c r="J125" s="213"/>
      <c r="K125" s="440"/>
      <c r="L125" s="213"/>
      <c r="M125" s="210"/>
      <c r="N125" s="440"/>
      <c r="O125" s="210"/>
      <c r="P125" s="210"/>
    </row>
    <row r="126" ht="15.75" customHeight="1">
      <c r="A126" s="641" t="s">
        <v>180</v>
      </c>
      <c r="B126" s="143" t="s">
        <v>2080</v>
      </c>
      <c r="C126" s="62"/>
      <c r="D126" s="62"/>
      <c r="E126" s="62"/>
      <c r="F126" s="62"/>
      <c r="G126" s="62"/>
      <c r="H126" s="62"/>
      <c r="I126" s="63"/>
      <c r="J126" s="641"/>
      <c r="K126" s="641"/>
      <c r="L126" s="613">
        <f>L127</f>
        <v>3</v>
      </c>
      <c r="M126" s="614"/>
      <c r="N126" s="615"/>
      <c r="O126" s="144"/>
      <c r="P126" s="54"/>
    </row>
    <row r="127">
      <c r="A127" s="100"/>
      <c r="B127" s="58"/>
      <c r="C127" s="100">
        <v>1.0</v>
      </c>
      <c r="D127" s="58" t="s">
        <v>2081</v>
      </c>
      <c r="E127" s="82" t="s">
        <v>119</v>
      </c>
      <c r="F127" s="150" t="s">
        <v>124</v>
      </c>
      <c r="G127" s="150" t="s">
        <v>124</v>
      </c>
      <c r="H127" s="168" t="s">
        <v>1636</v>
      </c>
      <c r="I127" s="620" t="s">
        <v>1835</v>
      </c>
      <c r="J127" s="621" t="s">
        <v>1638</v>
      </c>
      <c r="K127" s="628" t="s">
        <v>2082</v>
      </c>
      <c r="L127" s="623">
        <v>3.0</v>
      </c>
      <c r="M127" s="100" t="s">
        <v>301</v>
      </c>
      <c r="N127" s="647">
        <v>3.0</v>
      </c>
      <c r="O127" s="100" t="s">
        <v>1091</v>
      </c>
      <c r="P127" s="648" t="s">
        <v>2079</v>
      </c>
    </row>
    <row r="128" ht="30.75" customHeight="1">
      <c r="A128" s="536"/>
      <c r="B128" s="536"/>
      <c r="C128" s="536"/>
      <c r="D128" s="536"/>
      <c r="E128" s="82" t="s">
        <v>119</v>
      </c>
      <c r="F128" s="150" t="s">
        <v>124</v>
      </c>
      <c r="G128" s="150" t="s">
        <v>124</v>
      </c>
      <c r="H128" s="626" t="s">
        <v>1643</v>
      </c>
      <c r="I128" s="627" t="s">
        <v>1839</v>
      </c>
      <c r="J128" s="538"/>
      <c r="K128" s="539"/>
      <c r="L128" s="538"/>
      <c r="M128" s="536"/>
      <c r="N128" s="539"/>
      <c r="O128" s="536"/>
      <c r="P128" s="536"/>
    </row>
    <row r="129">
      <c r="A129" s="536"/>
      <c r="B129" s="536"/>
      <c r="C129" s="536"/>
      <c r="D129" s="536"/>
      <c r="E129" s="82" t="s">
        <v>119</v>
      </c>
      <c r="F129" s="150" t="s">
        <v>124</v>
      </c>
      <c r="G129" s="150" t="s">
        <v>124</v>
      </c>
      <c r="H129" s="630" t="s">
        <v>1645</v>
      </c>
      <c r="I129" s="627" t="s">
        <v>1840</v>
      </c>
      <c r="J129" s="538"/>
      <c r="K129" s="539"/>
      <c r="L129" s="538"/>
      <c r="M129" s="536"/>
      <c r="N129" s="539"/>
      <c r="O129" s="536"/>
      <c r="P129" s="536"/>
    </row>
    <row r="130">
      <c r="A130" s="536"/>
      <c r="B130" s="536"/>
      <c r="C130" s="536"/>
      <c r="D130" s="536"/>
      <c r="E130" s="82" t="s">
        <v>119</v>
      </c>
      <c r="F130" s="150" t="s">
        <v>124</v>
      </c>
      <c r="G130" s="150" t="s">
        <v>124</v>
      </c>
      <c r="H130" s="626" t="s">
        <v>1638</v>
      </c>
      <c r="I130" s="627" t="s">
        <v>1841</v>
      </c>
      <c r="J130" s="538"/>
      <c r="K130" s="539"/>
      <c r="L130" s="538"/>
      <c r="M130" s="536"/>
      <c r="N130" s="539"/>
      <c r="O130" s="536"/>
      <c r="P130" s="536"/>
    </row>
    <row r="131" ht="213.0" customHeight="1">
      <c r="A131" s="210"/>
      <c r="B131" s="210"/>
      <c r="C131" s="210"/>
      <c r="D131" s="210"/>
      <c r="E131" s="82" t="s">
        <v>119</v>
      </c>
      <c r="F131" s="150" t="s">
        <v>124</v>
      </c>
      <c r="G131" s="150" t="s">
        <v>124</v>
      </c>
      <c r="H131" s="626" t="s">
        <v>1648</v>
      </c>
      <c r="I131" s="627" t="s">
        <v>1842</v>
      </c>
      <c r="J131" s="213"/>
      <c r="K131" s="440"/>
      <c r="L131" s="213"/>
      <c r="M131" s="210"/>
      <c r="N131" s="440"/>
      <c r="O131" s="210"/>
      <c r="P131" s="210"/>
    </row>
    <row r="132" ht="15.75" customHeight="1">
      <c r="A132" s="144" t="s">
        <v>183</v>
      </c>
      <c r="B132" s="143" t="s">
        <v>184</v>
      </c>
      <c r="C132" s="62"/>
      <c r="D132" s="62"/>
      <c r="E132" s="62"/>
      <c r="F132" s="62"/>
      <c r="G132" s="62"/>
      <c r="H132" s="62"/>
      <c r="I132" s="63"/>
      <c r="J132" s="144"/>
      <c r="K132" s="144"/>
      <c r="L132" s="613">
        <f>L133</f>
        <v>5</v>
      </c>
      <c r="M132" s="614"/>
      <c r="N132" s="615"/>
      <c r="O132" s="144"/>
      <c r="P132" s="54"/>
    </row>
    <row r="133">
      <c r="A133" s="100"/>
      <c r="B133" s="58"/>
      <c r="C133" s="100">
        <v>1.0</v>
      </c>
      <c r="D133" s="58" t="s">
        <v>2083</v>
      </c>
      <c r="E133" s="82" t="s">
        <v>119</v>
      </c>
      <c r="F133" s="150" t="s">
        <v>124</v>
      </c>
      <c r="G133" s="150" t="s">
        <v>124</v>
      </c>
      <c r="H133" s="619" t="s">
        <v>1636</v>
      </c>
      <c r="I133" s="620" t="s">
        <v>1843</v>
      </c>
      <c r="J133" s="621" t="s">
        <v>1638</v>
      </c>
      <c r="K133" s="628" t="s">
        <v>2084</v>
      </c>
      <c r="L133" s="623">
        <v>5.0</v>
      </c>
      <c r="M133" s="100" t="s">
        <v>301</v>
      </c>
      <c r="N133" s="624">
        <v>5.0</v>
      </c>
      <c r="O133" s="100" t="s">
        <v>1091</v>
      </c>
      <c r="P133" s="625" t="s">
        <v>2085</v>
      </c>
    </row>
    <row r="134">
      <c r="A134" s="536"/>
      <c r="B134" s="536"/>
      <c r="C134" s="536"/>
      <c r="D134" s="536"/>
      <c r="E134" s="82" t="s">
        <v>119</v>
      </c>
      <c r="F134" s="150" t="s">
        <v>124</v>
      </c>
      <c r="G134" s="150" t="s">
        <v>124</v>
      </c>
      <c r="H134" s="626" t="s">
        <v>1643</v>
      </c>
      <c r="I134" s="627" t="s">
        <v>1848</v>
      </c>
      <c r="J134" s="538"/>
      <c r="K134" s="539"/>
      <c r="L134" s="538"/>
      <c r="M134" s="536"/>
      <c r="N134" s="539"/>
      <c r="O134" s="536"/>
      <c r="P134" s="536"/>
    </row>
    <row r="135">
      <c r="A135" s="536"/>
      <c r="B135" s="536"/>
      <c r="C135" s="536"/>
      <c r="D135" s="536"/>
      <c r="E135" s="82" t="s">
        <v>119</v>
      </c>
      <c r="F135" s="150" t="s">
        <v>124</v>
      </c>
      <c r="G135" s="150" t="s">
        <v>124</v>
      </c>
      <c r="H135" s="626" t="s">
        <v>1645</v>
      </c>
      <c r="I135" s="627" t="s">
        <v>1849</v>
      </c>
      <c r="J135" s="538"/>
      <c r="K135" s="539"/>
      <c r="L135" s="538"/>
      <c r="M135" s="536"/>
      <c r="N135" s="539"/>
      <c r="O135" s="536"/>
      <c r="P135" s="536"/>
    </row>
    <row r="136" ht="30.75" customHeight="1">
      <c r="A136" s="536"/>
      <c r="B136" s="536"/>
      <c r="C136" s="536"/>
      <c r="D136" s="536"/>
      <c r="E136" s="82" t="s">
        <v>119</v>
      </c>
      <c r="F136" s="150" t="s">
        <v>124</v>
      </c>
      <c r="G136" s="150" t="s">
        <v>124</v>
      </c>
      <c r="H136" s="626" t="s">
        <v>1638</v>
      </c>
      <c r="I136" s="627" t="s">
        <v>1850</v>
      </c>
      <c r="J136" s="538"/>
      <c r="K136" s="539"/>
      <c r="L136" s="538"/>
      <c r="M136" s="536"/>
      <c r="N136" s="539"/>
      <c r="O136" s="536"/>
      <c r="P136" s="536"/>
    </row>
    <row r="137" ht="105.0" customHeight="1">
      <c r="A137" s="210"/>
      <c r="B137" s="210"/>
      <c r="C137" s="210"/>
      <c r="D137" s="210"/>
      <c r="E137" s="82" t="s">
        <v>119</v>
      </c>
      <c r="F137" s="150" t="s">
        <v>124</v>
      </c>
      <c r="G137" s="150" t="s">
        <v>124</v>
      </c>
      <c r="H137" s="626" t="s">
        <v>1648</v>
      </c>
      <c r="I137" s="627" t="s">
        <v>1851</v>
      </c>
      <c r="J137" s="213"/>
      <c r="K137" s="440"/>
      <c r="L137" s="213"/>
      <c r="M137" s="210"/>
      <c r="N137" s="440"/>
      <c r="O137" s="210"/>
      <c r="P137" s="210"/>
    </row>
    <row r="138" ht="15.75" customHeight="1">
      <c r="A138" s="144" t="s">
        <v>186</v>
      </c>
      <c r="B138" s="143" t="s">
        <v>187</v>
      </c>
      <c r="C138" s="62"/>
      <c r="D138" s="62"/>
      <c r="E138" s="62"/>
      <c r="F138" s="62"/>
      <c r="G138" s="62"/>
      <c r="H138" s="62"/>
      <c r="I138" s="63"/>
      <c r="J138" s="144"/>
      <c r="K138" s="144"/>
      <c r="L138" s="613">
        <f>L139</f>
        <v>4</v>
      </c>
      <c r="M138" s="614"/>
      <c r="N138" s="615"/>
      <c r="O138" s="144"/>
      <c r="P138" s="54"/>
    </row>
    <row r="139">
      <c r="A139" s="100"/>
      <c r="B139" s="58"/>
      <c r="C139" s="100">
        <v>1.0</v>
      </c>
      <c r="D139" s="58" t="s">
        <v>2086</v>
      </c>
      <c r="E139" s="82" t="s">
        <v>119</v>
      </c>
      <c r="F139" s="150" t="s">
        <v>124</v>
      </c>
      <c r="G139" s="150" t="s">
        <v>124</v>
      </c>
      <c r="H139" s="168" t="s">
        <v>1636</v>
      </c>
      <c r="I139" s="620" t="s">
        <v>1853</v>
      </c>
      <c r="J139" s="621" t="s">
        <v>1638</v>
      </c>
      <c r="K139" s="628" t="s">
        <v>2087</v>
      </c>
      <c r="L139" s="623">
        <v>4.0</v>
      </c>
      <c r="M139" s="100" t="s">
        <v>301</v>
      </c>
      <c r="N139" s="624">
        <v>3.0</v>
      </c>
      <c r="O139" s="100" t="s">
        <v>2088</v>
      </c>
      <c r="P139" s="625" t="s">
        <v>2089</v>
      </c>
    </row>
    <row r="140">
      <c r="A140" s="536"/>
      <c r="B140" s="536"/>
      <c r="C140" s="536"/>
      <c r="D140" s="536"/>
      <c r="E140" s="82" t="s">
        <v>119</v>
      </c>
      <c r="F140" s="150" t="s">
        <v>124</v>
      </c>
      <c r="G140" s="150" t="s">
        <v>124</v>
      </c>
      <c r="H140" s="626" t="s">
        <v>1643</v>
      </c>
      <c r="I140" s="627" t="s">
        <v>1858</v>
      </c>
      <c r="J140" s="538"/>
      <c r="K140" s="539"/>
      <c r="L140" s="538"/>
      <c r="M140" s="536"/>
      <c r="N140" s="539"/>
      <c r="O140" s="536"/>
      <c r="P140" s="536"/>
    </row>
    <row r="141" ht="77.25" customHeight="1">
      <c r="A141" s="536"/>
      <c r="B141" s="536"/>
      <c r="C141" s="536"/>
      <c r="D141" s="536"/>
      <c r="E141" s="82" t="s">
        <v>119</v>
      </c>
      <c r="F141" s="150" t="s">
        <v>124</v>
      </c>
      <c r="G141" s="150" t="s">
        <v>124</v>
      </c>
      <c r="H141" s="630" t="s">
        <v>1645</v>
      </c>
      <c r="I141" s="596" t="s">
        <v>2090</v>
      </c>
      <c r="J141" s="538"/>
      <c r="K141" s="539"/>
      <c r="L141" s="538"/>
      <c r="M141" s="536"/>
      <c r="N141" s="539"/>
      <c r="O141" s="536"/>
      <c r="P141" s="536"/>
    </row>
    <row r="142">
      <c r="A142" s="536"/>
      <c r="B142" s="536"/>
      <c r="C142" s="536"/>
      <c r="D142" s="536"/>
      <c r="E142" s="82" t="s">
        <v>119</v>
      </c>
      <c r="F142" s="150" t="s">
        <v>124</v>
      </c>
      <c r="G142" s="150" t="s">
        <v>124</v>
      </c>
      <c r="H142" s="626" t="s">
        <v>1638</v>
      </c>
      <c r="I142" s="627" t="s">
        <v>1860</v>
      </c>
      <c r="J142" s="538"/>
      <c r="K142" s="539"/>
      <c r="L142" s="538"/>
      <c r="M142" s="536"/>
      <c r="N142" s="539"/>
      <c r="O142" s="536"/>
      <c r="P142" s="536"/>
    </row>
    <row r="143" ht="141.0" customHeight="1">
      <c r="A143" s="210"/>
      <c r="B143" s="210"/>
      <c r="C143" s="210"/>
      <c r="D143" s="210"/>
      <c r="E143" s="82" t="s">
        <v>119</v>
      </c>
      <c r="F143" s="150" t="s">
        <v>124</v>
      </c>
      <c r="G143" s="150" t="s">
        <v>124</v>
      </c>
      <c r="H143" s="626" t="s">
        <v>1648</v>
      </c>
      <c r="I143" s="596" t="s">
        <v>2091</v>
      </c>
      <c r="J143" s="213"/>
      <c r="K143" s="440"/>
      <c r="L143" s="213"/>
      <c r="M143" s="210"/>
      <c r="N143" s="440"/>
      <c r="O143" s="210"/>
      <c r="P143" s="210"/>
    </row>
    <row r="144" ht="15.75" customHeight="1">
      <c r="A144" s="144" t="s">
        <v>189</v>
      </c>
      <c r="B144" s="143" t="s">
        <v>190</v>
      </c>
      <c r="C144" s="62"/>
      <c r="D144" s="62"/>
      <c r="E144" s="62"/>
      <c r="F144" s="62"/>
      <c r="G144" s="62"/>
      <c r="H144" s="62"/>
      <c r="I144" s="63"/>
      <c r="J144" s="144"/>
      <c r="K144" s="144"/>
      <c r="L144" s="613">
        <f>L145</f>
        <v>5</v>
      </c>
      <c r="M144" s="614"/>
      <c r="N144" s="615"/>
      <c r="O144" s="144"/>
      <c r="P144" s="54"/>
    </row>
    <row r="145">
      <c r="A145" s="100"/>
      <c r="B145" s="58"/>
      <c r="C145" s="100">
        <v>1.0</v>
      </c>
      <c r="D145" s="58" t="s">
        <v>2092</v>
      </c>
      <c r="E145" s="82" t="s">
        <v>119</v>
      </c>
      <c r="F145" s="150" t="s">
        <v>124</v>
      </c>
      <c r="G145" s="150" t="s">
        <v>124</v>
      </c>
      <c r="H145" s="168" t="s">
        <v>1636</v>
      </c>
      <c r="I145" s="620" t="s">
        <v>1863</v>
      </c>
      <c r="J145" s="621" t="s">
        <v>1638</v>
      </c>
      <c r="K145" s="649" t="s">
        <v>2093</v>
      </c>
      <c r="L145" s="623">
        <v>5.0</v>
      </c>
      <c r="M145" s="100" t="s">
        <v>301</v>
      </c>
      <c r="N145" s="624">
        <v>4.0</v>
      </c>
      <c r="O145" s="100" t="s">
        <v>2094</v>
      </c>
      <c r="P145" s="625" t="s">
        <v>2095</v>
      </c>
    </row>
    <row r="146" ht="30.75" customHeight="1">
      <c r="A146" s="536"/>
      <c r="B146" s="536"/>
      <c r="C146" s="536"/>
      <c r="D146" s="536"/>
      <c r="E146" s="82" t="s">
        <v>119</v>
      </c>
      <c r="F146" s="150" t="s">
        <v>124</v>
      </c>
      <c r="G146" s="150" t="s">
        <v>124</v>
      </c>
      <c r="H146" s="630" t="s">
        <v>1643</v>
      </c>
      <c r="I146" s="627" t="s">
        <v>1868</v>
      </c>
      <c r="J146" s="538"/>
      <c r="K146" s="538"/>
      <c r="L146" s="538"/>
      <c r="M146" s="536"/>
      <c r="N146" s="539"/>
      <c r="O146" s="536"/>
      <c r="P146" s="536"/>
    </row>
    <row r="147" ht="30.75" customHeight="1">
      <c r="A147" s="536"/>
      <c r="B147" s="536"/>
      <c r="C147" s="536"/>
      <c r="D147" s="536"/>
      <c r="E147" s="82" t="s">
        <v>119</v>
      </c>
      <c r="F147" s="150" t="s">
        <v>124</v>
      </c>
      <c r="G147" s="150" t="s">
        <v>124</v>
      </c>
      <c r="H147" s="626" t="s">
        <v>1645</v>
      </c>
      <c r="I147" s="596" t="s">
        <v>2096</v>
      </c>
      <c r="J147" s="538"/>
      <c r="K147" s="538"/>
      <c r="L147" s="538"/>
      <c r="M147" s="536"/>
      <c r="N147" s="539"/>
      <c r="O147" s="536"/>
      <c r="P147" s="536"/>
    </row>
    <row r="148">
      <c r="A148" s="536"/>
      <c r="B148" s="536"/>
      <c r="C148" s="536"/>
      <c r="D148" s="536"/>
      <c r="E148" s="82" t="s">
        <v>119</v>
      </c>
      <c r="F148" s="150" t="s">
        <v>124</v>
      </c>
      <c r="G148" s="150" t="s">
        <v>124</v>
      </c>
      <c r="H148" s="626" t="s">
        <v>1638</v>
      </c>
      <c r="I148" s="627" t="s">
        <v>1870</v>
      </c>
      <c r="J148" s="538"/>
      <c r="K148" s="538"/>
      <c r="L148" s="538"/>
      <c r="M148" s="536"/>
      <c r="N148" s="539"/>
      <c r="O148" s="536"/>
      <c r="P148" s="536"/>
    </row>
    <row r="149" ht="409.5" customHeight="1">
      <c r="A149" s="210"/>
      <c r="B149" s="210"/>
      <c r="C149" s="210"/>
      <c r="D149" s="210"/>
      <c r="E149" s="82" t="s">
        <v>119</v>
      </c>
      <c r="F149" s="150" t="s">
        <v>124</v>
      </c>
      <c r="G149" s="150" t="s">
        <v>124</v>
      </c>
      <c r="H149" s="626" t="s">
        <v>1648</v>
      </c>
      <c r="I149" s="627" t="s">
        <v>1871</v>
      </c>
      <c r="J149" s="213"/>
      <c r="K149" s="213"/>
      <c r="L149" s="213"/>
      <c r="M149" s="210"/>
      <c r="N149" s="440"/>
      <c r="O149" s="210"/>
      <c r="P149" s="210"/>
    </row>
    <row r="150" ht="15.75" customHeight="1">
      <c r="A150" s="144" t="s">
        <v>192</v>
      </c>
      <c r="B150" s="143" t="s">
        <v>193</v>
      </c>
      <c r="C150" s="62"/>
      <c r="D150" s="62"/>
      <c r="E150" s="62"/>
      <c r="F150" s="62"/>
      <c r="G150" s="62"/>
      <c r="H150" s="62"/>
      <c r="I150" s="63"/>
      <c r="J150" s="144"/>
      <c r="K150" s="144"/>
      <c r="L150" s="613">
        <f>L151</f>
        <v>3</v>
      </c>
      <c r="M150" s="614"/>
      <c r="N150" s="615"/>
      <c r="O150" s="144"/>
      <c r="P150" s="54"/>
    </row>
    <row r="151">
      <c r="A151" s="568"/>
      <c r="B151" s="591"/>
      <c r="C151" s="568">
        <v>1.0</v>
      </c>
      <c r="D151" s="591" t="s">
        <v>2097</v>
      </c>
      <c r="E151" s="82" t="s">
        <v>119</v>
      </c>
      <c r="F151" s="150" t="s">
        <v>124</v>
      </c>
      <c r="G151" s="150" t="s">
        <v>124</v>
      </c>
      <c r="H151" s="168" t="s">
        <v>1636</v>
      </c>
      <c r="I151" s="643" t="s">
        <v>1873</v>
      </c>
      <c r="J151" s="621" t="s">
        <v>1638</v>
      </c>
      <c r="K151" s="622" t="s">
        <v>2098</v>
      </c>
      <c r="L151" s="623">
        <v>3.0</v>
      </c>
      <c r="M151" s="100" t="s">
        <v>301</v>
      </c>
      <c r="N151" s="624">
        <v>3.0</v>
      </c>
      <c r="O151" s="100" t="s">
        <v>1091</v>
      </c>
      <c r="P151" s="640" t="s">
        <v>2099</v>
      </c>
    </row>
    <row r="152" ht="30.75" customHeight="1">
      <c r="A152" s="536"/>
      <c r="B152" s="536"/>
      <c r="C152" s="536"/>
      <c r="D152" s="536"/>
      <c r="E152" s="82" t="s">
        <v>119</v>
      </c>
      <c r="F152" s="150" t="s">
        <v>124</v>
      </c>
      <c r="G152" s="150" t="s">
        <v>124</v>
      </c>
      <c r="H152" s="626" t="s">
        <v>1643</v>
      </c>
      <c r="I152" s="636" t="s">
        <v>1878</v>
      </c>
      <c r="J152" s="538"/>
      <c r="K152" s="539"/>
      <c r="L152" s="538"/>
      <c r="M152" s="536"/>
      <c r="N152" s="539"/>
      <c r="O152" s="536"/>
      <c r="P152" s="536"/>
    </row>
    <row r="153">
      <c r="A153" s="536"/>
      <c r="B153" s="536"/>
      <c r="C153" s="536"/>
      <c r="D153" s="536"/>
      <c r="E153" s="82" t="s">
        <v>119</v>
      </c>
      <c r="F153" s="150" t="s">
        <v>124</v>
      </c>
      <c r="G153" s="150" t="s">
        <v>124</v>
      </c>
      <c r="H153" s="630" t="s">
        <v>1645</v>
      </c>
      <c r="I153" s="636" t="s">
        <v>1879</v>
      </c>
      <c r="J153" s="538"/>
      <c r="K153" s="539"/>
      <c r="L153" s="538"/>
      <c r="M153" s="536"/>
      <c r="N153" s="539"/>
      <c r="O153" s="536"/>
      <c r="P153" s="536"/>
    </row>
    <row r="154">
      <c r="A154" s="536"/>
      <c r="B154" s="536"/>
      <c r="C154" s="536"/>
      <c r="D154" s="536"/>
      <c r="E154" s="82" t="s">
        <v>119</v>
      </c>
      <c r="F154" s="150" t="s">
        <v>124</v>
      </c>
      <c r="G154" s="150" t="s">
        <v>124</v>
      </c>
      <c r="H154" s="626" t="s">
        <v>1638</v>
      </c>
      <c r="I154" s="636" t="s">
        <v>1880</v>
      </c>
      <c r="J154" s="538"/>
      <c r="K154" s="539"/>
      <c r="L154" s="538"/>
      <c r="M154" s="536"/>
      <c r="N154" s="539"/>
      <c r="O154" s="536"/>
      <c r="P154" s="536"/>
    </row>
    <row r="155" ht="30.75" customHeight="1">
      <c r="A155" s="210"/>
      <c r="B155" s="210"/>
      <c r="C155" s="210"/>
      <c r="D155" s="210"/>
      <c r="E155" s="82" t="s">
        <v>119</v>
      </c>
      <c r="F155" s="150" t="s">
        <v>124</v>
      </c>
      <c r="G155" s="150" t="s">
        <v>124</v>
      </c>
      <c r="H155" s="626" t="s">
        <v>1648</v>
      </c>
      <c r="I155" s="636" t="s">
        <v>1881</v>
      </c>
      <c r="J155" s="213"/>
      <c r="K155" s="440"/>
      <c r="L155" s="213"/>
      <c r="M155" s="210"/>
      <c r="N155" s="440"/>
      <c r="O155" s="210"/>
      <c r="P155" s="210"/>
    </row>
    <row r="156" ht="15.75" customHeight="1">
      <c r="A156" s="144" t="s">
        <v>195</v>
      </c>
      <c r="B156" s="143" t="s">
        <v>196</v>
      </c>
      <c r="C156" s="62"/>
      <c r="D156" s="62"/>
      <c r="E156" s="62"/>
      <c r="F156" s="62"/>
      <c r="G156" s="62"/>
      <c r="H156" s="62"/>
      <c r="I156" s="63"/>
      <c r="J156" s="144"/>
      <c r="K156" s="144"/>
      <c r="L156" s="613">
        <f>L157</f>
        <v>4</v>
      </c>
      <c r="M156" s="614"/>
      <c r="N156" s="615"/>
      <c r="O156" s="144"/>
      <c r="P156" s="54"/>
    </row>
    <row r="157">
      <c r="A157" s="100"/>
      <c r="B157" s="58"/>
      <c r="C157" s="100">
        <v>1.0</v>
      </c>
      <c r="D157" s="58" t="s">
        <v>2100</v>
      </c>
      <c r="E157" s="82" t="s">
        <v>119</v>
      </c>
      <c r="F157" s="150" t="s">
        <v>124</v>
      </c>
      <c r="G157" s="150" t="s">
        <v>124</v>
      </c>
      <c r="H157" s="168" t="s">
        <v>1636</v>
      </c>
      <c r="I157" s="620" t="s">
        <v>1882</v>
      </c>
      <c r="J157" s="621" t="s">
        <v>1638</v>
      </c>
      <c r="K157" s="628" t="s">
        <v>2101</v>
      </c>
      <c r="L157" s="623">
        <v>4.0</v>
      </c>
      <c r="M157" s="100" t="s">
        <v>301</v>
      </c>
      <c r="N157" s="624">
        <v>3.0</v>
      </c>
      <c r="O157" s="100" t="s">
        <v>2102</v>
      </c>
      <c r="P157" s="640" t="s">
        <v>2103</v>
      </c>
    </row>
    <row r="158">
      <c r="A158" s="536"/>
      <c r="B158" s="536"/>
      <c r="C158" s="536"/>
      <c r="D158" s="536"/>
      <c r="E158" s="82" t="s">
        <v>119</v>
      </c>
      <c r="F158" s="150" t="s">
        <v>124</v>
      </c>
      <c r="G158" s="150" t="s">
        <v>124</v>
      </c>
      <c r="H158" s="626" t="s">
        <v>1643</v>
      </c>
      <c r="I158" s="627" t="s">
        <v>1886</v>
      </c>
      <c r="J158" s="538"/>
      <c r="K158" s="539"/>
      <c r="L158" s="538"/>
      <c r="M158" s="536"/>
      <c r="N158" s="539"/>
      <c r="O158" s="536"/>
      <c r="P158" s="536"/>
    </row>
    <row r="159" ht="30.75" customHeight="1">
      <c r="A159" s="536"/>
      <c r="B159" s="536"/>
      <c r="C159" s="536"/>
      <c r="D159" s="536"/>
      <c r="E159" s="82" t="s">
        <v>119</v>
      </c>
      <c r="F159" s="150" t="s">
        <v>124</v>
      </c>
      <c r="G159" s="150" t="s">
        <v>124</v>
      </c>
      <c r="H159" s="630" t="s">
        <v>1645</v>
      </c>
      <c r="I159" s="627" t="s">
        <v>1887</v>
      </c>
      <c r="J159" s="538"/>
      <c r="K159" s="539"/>
      <c r="L159" s="538"/>
      <c r="M159" s="536"/>
      <c r="N159" s="539"/>
      <c r="O159" s="536"/>
      <c r="P159" s="536"/>
    </row>
    <row r="160">
      <c r="A160" s="536"/>
      <c r="B160" s="536"/>
      <c r="C160" s="536"/>
      <c r="D160" s="536"/>
      <c r="E160" s="82" t="s">
        <v>119</v>
      </c>
      <c r="F160" s="150" t="s">
        <v>124</v>
      </c>
      <c r="G160" s="150" t="s">
        <v>124</v>
      </c>
      <c r="H160" s="626" t="s">
        <v>1638</v>
      </c>
      <c r="I160" s="627" t="s">
        <v>1888</v>
      </c>
      <c r="J160" s="538"/>
      <c r="K160" s="539"/>
      <c r="L160" s="538"/>
      <c r="M160" s="536"/>
      <c r="N160" s="539"/>
      <c r="O160" s="536"/>
      <c r="P160" s="536"/>
    </row>
    <row r="161" ht="243.0" customHeight="1">
      <c r="A161" s="210"/>
      <c r="B161" s="210"/>
      <c r="C161" s="210"/>
      <c r="D161" s="210"/>
      <c r="E161" s="82" t="s">
        <v>119</v>
      </c>
      <c r="F161" s="150" t="s">
        <v>124</v>
      </c>
      <c r="G161" s="150" t="s">
        <v>124</v>
      </c>
      <c r="H161" s="626" t="s">
        <v>1648</v>
      </c>
      <c r="I161" s="627" t="s">
        <v>1889</v>
      </c>
      <c r="J161" s="213"/>
      <c r="K161" s="440"/>
      <c r="L161" s="213"/>
      <c r="M161" s="210"/>
      <c r="N161" s="440"/>
      <c r="O161" s="210"/>
      <c r="P161" s="210"/>
    </row>
    <row r="162" ht="15.75" customHeight="1">
      <c r="A162" s="144" t="s">
        <v>198</v>
      </c>
      <c r="B162" s="143" t="s">
        <v>199</v>
      </c>
      <c r="C162" s="62"/>
      <c r="D162" s="62"/>
      <c r="E162" s="62"/>
      <c r="F162" s="62"/>
      <c r="G162" s="62"/>
      <c r="H162" s="62"/>
      <c r="I162" s="63"/>
      <c r="J162" s="144"/>
      <c r="K162" s="144"/>
      <c r="L162" s="613">
        <f>L163</f>
        <v>4</v>
      </c>
      <c r="M162" s="614"/>
      <c r="N162" s="615"/>
      <c r="O162" s="144"/>
      <c r="P162" s="54"/>
    </row>
    <row r="163" ht="46.5" customHeight="1">
      <c r="A163" s="100"/>
      <c r="B163" s="58"/>
      <c r="C163" s="100">
        <v>1.0</v>
      </c>
      <c r="D163" s="58" t="s">
        <v>2104</v>
      </c>
      <c r="E163" s="82" t="s">
        <v>119</v>
      </c>
      <c r="F163" s="150" t="s">
        <v>124</v>
      </c>
      <c r="G163" s="150" t="s">
        <v>124</v>
      </c>
      <c r="H163" s="168" t="s">
        <v>1636</v>
      </c>
      <c r="I163" s="620" t="s">
        <v>1890</v>
      </c>
      <c r="J163" s="621" t="s">
        <v>1638</v>
      </c>
      <c r="K163" s="628" t="s">
        <v>2105</v>
      </c>
      <c r="L163" s="623">
        <v>4.0</v>
      </c>
      <c r="M163" s="100" t="s">
        <v>301</v>
      </c>
      <c r="N163" s="624">
        <v>3.0</v>
      </c>
      <c r="O163" s="100" t="s">
        <v>2106</v>
      </c>
      <c r="P163" s="640" t="s">
        <v>2107</v>
      </c>
    </row>
    <row r="164" ht="30.75" customHeight="1">
      <c r="A164" s="536"/>
      <c r="B164" s="536"/>
      <c r="C164" s="536"/>
      <c r="D164" s="536"/>
      <c r="E164" s="82" t="s">
        <v>119</v>
      </c>
      <c r="F164" s="150" t="s">
        <v>124</v>
      </c>
      <c r="G164" s="150" t="s">
        <v>124</v>
      </c>
      <c r="H164" s="626" t="s">
        <v>1643</v>
      </c>
      <c r="I164" s="627" t="s">
        <v>1895</v>
      </c>
      <c r="J164" s="538"/>
      <c r="K164" s="539"/>
      <c r="L164" s="538"/>
      <c r="M164" s="536"/>
      <c r="N164" s="539"/>
      <c r="O164" s="536"/>
      <c r="P164" s="536"/>
    </row>
    <row r="165">
      <c r="A165" s="536"/>
      <c r="B165" s="536"/>
      <c r="C165" s="536"/>
      <c r="D165" s="536"/>
      <c r="E165" s="82" t="s">
        <v>119</v>
      </c>
      <c r="F165" s="150" t="s">
        <v>124</v>
      </c>
      <c r="G165" s="150" t="s">
        <v>124</v>
      </c>
      <c r="H165" s="630" t="s">
        <v>1645</v>
      </c>
      <c r="I165" s="627" t="s">
        <v>1896</v>
      </c>
      <c r="J165" s="538"/>
      <c r="K165" s="539"/>
      <c r="L165" s="538"/>
      <c r="M165" s="536"/>
      <c r="N165" s="539"/>
      <c r="O165" s="536"/>
      <c r="P165" s="536"/>
    </row>
    <row r="166" ht="15.75" customHeight="1">
      <c r="A166" s="536"/>
      <c r="B166" s="536"/>
      <c r="C166" s="536"/>
      <c r="D166" s="536"/>
      <c r="E166" s="82" t="s">
        <v>119</v>
      </c>
      <c r="F166" s="150" t="s">
        <v>124</v>
      </c>
      <c r="G166" s="150" t="s">
        <v>124</v>
      </c>
      <c r="H166" s="626" t="s">
        <v>1638</v>
      </c>
      <c r="I166" s="627" t="s">
        <v>1897</v>
      </c>
      <c r="J166" s="538"/>
      <c r="K166" s="539"/>
      <c r="L166" s="538"/>
      <c r="M166" s="536"/>
      <c r="N166" s="539"/>
      <c r="O166" s="536"/>
      <c r="P166" s="536"/>
    </row>
    <row r="167" ht="225.0" customHeight="1">
      <c r="A167" s="210"/>
      <c r="B167" s="210"/>
      <c r="C167" s="210"/>
      <c r="D167" s="210"/>
      <c r="E167" s="82" t="s">
        <v>119</v>
      </c>
      <c r="F167" s="150" t="s">
        <v>124</v>
      </c>
      <c r="G167" s="150" t="s">
        <v>124</v>
      </c>
      <c r="H167" s="626" t="s">
        <v>1648</v>
      </c>
      <c r="I167" s="627" t="s">
        <v>1898</v>
      </c>
      <c r="J167" s="213"/>
      <c r="K167" s="440"/>
      <c r="L167" s="213"/>
      <c r="M167" s="210"/>
      <c r="N167" s="440"/>
      <c r="O167" s="210"/>
      <c r="P167" s="210"/>
    </row>
    <row r="168" ht="15.75" customHeight="1">
      <c r="A168" s="144" t="s">
        <v>201</v>
      </c>
      <c r="B168" s="143" t="s">
        <v>202</v>
      </c>
      <c r="C168" s="62"/>
      <c r="D168" s="62"/>
      <c r="E168" s="62"/>
      <c r="F168" s="62"/>
      <c r="G168" s="62"/>
      <c r="H168" s="62"/>
      <c r="I168" s="63"/>
      <c r="J168" s="144"/>
      <c r="K168" s="144"/>
      <c r="L168" s="613">
        <f>L169</f>
        <v>4</v>
      </c>
      <c r="M168" s="614"/>
      <c r="N168" s="615"/>
      <c r="O168" s="144"/>
      <c r="P168" s="54"/>
    </row>
    <row r="169">
      <c r="A169" s="100"/>
      <c r="B169" s="58"/>
      <c r="C169" s="100">
        <v>1.0</v>
      </c>
      <c r="D169" s="58" t="s">
        <v>2108</v>
      </c>
      <c r="E169" s="82" t="s">
        <v>119</v>
      </c>
      <c r="F169" s="150" t="s">
        <v>124</v>
      </c>
      <c r="G169" s="150" t="s">
        <v>124</v>
      </c>
      <c r="H169" s="168" t="s">
        <v>1636</v>
      </c>
      <c r="I169" s="620" t="s">
        <v>1899</v>
      </c>
      <c r="J169" s="621" t="s">
        <v>1638</v>
      </c>
      <c r="K169" s="628" t="s">
        <v>2109</v>
      </c>
      <c r="L169" s="623">
        <v>4.0</v>
      </c>
      <c r="M169" s="100" t="s">
        <v>301</v>
      </c>
      <c r="N169" s="624">
        <v>4.0</v>
      </c>
      <c r="O169" s="100" t="s">
        <v>1091</v>
      </c>
      <c r="P169" s="625" t="s">
        <v>2110</v>
      </c>
    </row>
    <row r="170" ht="46.5" customHeight="1">
      <c r="A170" s="536"/>
      <c r="B170" s="536"/>
      <c r="C170" s="536"/>
      <c r="D170" s="536"/>
      <c r="E170" s="82" t="s">
        <v>119</v>
      </c>
      <c r="F170" s="150" t="s">
        <v>124</v>
      </c>
      <c r="G170" s="150" t="s">
        <v>124</v>
      </c>
      <c r="H170" s="630" t="s">
        <v>1643</v>
      </c>
      <c r="I170" s="627" t="s">
        <v>1904</v>
      </c>
      <c r="J170" s="538"/>
      <c r="K170" s="539"/>
      <c r="L170" s="538"/>
      <c r="M170" s="536"/>
      <c r="N170" s="539"/>
      <c r="O170" s="536"/>
      <c r="P170" s="536"/>
    </row>
    <row r="171">
      <c r="A171" s="536"/>
      <c r="B171" s="536"/>
      <c r="C171" s="536"/>
      <c r="D171" s="536"/>
      <c r="E171" s="82" t="s">
        <v>119</v>
      </c>
      <c r="F171" s="150" t="s">
        <v>124</v>
      </c>
      <c r="G171" s="150" t="s">
        <v>124</v>
      </c>
      <c r="H171" s="626" t="s">
        <v>1645</v>
      </c>
      <c r="I171" s="627" t="s">
        <v>1905</v>
      </c>
      <c r="J171" s="538"/>
      <c r="K171" s="539"/>
      <c r="L171" s="538"/>
      <c r="M171" s="536"/>
      <c r="N171" s="539"/>
      <c r="O171" s="536"/>
      <c r="P171" s="536"/>
    </row>
    <row r="172" ht="30.75" customHeight="1">
      <c r="A172" s="536"/>
      <c r="B172" s="536"/>
      <c r="C172" s="536"/>
      <c r="D172" s="536"/>
      <c r="E172" s="82" t="s">
        <v>119</v>
      </c>
      <c r="F172" s="150" t="s">
        <v>124</v>
      </c>
      <c r="G172" s="150" t="s">
        <v>124</v>
      </c>
      <c r="H172" s="626" t="s">
        <v>1638</v>
      </c>
      <c r="I172" s="627" t="s">
        <v>1906</v>
      </c>
      <c r="J172" s="538"/>
      <c r="K172" s="539"/>
      <c r="L172" s="538"/>
      <c r="M172" s="536"/>
      <c r="N172" s="539"/>
      <c r="O172" s="536"/>
      <c r="P172" s="536"/>
    </row>
    <row r="173" ht="277.5" customHeight="1">
      <c r="A173" s="210"/>
      <c r="B173" s="210"/>
      <c r="C173" s="210"/>
      <c r="D173" s="210"/>
      <c r="E173" s="82" t="s">
        <v>119</v>
      </c>
      <c r="F173" s="150" t="s">
        <v>124</v>
      </c>
      <c r="G173" s="150" t="s">
        <v>124</v>
      </c>
      <c r="H173" s="626" t="s">
        <v>1648</v>
      </c>
      <c r="I173" s="627" t="s">
        <v>1907</v>
      </c>
      <c r="J173" s="213"/>
      <c r="K173" s="440"/>
      <c r="L173" s="213"/>
      <c r="M173" s="210"/>
      <c r="N173" s="440"/>
      <c r="O173" s="210"/>
      <c r="P173" s="210"/>
    </row>
    <row r="174" ht="15.75" customHeight="1">
      <c r="A174" s="144" t="s">
        <v>204</v>
      </c>
      <c r="B174" s="143" t="s">
        <v>205</v>
      </c>
      <c r="C174" s="62"/>
      <c r="D174" s="62"/>
      <c r="E174" s="62"/>
      <c r="F174" s="62"/>
      <c r="G174" s="62"/>
      <c r="H174" s="62"/>
      <c r="I174" s="63"/>
      <c r="J174" s="144"/>
      <c r="K174" s="144"/>
      <c r="L174" s="613">
        <f>L175</f>
        <v>4</v>
      </c>
      <c r="M174" s="614"/>
      <c r="N174" s="615"/>
      <c r="O174" s="144"/>
      <c r="P174" s="54"/>
    </row>
    <row r="175">
      <c r="A175" s="100"/>
      <c r="B175" s="58"/>
      <c r="C175" s="100">
        <v>1.0</v>
      </c>
      <c r="D175" s="58" t="s">
        <v>2111</v>
      </c>
      <c r="E175" s="82" t="s">
        <v>119</v>
      </c>
      <c r="F175" s="150" t="s">
        <v>124</v>
      </c>
      <c r="G175" s="150" t="s">
        <v>124</v>
      </c>
      <c r="H175" s="168" t="s">
        <v>1636</v>
      </c>
      <c r="I175" s="620" t="s">
        <v>1908</v>
      </c>
      <c r="J175" s="621" t="s">
        <v>1638</v>
      </c>
      <c r="K175" s="628" t="s">
        <v>2112</v>
      </c>
      <c r="L175" s="623">
        <v>4.0</v>
      </c>
      <c r="M175" s="100" t="s">
        <v>301</v>
      </c>
      <c r="N175" s="624">
        <v>3.0</v>
      </c>
      <c r="O175" s="100" t="s">
        <v>2113</v>
      </c>
      <c r="P175" s="625" t="s">
        <v>2114</v>
      </c>
    </row>
    <row r="176">
      <c r="A176" s="536"/>
      <c r="B176" s="536"/>
      <c r="C176" s="536"/>
      <c r="D176" s="536"/>
      <c r="E176" s="82" t="s">
        <v>119</v>
      </c>
      <c r="F176" s="150" t="s">
        <v>124</v>
      </c>
      <c r="G176" s="150" t="s">
        <v>124</v>
      </c>
      <c r="H176" s="626" t="s">
        <v>1643</v>
      </c>
      <c r="I176" s="627" t="s">
        <v>1913</v>
      </c>
      <c r="J176" s="538"/>
      <c r="K176" s="539"/>
      <c r="L176" s="538"/>
      <c r="M176" s="536"/>
      <c r="N176" s="539"/>
      <c r="O176" s="536"/>
      <c r="P176" s="536"/>
    </row>
    <row r="177" ht="30.75" customHeight="1">
      <c r="A177" s="536"/>
      <c r="B177" s="536"/>
      <c r="C177" s="536"/>
      <c r="D177" s="536"/>
      <c r="E177" s="82" t="s">
        <v>119</v>
      </c>
      <c r="F177" s="150" t="s">
        <v>124</v>
      </c>
      <c r="G177" s="150" t="s">
        <v>124</v>
      </c>
      <c r="H177" s="630" t="s">
        <v>1645</v>
      </c>
      <c r="I177" s="627" t="s">
        <v>1914</v>
      </c>
      <c r="J177" s="538"/>
      <c r="K177" s="539"/>
      <c r="L177" s="538"/>
      <c r="M177" s="536"/>
      <c r="N177" s="539"/>
      <c r="O177" s="536"/>
      <c r="P177" s="536"/>
    </row>
    <row r="178">
      <c r="A178" s="536"/>
      <c r="B178" s="536"/>
      <c r="C178" s="536"/>
      <c r="D178" s="536"/>
      <c r="E178" s="82" t="s">
        <v>119</v>
      </c>
      <c r="F178" s="150" t="s">
        <v>124</v>
      </c>
      <c r="G178" s="150" t="s">
        <v>124</v>
      </c>
      <c r="H178" s="626" t="s">
        <v>1638</v>
      </c>
      <c r="I178" s="627" t="s">
        <v>1915</v>
      </c>
      <c r="J178" s="538"/>
      <c r="K178" s="539"/>
      <c r="L178" s="538"/>
      <c r="M178" s="536"/>
      <c r="N178" s="539"/>
      <c r="O178" s="536"/>
      <c r="P178" s="536"/>
    </row>
    <row r="179" ht="168.0" customHeight="1">
      <c r="A179" s="210"/>
      <c r="B179" s="210"/>
      <c r="C179" s="210"/>
      <c r="D179" s="210"/>
      <c r="E179" s="82" t="s">
        <v>119</v>
      </c>
      <c r="F179" s="150" t="s">
        <v>124</v>
      </c>
      <c r="G179" s="150" t="s">
        <v>124</v>
      </c>
      <c r="H179" s="626" t="s">
        <v>1648</v>
      </c>
      <c r="I179" s="627" t="s">
        <v>1916</v>
      </c>
      <c r="J179" s="213"/>
      <c r="K179" s="440"/>
      <c r="L179" s="213"/>
      <c r="M179" s="210"/>
      <c r="N179" s="440"/>
      <c r="O179" s="210"/>
      <c r="P179" s="210"/>
    </row>
    <row r="180" ht="15.75" customHeight="1">
      <c r="A180" s="144" t="s">
        <v>207</v>
      </c>
      <c r="B180" s="143" t="s">
        <v>208</v>
      </c>
      <c r="C180" s="62"/>
      <c r="D180" s="62"/>
      <c r="E180" s="62"/>
      <c r="F180" s="62"/>
      <c r="G180" s="62"/>
      <c r="H180" s="62"/>
      <c r="I180" s="63"/>
      <c r="J180" s="144"/>
      <c r="K180" s="144"/>
      <c r="L180" s="613">
        <f>L181</f>
        <v>4</v>
      </c>
      <c r="M180" s="614"/>
      <c r="N180" s="615"/>
      <c r="O180" s="144"/>
      <c r="P180" s="54"/>
    </row>
    <row r="181">
      <c r="A181" s="100"/>
      <c r="B181" s="58"/>
      <c r="C181" s="100"/>
      <c r="D181" s="58" t="s">
        <v>2115</v>
      </c>
      <c r="E181" s="82" t="s">
        <v>119</v>
      </c>
      <c r="F181" s="150" t="s">
        <v>124</v>
      </c>
      <c r="G181" s="150" t="s">
        <v>124</v>
      </c>
      <c r="H181" s="168" t="s">
        <v>1636</v>
      </c>
      <c r="I181" s="620" t="s">
        <v>1917</v>
      </c>
      <c r="J181" s="621" t="s">
        <v>1638</v>
      </c>
      <c r="K181" s="622" t="s">
        <v>2116</v>
      </c>
      <c r="L181" s="623">
        <v>4.0</v>
      </c>
      <c r="M181" s="100" t="s">
        <v>301</v>
      </c>
      <c r="N181" s="624">
        <v>3.0</v>
      </c>
      <c r="O181" s="568" t="s">
        <v>2117</v>
      </c>
      <c r="P181" s="625" t="s">
        <v>2118</v>
      </c>
    </row>
    <row r="182">
      <c r="A182" s="536"/>
      <c r="B182" s="536"/>
      <c r="C182" s="536"/>
      <c r="D182" s="536"/>
      <c r="E182" s="82" t="s">
        <v>119</v>
      </c>
      <c r="F182" s="150" t="s">
        <v>124</v>
      </c>
      <c r="G182" s="150" t="s">
        <v>124</v>
      </c>
      <c r="H182" s="626" t="s">
        <v>1643</v>
      </c>
      <c r="I182" s="627" t="s">
        <v>1922</v>
      </c>
      <c r="J182" s="538"/>
      <c r="K182" s="539"/>
      <c r="L182" s="538"/>
      <c r="M182" s="536"/>
      <c r="N182" s="539"/>
      <c r="O182" s="536"/>
      <c r="P182" s="536"/>
    </row>
    <row r="183">
      <c r="A183" s="536"/>
      <c r="B183" s="536"/>
      <c r="C183" s="536"/>
      <c r="D183" s="536"/>
      <c r="E183" s="82" t="s">
        <v>119</v>
      </c>
      <c r="F183" s="150" t="s">
        <v>124</v>
      </c>
      <c r="G183" s="150" t="s">
        <v>124</v>
      </c>
      <c r="H183" s="626" t="s">
        <v>1645</v>
      </c>
      <c r="I183" s="627" t="s">
        <v>1923</v>
      </c>
      <c r="J183" s="538"/>
      <c r="K183" s="539"/>
      <c r="L183" s="538"/>
      <c r="M183" s="536"/>
      <c r="N183" s="539"/>
      <c r="O183" s="536"/>
      <c r="P183" s="536"/>
    </row>
    <row r="184">
      <c r="A184" s="536"/>
      <c r="B184" s="536"/>
      <c r="C184" s="536"/>
      <c r="D184" s="536"/>
      <c r="E184" s="82" t="s">
        <v>119</v>
      </c>
      <c r="F184" s="150" t="s">
        <v>124</v>
      </c>
      <c r="G184" s="150" t="s">
        <v>124</v>
      </c>
      <c r="H184" s="626" t="s">
        <v>1638</v>
      </c>
      <c r="I184" s="627" t="s">
        <v>1924</v>
      </c>
      <c r="J184" s="538"/>
      <c r="K184" s="539"/>
      <c r="L184" s="538"/>
      <c r="M184" s="536"/>
      <c r="N184" s="539"/>
      <c r="O184" s="536"/>
      <c r="P184" s="536"/>
    </row>
    <row r="185" ht="258.0" customHeight="1">
      <c r="A185" s="210"/>
      <c r="B185" s="210"/>
      <c r="C185" s="210"/>
      <c r="D185" s="210"/>
      <c r="E185" s="82" t="s">
        <v>119</v>
      </c>
      <c r="F185" s="150" t="s">
        <v>124</v>
      </c>
      <c r="G185" s="150" t="s">
        <v>124</v>
      </c>
      <c r="H185" s="626" t="s">
        <v>1648</v>
      </c>
      <c r="I185" s="627" t="s">
        <v>1925</v>
      </c>
      <c r="J185" s="213"/>
      <c r="K185" s="440"/>
      <c r="L185" s="213"/>
      <c r="M185" s="210"/>
      <c r="N185" s="440"/>
      <c r="O185" s="210"/>
      <c r="P185" s="210"/>
    </row>
    <row r="186" ht="15.75" customHeight="1">
      <c r="A186" s="144" t="s">
        <v>210</v>
      </c>
      <c r="B186" s="143" t="s">
        <v>211</v>
      </c>
      <c r="C186" s="62"/>
      <c r="D186" s="62"/>
      <c r="E186" s="62"/>
      <c r="F186" s="62"/>
      <c r="G186" s="62"/>
      <c r="H186" s="62"/>
      <c r="I186" s="63"/>
      <c r="J186" s="144"/>
      <c r="K186" s="144"/>
      <c r="L186" s="613">
        <f>L187</f>
        <v>4</v>
      </c>
      <c r="M186" s="614"/>
      <c r="N186" s="615"/>
      <c r="O186" s="144"/>
      <c r="P186" s="54"/>
    </row>
    <row r="187">
      <c r="A187" s="100"/>
      <c r="B187" s="58"/>
      <c r="C187" s="100">
        <v>1.0</v>
      </c>
      <c r="D187" s="58" t="s">
        <v>2119</v>
      </c>
      <c r="E187" s="82" t="s">
        <v>119</v>
      </c>
      <c r="F187" s="150" t="s">
        <v>124</v>
      </c>
      <c r="G187" s="150" t="s">
        <v>124</v>
      </c>
      <c r="H187" s="168" t="s">
        <v>1636</v>
      </c>
      <c r="I187" s="620" t="s">
        <v>1926</v>
      </c>
      <c r="J187" s="621" t="s">
        <v>1638</v>
      </c>
      <c r="K187" s="628" t="s">
        <v>2120</v>
      </c>
      <c r="L187" s="623">
        <v>4.0</v>
      </c>
      <c r="M187" s="100" t="s">
        <v>301</v>
      </c>
      <c r="N187" s="624">
        <v>4.0</v>
      </c>
      <c r="O187" s="100" t="s">
        <v>1091</v>
      </c>
      <c r="P187" s="625" t="s">
        <v>2121</v>
      </c>
    </row>
    <row r="188">
      <c r="A188" s="536"/>
      <c r="B188" s="536"/>
      <c r="C188" s="536"/>
      <c r="D188" s="536"/>
      <c r="E188" s="82" t="s">
        <v>119</v>
      </c>
      <c r="F188" s="150" t="s">
        <v>124</v>
      </c>
      <c r="G188" s="150" t="s">
        <v>124</v>
      </c>
      <c r="H188" s="626" t="s">
        <v>1643</v>
      </c>
      <c r="I188" s="627" t="s">
        <v>1931</v>
      </c>
      <c r="J188" s="538"/>
      <c r="K188" s="539"/>
      <c r="L188" s="538"/>
      <c r="M188" s="536"/>
      <c r="N188" s="539"/>
      <c r="O188" s="536"/>
      <c r="P188" s="536"/>
    </row>
    <row r="189">
      <c r="A189" s="536"/>
      <c r="B189" s="536"/>
      <c r="C189" s="536"/>
      <c r="D189" s="536"/>
      <c r="E189" s="82" t="s">
        <v>119</v>
      </c>
      <c r="F189" s="150" t="s">
        <v>124</v>
      </c>
      <c r="G189" s="150" t="s">
        <v>124</v>
      </c>
      <c r="H189" s="626" t="s">
        <v>1645</v>
      </c>
      <c r="I189" s="627" t="s">
        <v>1933</v>
      </c>
      <c r="J189" s="538"/>
      <c r="K189" s="539"/>
      <c r="L189" s="538"/>
      <c r="M189" s="536"/>
      <c r="N189" s="539"/>
      <c r="O189" s="536"/>
      <c r="P189" s="536"/>
    </row>
    <row r="190">
      <c r="A190" s="536"/>
      <c r="B190" s="536"/>
      <c r="C190" s="536"/>
      <c r="D190" s="536"/>
      <c r="E190" s="82" t="s">
        <v>119</v>
      </c>
      <c r="F190" s="150" t="s">
        <v>124</v>
      </c>
      <c r="G190" s="150" t="s">
        <v>124</v>
      </c>
      <c r="H190" s="626" t="s">
        <v>1638</v>
      </c>
      <c r="I190" s="627" t="s">
        <v>1934</v>
      </c>
      <c r="J190" s="538"/>
      <c r="K190" s="539"/>
      <c r="L190" s="538"/>
      <c r="M190" s="536"/>
      <c r="N190" s="539"/>
      <c r="O190" s="536"/>
      <c r="P190" s="536"/>
    </row>
    <row r="191" ht="262.5" customHeight="1">
      <c r="A191" s="210"/>
      <c r="B191" s="210"/>
      <c r="C191" s="210"/>
      <c r="D191" s="210"/>
      <c r="E191" s="82" t="s">
        <v>119</v>
      </c>
      <c r="F191" s="150" t="s">
        <v>124</v>
      </c>
      <c r="G191" s="150" t="s">
        <v>124</v>
      </c>
      <c r="H191" s="626" t="s">
        <v>1648</v>
      </c>
      <c r="I191" s="627" t="s">
        <v>1935</v>
      </c>
      <c r="J191" s="213"/>
      <c r="K191" s="440"/>
      <c r="L191" s="213"/>
      <c r="M191" s="210"/>
      <c r="N191" s="440"/>
      <c r="O191" s="210"/>
      <c r="P191" s="210"/>
    </row>
    <row r="192" ht="15.75" customHeight="1">
      <c r="A192" s="144" t="s">
        <v>213</v>
      </c>
      <c r="B192" s="143" t="s">
        <v>214</v>
      </c>
      <c r="C192" s="62"/>
      <c r="D192" s="62"/>
      <c r="E192" s="62"/>
      <c r="F192" s="62"/>
      <c r="G192" s="62"/>
      <c r="H192" s="62"/>
      <c r="I192" s="63"/>
      <c r="J192" s="144"/>
      <c r="K192" s="144"/>
      <c r="L192" s="613">
        <f>AVERAGE(L193:L212)</f>
        <v>3</v>
      </c>
      <c r="M192" s="614"/>
      <c r="N192" s="615"/>
      <c r="O192" s="144"/>
      <c r="P192" s="54"/>
    </row>
    <row r="193">
      <c r="A193" s="617"/>
      <c r="B193" s="618"/>
      <c r="C193" s="100">
        <v>1.0</v>
      </c>
      <c r="D193" s="58" t="s">
        <v>2122</v>
      </c>
      <c r="E193" s="82" t="s">
        <v>119</v>
      </c>
      <c r="F193" s="150" t="s">
        <v>124</v>
      </c>
      <c r="G193" s="150" t="s">
        <v>124</v>
      </c>
      <c r="H193" s="168" t="s">
        <v>1636</v>
      </c>
      <c r="I193" s="650" t="s">
        <v>2123</v>
      </c>
      <c r="J193" s="621" t="s">
        <v>1638</v>
      </c>
      <c r="K193" s="622" t="s">
        <v>2124</v>
      </c>
      <c r="L193" s="623">
        <v>3.0</v>
      </c>
      <c r="M193" s="100" t="s">
        <v>301</v>
      </c>
      <c r="N193" s="624">
        <v>3.0</v>
      </c>
      <c r="O193" s="100" t="s">
        <v>1121</v>
      </c>
      <c r="P193" s="625" t="s">
        <v>2125</v>
      </c>
    </row>
    <row r="194" ht="30.75" customHeight="1">
      <c r="A194" s="536"/>
      <c r="B194" s="536"/>
      <c r="C194" s="536"/>
      <c r="D194" s="536"/>
      <c r="E194" s="82" t="s">
        <v>119</v>
      </c>
      <c r="F194" s="150" t="s">
        <v>124</v>
      </c>
      <c r="G194" s="150" t="s">
        <v>124</v>
      </c>
      <c r="H194" s="626" t="s">
        <v>1643</v>
      </c>
      <c r="I194" s="627" t="s">
        <v>1942</v>
      </c>
      <c r="J194" s="538"/>
      <c r="K194" s="539"/>
      <c r="L194" s="538"/>
      <c r="M194" s="536"/>
      <c r="N194" s="539"/>
      <c r="O194" s="536"/>
      <c r="P194" s="536"/>
    </row>
    <row r="195">
      <c r="A195" s="536"/>
      <c r="B195" s="536"/>
      <c r="C195" s="536"/>
      <c r="D195" s="536"/>
      <c r="E195" s="82" t="s">
        <v>119</v>
      </c>
      <c r="F195" s="150" t="s">
        <v>124</v>
      </c>
      <c r="G195" s="150" t="s">
        <v>124</v>
      </c>
      <c r="H195" s="630" t="s">
        <v>1645</v>
      </c>
      <c r="I195" s="627" t="s">
        <v>1943</v>
      </c>
      <c r="J195" s="538"/>
      <c r="K195" s="539"/>
      <c r="L195" s="538"/>
      <c r="M195" s="536"/>
      <c r="N195" s="539"/>
      <c r="O195" s="536"/>
      <c r="P195" s="536"/>
    </row>
    <row r="196">
      <c r="A196" s="536"/>
      <c r="B196" s="536"/>
      <c r="C196" s="536"/>
      <c r="D196" s="536"/>
      <c r="E196" s="82" t="s">
        <v>119</v>
      </c>
      <c r="F196" s="150" t="s">
        <v>124</v>
      </c>
      <c r="G196" s="150" t="s">
        <v>124</v>
      </c>
      <c r="H196" s="626" t="s">
        <v>1638</v>
      </c>
      <c r="I196" s="627" t="s">
        <v>1944</v>
      </c>
      <c r="J196" s="538"/>
      <c r="K196" s="539"/>
      <c r="L196" s="538"/>
      <c r="M196" s="536"/>
      <c r="N196" s="539"/>
      <c r="O196" s="536"/>
      <c r="P196" s="536"/>
    </row>
    <row r="197">
      <c r="A197" s="536"/>
      <c r="B197" s="536"/>
      <c r="C197" s="210"/>
      <c r="D197" s="210"/>
      <c r="E197" s="82" t="s">
        <v>119</v>
      </c>
      <c r="F197" s="150" t="s">
        <v>124</v>
      </c>
      <c r="G197" s="150" t="s">
        <v>124</v>
      </c>
      <c r="H197" s="626" t="s">
        <v>1648</v>
      </c>
      <c r="I197" s="627" t="s">
        <v>1945</v>
      </c>
      <c r="J197" s="213"/>
      <c r="K197" s="440"/>
      <c r="L197" s="213"/>
      <c r="M197" s="210"/>
      <c r="N197" s="440"/>
      <c r="O197" s="210"/>
      <c r="P197" s="210"/>
    </row>
    <row r="198">
      <c r="A198" s="536"/>
      <c r="B198" s="536"/>
      <c r="C198" s="100">
        <v>2.0</v>
      </c>
      <c r="D198" s="58" t="s">
        <v>1946</v>
      </c>
      <c r="E198" s="82" t="s">
        <v>119</v>
      </c>
      <c r="F198" s="82" t="s">
        <v>120</v>
      </c>
      <c r="G198" s="160" t="s">
        <v>124</v>
      </c>
      <c r="H198" s="626" t="s">
        <v>1636</v>
      </c>
      <c r="I198" s="636" t="s">
        <v>1947</v>
      </c>
      <c r="J198" s="631" t="s">
        <v>1638</v>
      </c>
      <c r="K198" s="632" t="s">
        <v>2126</v>
      </c>
      <c r="L198" s="633">
        <v>3.0</v>
      </c>
      <c r="M198" s="100" t="s">
        <v>301</v>
      </c>
      <c r="N198" s="634">
        <v>3.0</v>
      </c>
      <c r="O198" s="100" t="s">
        <v>1121</v>
      </c>
      <c r="P198" s="625" t="s">
        <v>2127</v>
      </c>
    </row>
    <row r="199">
      <c r="A199" s="536"/>
      <c r="B199" s="536"/>
      <c r="C199" s="536"/>
      <c r="D199" s="536"/>
      <c r="E199" s="82" t="s">
        <v>119</v>
      </c>
      <c r="F199" s="82" t="s">
        <v>120</v>
      </c>
      <c r="G199" s="160" t="s">
        <v>124</v>
      </c>
      <c r="H199" s="626" t="s">
        <v>1643</v>
      </c>
      <c r="I199" s="636" t="s">
        <v>1951</v>
      </c>
      <c r="J199" s="538"/>
      <c r="K199" s="539"/>
      <c r="L199" s="538"/>
      <c r="M199" s="536"/>
      <c r="N199" s="539"/>
      <c r="O199" s="536"/>
      <c r="P199" s="536"/>
    </row>
    <row r="200">
      <c r="A200" s="536"/>
      <c r="B200" s="536"/>
      <c r="C200" s="536"/>
      <c r="D200" s="536"/>
      <c r="E200" s="82" t="s">
        <v>119</v>
      </c>
      <c r="F200" s="82" t="s">
        <v>120</v>
      </c>
      <c r="G200" s="160" t="s">
        <v>124</v>
      </c>
      <c r="H200" s="630" t="s">
        <v>1645</v>
      </c>
      <c r="I200" s="636" t="s">
        <v>1952</v>
      </c>
      <c r="J200" s="538"/>
      <c r="K200" s="539"/>
      <c r="L200" s="538"/>
      <c r="M200" s="536"/>
      <c r="N200" s="539"/>
      <c r="O200" s="536"/>
      <c r="P200" s="536"/>
    </row>
    <row r="201">
      <c r="A201" s="536"/>
      <c r="B201" s="536"/>
      <c r="C201" s="536"/>
      <c r="D201" s="536"/>
      <c r="E201" s="82" t="s">
        <v>119</v>
      </c>
      <c r="F201" s="82" t="s">
        <v>120</v>
      </c>
      <c r="G201" s="160" t="s">
        <v>124</v>
      </c>
      <c r="H201" s="626" t="s">
        <v>1638</v>
      </c>
      <c r="I201" s="636" t="s">
        <v>1953</v>
      </c>
      <c r="J201" s="538"/>
      <c r="K201" s="539"/>
      <c r="L201" s="538"/>
      <c r="M201" s="536"/>
      <c r="N201" s="539"/>
      <c r="O201" s="536"/>
      <c r="P201" s="536"/>
    </row>
    <row r="202">
      <c r="A202" s="536"/>
      <c r="B202" s="536"/>
      <c r="C202" s="210"/>
      <c r="D202" s="210"/>
      <c r="E202" s="82" t="s">
        <v>119</v>
      </c>
      <c r="F202" s="82" t="s">
        <v>120</v>
      </c>
      <c r="G202" s="160" t="s">
        <v>124</v>
      </c>
      <c r="H202" s="626" t="s">
        <v>1648</v>
      </c>
      <c r="I202" s="636" t="s">
        <v>1954</v>
      </c>
      <c r="J202" s="213"/>
      <c r="K202" s="440"/>
      <c r="L202" s="213"/>
      <c r="M202" s="210"/>
      <c r="N202" s="440"/>
      <c r="O202" s="210"/>
      <c r="P202" s="210"/>
    </row>
    <row r="203">
      <c r="A203" s="536"/>
      <c r="B203" s="536"/>
      <c r="C203" s="100">
        <v>3.0</v>
      </c>
      <c r="D203" s="58" t="s">
        <v>217</v>
      </c>
      <c r="E203" s="82" t="s">
        <v>119</v>
      </c>
      <c r="F203" s="82" t="s">
        <v>120</v>
      </c>
      <c r="G203" s="160" t="s">
        <v>124</v>
      </c>
      <c r="H203" s="626" t="s">
        <v>1636</v>
      </c>
      <c r="I203" s="636" t="s">
        <v>1955</v>
      </c>
      <c r="J203" s="631" t="s">
        <v>1638</v>
      </c>
      <c r="K203" s="632" t="s">
        <v>2128</v>
      </c>
      <c r="L203" s="633">
        <v>3.0</v>
      </c>
      <c r="M203" s="100" t="s">
        <v>301</v>
      </c>
      <c r="N203" s="634">
        <v>3.0</v>
      </c>
      <c r="O203" s="100" t="s">
        <v>1121</v>
      </c>
      <c r="P203" s="640" t="s">
        <v>2129</v>
      </c>
    </row>
    <row r="204">
      <c r="A204" s="536"/>
      <c r="B204" s="536"/>
      <c r="C204" s="536"/>
      <c r="D204" s="536"/>
      <c r="E204" s="82" t="s">
        <v>119</v>
      </c>
      <c r="F204" s="82" t="s">
        <v>120</v>
      </c>
      <c r="G204" s="160" t="s">
        <v>124</v>
      </c>
      <c r="H204" s="626" t="s">
        <v>1643</v>
      </c>
      <c r="I204" s="636" t="s">
        <v>1959</v>
      </c>
      <c r="J204" s="538"/>
      <c r="K204" s="539"/>
      <c r="L204" s="538"/>
      <c r="M204" s="536"/>
      <c r="N204" s="539"/>
      <c r="O204" s="536"/>
      <c r="P204" s="536"/>
    </row>
    <row r="205">
      <c r="A205" s="536"/>
      <c r="B205" s="536"/>
      <c r="C205" s="536"/>
      <c r="D205" s="536"/>
      <c r="E205" s="82" t="s">
        <v>119</v>
      </c>
      <c r="F205" s="82" t="s">
        <v>120</v>
      </c>
      <c r="G205" s="160" t="s">
        <v>124</v>
      </c>
      <c r="H205" s="626" t="s">
        <v>1645</v>
      </c>
      <c r="I205" s="636" t="s">
        <v>1960</v>
      </c>
      <c r="J205" s="538"/>
      <c r="K205" s="539"/>
      <c r="L205" s="538"/>
      <c r="M205" s="536"/>
      <c r="N205" s="539"/>
      <c r="O205" s="536"/>
      <c r="P205" s="536"/>
    </row>
    <row r="206">
      <c r="A206" s="536"/>
      <c r="B206" s="536"/>
      <c r="C206" s="536"/>
      <c r="D206" s="536"/>
      <c r="E206" s="82" t="s">
        <v>119</v>
      </c>
      <c r="F206" s="82" t="s">
        <v>120</v>
      </c>
      <c r="G206" s="160" t="s">
        <v>124</v>
      </c>
      <c r="H206" s="626" t="s">
        <v>1638</v>
      </c>
      <c r="I206" s="636" t="s">
        <v>1961</v>
      </c>
      <c r="J206" s="538"/>
      <c r="K206" s="539"/>
      <c r="L206" s="538"/>
      <c r="M206" s="536"/>
      <c r="N206" s="539"/>
      <c r="O206" s="536"/>
      <c r="P206" s="536"/>
    </row>
    <row r="207">
      <c r="A207" s="536"/>
      <c r="B207" s="536"/>
      <c r="C207" s="210"/>
      <c r="D207" s="210"/>
      <c r="E207" s="82" t="s">
        <v>119</v>
      </c>
      <c r="F207" s="82" t="s">
        <v>120</v>
      </c>
      <c r="G207" s="160" t="s">
        <v>124</v>
      </c>
      <c r="H207" s="626" t="s">
        <v>1648</v>
      </c>
      <c r="I207" s="636" t="s">
        <v>1962</v>
      </c>
      <c r="J207" s="213"/>
      <c r="K207" s="440"/>
      <c r="L207" s="213"/>
      <c r="M207" s="210"/>
      <c r="N207" s="440"/>
      <c r="O207" s="210"/>
      <c r="P207" s="210"/>
    </row>
    <row r="208">
      <c r="A208" s="536"/>
      <c r="B208" s="536"/>
      <c r="C208" s="100">
        <v>4.0</v>
      </c>
      <c r="D208" s="58" t="s">
        <v>218</v>
      </c>
      <c r="E208" s="82" t="s">
        <v>119</v>
      </c>
      <c r="F208" s="82" t="s">
        <v>120</v>
      </c>
      <c r="G208" s="160" t="s">
        <v>124</v>
      </c>
      <c r="H208" s="626" t="s">
        <v>1636</v>
      </c>
      <c r="I208" s="636" t="s">
        <v>1963</v>
      </c>
      <c r="J208" s="631" t="s">
        <v>1638</v>
      </c>
      <c r="K208" s="632" t="s">
        <v>2130</v>
      </c>
      <c r="L208" s="633">
        <v>3.0</v>
      </c>
      <c r="M208" s="100" t="s">
        <v>301</v>
      </c>
      <c r="N208" s="634">
        <v>3.0</v>
      </c>
      <c r="O208" s="100" t="s">
        <v>1121</v>
      </c>
      <c r="P208" s="625" t="s">
        <v>2131</v>
      </c>
    </row>
    <row r="209" ht="15.75" customHeight="1">
      <c r="A209" s="536"/>
      <c r="B209" s="536"/>
      <c r="C209" s="536"/>
      <c r="D209" s="536"/>
      <c r="E209" s="82" t="s">
        <v>119</v>
      </c>
      <c r="F209" s="82" t="s">
        <v>120</v>
      </c>
      <c r="G209" s="160" t="s">
        <v>124</v>
      </c>
      <c r="H209" s="626" t="s">
        <v>1643</v>
      </c>
      <c r="I209" s="636" t="s">
        <v>1967</v>
      </c>
      <c r="J209" s="538"/>
      <c r="K209" s="539"/>
      <c r="L209" s="538"/>
      <c r="M209" s="536"/>
      <c r="N209" s="539"/>
      <c r="O209" s="536"/>
      <c r="P209" s="536"/>
    </row>
    <row r="210">
      <c r="A210" s="536"/>
      <c r="B210" s="536"/>
      <c r="C210" s="536"/>
      <c r="D210" s="536"/>
      <c r="E210" s="82" t="s">
        <v>119</v>
      </c>
      <c r="F210" s="82" t="s">
        <v>120</v>
      </c>
      <c r="G210" s="160" t="s">
        <v>124</v>
      </c>
      <c r="H210" s="626" t="s">
        <v>1645</v>
      </c>
      <c r="I210" s="636" t="s">
        <v>1968</v>
      </c>
      <c r="J210" s="538"/>
      <c r="K210" s="539"/>
      <c r="L210" s="538"/>
      <c r="M210" s="536"/>
      <c r="N210" s="539"/>
      <c r="O210" s="536"/>
      <c r="P210" s="536"/>
    </row>
    <row r="211">
      <c r="A211" s="536"/>
      <c r="B211" s="536"/>
      <c r="C211" s="536"/>
      <c r="D211" s="536"/>
      <c r="E211" s="82" t="s">
        <v>119</v>
      </c>
      <c r="F211" s="82" t="s">
        <v>120</v>
      </c>
      <c r="G211" s="160" t="s">
        <v>124</v>
      </c>
      <c r="H211" s="626" t="s">
        <v>1638</v>
      </c>
      <c r="I211" s="627" t="s">
        <v>1969</v>
      </c>
      <c r="J211" s="538"/>
      <c r="K211" s="539"/>
      <c r="L211" s="538"/>
      <c r="M211" s="536"/>
      <c r="N211" s="539"/>
      <c r="O211" s="536"/>
      <c r="P211" s="536"/>
    </row>
    <row r="212" ht="15.75" customHeight="1">
      <c r="A212" s="210"/>
      <c r="B212" s="210"/>
      <c r="C212" s="210"/>
      <c r="D212" s="210"/>
      <c r="E212" s="82" t="s">
        <v>119</v>
      </c>
      <c r="F212" s="82" t="s">
        <v>120</v>
      </c>
      <c r="G212" s="160" t="s">
        <v>124</v>
      </c>
      <c r="H212" s="626" t="s">
        <v>1648</v>
      </c>
      <c r="I212" s="627" t="s">
        <v>1970</v>
      </c>
      <c r="J212" s="213"/>
      <c r="K212" s="440"/>
      <c r="L212" s="213"/>
      <c r="M212" s="210"/>
      <c r="N212" s="440"/>
      <c r="O212" s="210"/>
      <c r="P212" s="210"/>
    </row>
    <row r="213" ht="15.75" customHeight="1">
      <c r="A213" s="144" t="s">
        <v>220</v>
      </c>
      <c r="B213" s="143" t="s">
        <v>221</v>
      </c>
      <c r="C213" s="62"/>
      <c r="D213" s="62"/>
      <c r="E213" s="62"/>
      <c r="F213" s="62"/>
      <c r="G213" s="62"/>
      <c r="H213" s="62"/>
      <c r="I213" s="63"/>
      <c r="J213" s="144"/>
      <c r="K213" s="144"/>
      <c r="L213" s="613">
        <f>L214</f>
        <v>3</v>
      </c>
      <c r="M213" s="614"/>
      <c r="N213" s="615"/>
      <c r="O213" s="144"/>
      <c r="P213" s="54"/>
    </row>
    <row r="214">
      <c r="A214" s="100"/>
      <c r="B214" s="58"/>
      <c r="C214" s="100">
        <v>1.0</v>
      </c>
      <c r="D214" s="58" t="s">
        <v>2132</v>
      </c>
      <c r="E214" s="82" t="s">
        <v>119</v>
      </c>
      <c r="F214" s="150" t="s">
        <v>124</v>
      </c>
      <c r="G214" s="150" t="s">
        <v>124</v>
      </c>
      <c r="H214" s="168" t="s">
        <v>1636</v>
      </c>
      <c r="I214" s="651" t="s">
        <v>1971</v>
      </c>
      <c r="J214" s="621" t="s">
        <v>1638</v>
      </c>
      <c r="K214" s="622" t="s">
        <v>2133</v>
      </c>
      <c r="L214" s="623">
        <v>3.0</v>
      </c>
      <c r="M214" s="100" t="s">
        <v>301</v>
      </c>
      <c r="N214" s="624">
        <v>2.0</v>
      </c>
      <c r="O214" s="100" t="s">
        <v>2134</v>
      </c>
      <c r="P214" s="625" t="s">
        <v>2135</v>
      </c>
    </row>
    <row r="215">
      <c r="A215" s="536"/>
      <c r="B215" s="536"/>
      <c r="C215" s="536"/>
      <c r="D215" s="536"/>
      <c r="E215" s="82" t="s">
        <v>119</v>
      </c>
      <c r="F215" s="150" t="s">
        <v>124</v>
      </c>
      <c r="G215" s="150" t="s">
        <v>124</v>
      </c>
      <c r="H215" s="626" t="s">
        <v>1643</v>
      </c>
      <c r="I215" s="627" t="s">
        <v>1975</v>
      </c>
      <c r="J215" s="538"/>
      <c r="K215" s="539"/>
      <c r="L215" s="538"/>
      <c r="M215" s="536"/>
      <c r="N215" s="539"/>
      <c r="O215" s="536"/>
      <c r="P215" s="536"/>
    </row>
    <row r="216">
      <c r="A216" s="536"/>
      <c r="B216" s="536"/>
      <c r="C216" s="536"/>
      <c r="D216" s="536"/>
      <c r="E216" s="82" t="s">
        <v>119</v>
      </c>
      <c r="F216" s="150" t="s">
        <v>124</v>
      </c>
      <c r="G216" s="150" t="s">
        <v>124</v>
      </c>
      <c r="H216" s="626" t="s">
        <v>1645</v>
      </c>
      <c r="I216" s="627" t="s">
        <v>1974</v>
      </c>
      <c r="J216" s="538"/>
      <c r="K216" s="539"/>
      <c r="L216" s="538"/>
      <c r="M216" s="536"/>
      <c r="N216" s="539"/>
      <c r="O216" s="536"/>
      <c r="P216" s="536"/>
    </row>
    <row r="217">
      <c r="A217" s="536"/>
      <c r="B217" s="536"/>
      <c r="C217" s="536"/>
      <c r="D217" s="536"/>
      <c r="E217" s="82" t="s">
        <v>119</v>
      </c>
      <c r="F217" s="150" t="s">
        <v>124</v>
      </c>
      <c r="G217" s="150" t="s">
        <v>124</v>
      </c>
      <c r="H217" s="626" t="s">
        <v>1638</v>
      </c>
      <c r="I217" s="627" t="s">
        <v>1976</v>
      </c>
      <c r="J217" s="538"/>
      <c r="K217" s="539"/>
      <c r="L217" s="538"/>
      <c r="M217" s="536"/>
      <c r="N217" s="539"/>
      <c r="O217" s="536"/>
      <c r="P217" s="536"/>
    </row>
    <row r="218" ht="183.0" customHeight="1">
      <c r="A218" s="210"/>
      <c r="B218" s="210"/>
      <c r="C218" s="210"/>
      <c r="D218" s="210"/>
      <c r="E218" s="82" t="s">
        <v>119</v>
      </c>
      <c r="F218" s="150" t="s">
        <v>124</v>
      </c>
      <c r="G218" s="150" t="s">
        <v>124</v>
      </c>
      <c r="H218" s="626" t="s">
        <v>1648</v>
      </c>
      <c r="I218" s="652" t="s">
        <v>1977</v>
      </c>
      <c r="J218" s="213"/>
      <c r="K218" s="440"/>
      <c r="L218" s="213"/>
      <c r="M218" s="210"/>
      <c r="N218" s="440"/>
      <c r="O218" s="210"/>
      <c r="P218" s="210"/>
    </row>
    <row r="219" ht="15.75" customHeight="1">
      <c r="A219" s="144" t="s">
        <v>223</v>
      </c>
      <c r="B219" s="653" t="s">
        <v>2136</v>
      </c>
      <c r="C219" s="62"/>
      <c r="D219" s="62"/>
      <c r="E219" s="62"/>
      <c r="F219" s="62"/>
      <c r="G219" s="62"/>
      <c r="H219" s="62"/>
      <c r="I219" s="63"/>
      <c r="J219" s="144"/>
      <c r="K219" s="144"/>
      <c r="L219" s="613">
        <f>AVERAGE(L220:L234)</f>
        <v>3.333333333</v>
      </c>
      <c r="M219" s="614"/>
      <c r="N219" s="615"/>
      <c r="O219" s="144"/>
      <c r="P219" s="54"/>
    </row>
    <row r="220">
      <c r="A220" s="617"/>
      <c r="B220" s="618"/>
      <c r="C220" s="617">
        <v>1.0</v>
      </c>
      <c r="D220" s="618" t="s">
        <v>2137</v>
      </c>
      <c r="E220" s="82" t="s">
        <v>119</v>
      </c>
      <c r="F220" s="150" t="s">
        <v>124</v>
      </c>
      <c r="G220" s="150" t="s">
        <v>124</v>
      </c>
      <c r="H220" s="168" t="s">
        <v>1636</v>
      </c>
      <c r="I220" s="620" t="s">
        <v>1979</v>
      </c>
      <c r="J220" s="621" t="s">
        <v>1638</v>
      </c>
      <c r="K220" s="622" t="s">
        <v>2138</v>
      </c>
      <c r="L220" s="623">
        <v>4.0</v>
      </c>
      <c r="M220" s="100" t="s">
        <v>301</v>
      </c>
      <c r="N220" s="624">
        <v>4.0</v>
      </c>
      <c r="O220" s="100" t="s">
        <v>1121</v>
      </c>
      <c r="P220" s="625" t="s">
        <v>2139</v>
      </c>
    </row>
    <row r="221">
      <c r="A221" s="536"/>
      <c r="B221" s="536"/>
      <c r="C221" s="536"/>
      <c r="D221" s="536"/>
      <c r="E221" s="82" t="s">
        <v>119</v>
      </c>
      <c r="F221" s="150" t="s">
        <v>124</v>
      </c>
      <c r="G221" s="150" t="s">
        <v>124</v>
      </c>
      <c r="H221" s="626" t="s">
        <v>1643</v>
      </c>
      <c r="I221" s="652" t="s">
        <v>1983</v>
      </c>
      <c r="J221" s="538"/>
      <c r="K221" s="539"/>
      <c r="L221" s="538"/>
      <c r="M221" s="536"/>
      <c r="N221" s="539"/>
      <c r="O221" s="536"/>
      <c r="P221" s="536"/>
    </row>
    <row r="222">
      <c r="A222" s="536"/>
      <c r="B222" s="536"/>
      <c r="C222" s="536"/>
      <c r="D222" s="536"/>
      <c r="E222" s="82" t="s">
        <v>119</v>
      </c>
      <c r="F222" s="150" t="s">
        <v>124</v>
      </c>
      <c r="G222" s="150" t="s">
        <v>124</v>
      </c>
      <c r="H222" s="626" t="s">
        <v>1645</v>
      </c>
      <c r="I222" s="627" t="s">
        <v>1984</v>
      </c>
      <c r="J222" s="538"/>
      <c r="K222" s="539"/>
      <c r="L222" s="538"/>
      <c r="M222" s="536"/>
      <c r="N222" s="539"/>
      <c r="O222" s="536"/>
      <c r="P222" s="536"/>
    </row>
    <row r="223">
      <c r="A223" s="536"/>
      <c r="B223" s="536"/>
      <c r="C223" s="536"/>
      <c r="D223" s="536"/>
      <c r="E223" s="82" t="s">
        <v>119</v>
      </c>
      <c r="F223" s="150" t="s">
        <v>124</v>
      </c>
      <c r="G223" s="150" t="s">
        <v>124</v>
      </c>
      <c r="H223" s="626" t="s">
        <v>1638</v>
      </c>
      <c r="I223" s="627" t="s">
        <v>1985</v>
      </c>
      <c r="J223" s="538"/>
      <c r="K223" s="539"/>
      <c r="L223" s="538"/>
      <c r="M223" s="536"/>
      <c r="N223" s="539"/>
      <c r="O223" s="536"/>
      <c r="P223" s="536"/>
    </row>
    <row r="224">
      <c r="A224" s="536"/>
      <c r="B224" s="536"/>
      <c r="C224" s="210"/>
      <c r="D224" s="210"/>
      <c r="E224" s="82" t="s">
        <v>119</v>
      </c>
      <c r="F224" s="150" t="s">
        <v>124</v>
      </c>
      <c r="G224" s="150" t="s">
        <v>124</v>
      </c>
      <c r="H224" s="626" t="s">
        <v>1648</v>
      </c>
      <c r="I224" s="627" t="s">
        <v>1986</v>
      </c>
      <c r="J224" s="213"/>
      <c r="K224" s="440"/>
      <c r="L224" s="213"/>
      <c r="M224" s="210"/>
      <c r="N224" s="440"/>
      <c r="O224" s="210"/>
      <c r="P224" s="210"/>
    </row>
    <row r="225">
      <c r="A225" s="536"/>
      <c r="B225" s="536"/>
      <c r="C225" s="100">
        <v>2.0</v>
      </c>
      <c r="D225" s="58" t="s">
        <v>226</v>
      </c>
      <c r="E225" s="82" t="s">
        <v>119</v>
      </c>
      <c r="F225" s="82" t="s">
        <v>120</v>
      </c>
      <c r="G225" s="160" t="s">
        <v>124</v>
      </c>
      <c r="H225" s="626" t="s">
        <v>1636</v>
      </c>
      <c r="I225" s="627" t="s">
        <v>1987</v>
      </c>
      <c r="J225" s="631" t="s">
        <v>1638</v>
      </c>
      <c r="K225" s="632" t="s">
        <v>2140</v>
      </c>
      <c r="L225" s="633">
        <v>3.0</v>
      </c>
      <c r="M225" s="100" t="s">
        <v>301</v>
      </c>
      <c r="N225" s="634">
        <v>2.0</v>
      </c>
      <c r="O225" s="100" t="s">
        <v>2141</v>
      </c>
      <c r="P225" s="625" t="s">
        <v>2142</v>
      </c>
    </row>
    <row r="226">
      <c r="A226" s="536"/>
      <c r="B226" s="536"/>
      <c r="C226" s="536"/>
      <c r="D226" s="536"/>
      <c r="E226" s="82" t="s">
        <v>119</v>
      </c>
      <c r="F226" s="82" t="s">
        <v>120</v>
      </c>
      <c r="G226" s="160" t="s">
        <v>124</v>
      </c>
      <c r="H226" s="626" t="s">
        <v>1643</v>
      </c>
      <c r="I226" s="627" t="s">
        <v>1991</v>
      </c>
      <c r="J226" s="538"/>
      <c r="K226" s="539"/>
      <c r="L226" s="538"/>
      <c r="M226" s="536"/>
      <c r="N226" s="539"/>
      <c r="O226" s="536"/>
      <c r="P226" s="536"/>
    </row>
    <row r="227">
      <c r="A227" s="536"/>
      <c r="B227" s="536"/>
      <c r="C227" s="536"/>
      <c r="D227" s="536"/>
      <c r="E227" s="82" t="s">
        <v>119</v>
      </c>
      <c r="F227" s="82" t="s">
        <v>120</v>
      </c>
      <c r="G227" s="160" t="s">
        <v>124</v>
      </c>
      <c r="H227" s="626" t="s">
        <v>1645</v>
      </c>
      <c r="I227" s="627" t="s">
        <v>1992</v>
      </c>
      <c r="J227" s="538"/>
      <c r="K227" s="539"/>
      <c r="L227" s="538"/>
      <c r="M227" s="536"/>
      <c r="N227" s="539"/>
      <c r="O227" s="536"/>
      <c r="P227" s="536"/>
    </row>
    <row r="228">
      <c r="A228" s="536"/>
      <c r="B228" s="536"/>
      <c r="C228" s="536"/>
      <c r="D228" s="536"/>
      <c r="E228" s="82" t="s">
        <v>119</v>
      </c>
      <c r="F228" s="82" t="s">
        <v>120</v>
      </c>
      <c r="G228" s="160" t="s">
        <v>124</v>
      </c>
      <c r="H228" s="626" t="s">
        <v>1638</v>
      </c>
      <c r="I228" s="627" t="s">
        <v>1993</v>
      </c>
      <c r="J228" s="538"/>
      <c r="K228" s="539"/>
      <c r="L228" s="538"/>
      <c r="M228" s="536"/>
      <c r="N228" s="539"/>
      <c r="O228" s="536"/>
      <c r="P228" s="536"/>
    </row>
    <row r="229">
      <c r="A229" s="536"/>
      <c r="B229" s="536"/>
      <c r="C229" s="210"/>
      <c r="D229" s="210"/>
      <c r="E229" s="82" t="s">
        <v>119</v>
      </c>
      <c r="F229" s="82" t="s">
        <v>120</v>
      </c>
      <c r="G229" s="160" t="s">
        <v>124</v>
      </c>
      <c r="H229" s="626" t="s">
        <v>1648</v>
      </c>
      <c r="I229" s="627" t="s">
        <v>1994</v>
      </c>
      <c r="J229" s="213"/>
      <c r="K229" s="440"/>
      <c r="L229" s="213"/>
      <c r="M229" s="210"/>
      <c r="N229" s="440"/>
      <c r="O229" s="210"/>
      <c r="P229" s="210"/>
    </row>
    <row r="230">
      <c r="A230" s="536"/>
      <c r="B230" s="536"/>
      <c r="C230" s="100">
        <v>3.0</v>
      </c>
      <c r="D230" s="58" t="s">
        <v>227</v>
      </c>
      <c r="E230" s="82" t="s">
        <v>119</v>
      </c>
      <c r="F230" s="82" t="s">
        <v>120</v>
      </c>
      <c r="G230" s="160" t="s">
        <v>124</v>
      </c>
      <c r="H230" s="626" t="s">
        <v>1636</v>
      </c>
      <c r="I230" s="627" t="s">
        <v>1995</v>
      </c>
      <c r="J230" s="631" t="s">
        <v>1638</v>
      </c>
      <c r="K230" s="632" t="s">
        <v>2143</v>
      </c>
      <c r="L230" s="633">
        <v>3.0</v>
      </c>
      <c r="M230" s="100" t="s">
        <v>301</v>
      </c>
      <c r="N230" s="634">
        <v>3.0</v>
      </c>
      <c r="O230" s="100" t="s">
        <v>1121</v>
      </c>
      <c r="P230" s="625" t="s">
        <v>2144</v>
      </c>
    </row>
    <row r="231">
      <c r="A231" s="536"/>
      <c r="B231" s="536"/>
      <c r="C231" s="536"/>
      <c r="D231" s="536"/>
      <c r="E231" s="82" t="s">
        <v>119</v>
      </c>
      <c r="F231" s="82" t="s">
        <v>120</v>
      </c>
      <c r="G231" s="160" t="s">
        <v>124</v>
      </c>
      <c r="H231" s="626" t="s">
        <v>1643</v>
      </c>
      <c r="I231" s="627" t="s">
        <v>1998</v>
      </c>
      <c r="J231" s="538"/>
      <c r="K231" s="539"/>
      <c r="L231" s="538"/>
      <c r="M231" s="536"/>
      <c r="N231" s="539"/>
      <c r="O231" s="536"/>
      <c r="P231" s="536"/>
    </row>
    <row r="232">
      <c r="A232" s="536"/>
      <c r="B232" s="536"/>
      <c r="C232" s="536"/>
      <c r="D232" s="536"/>
      <c r="E232" s="82" t="s">
        <v>119</v>
      </c>
      <c r="F232" s="82" t="s">
        <v>120</v>
      </c>
      <c r="G232" s="160" t="s">
        <v>124</v>
      </c>
      <c r="H232" s="626" t="s">
        <v>1645</v>
      </c>
      <c r="I232" s="627" t="s">
        <v>1999</v>
      </c>
      <c r="J232" s="538"/>
      <c r="K232" s="539"/>
      <c r="L232" s="538"/>
      <c r="M232" s="536"/>
      <c r="N232" s="539"/>
      <c r="O232" s="536"/>
      <c r="P232" s="536"/>
    </row>
    <row r="233">
      <c r="A233" s="536"/>
      <c r="B233" s="536"/>
      <c r="C233" s="536"/>
      <c r="D233" s="536"/>
      <c r="E233" s="82" t="s">
        <v>119</v>
      </c>
      <c r="F233" s="82" t="s">
        <v>120</v>
      </c>
      <c r="G233" s="160" t="s">
        <v>124</v>
      </c>
      <c r="H233" s="626" t="s">
        <v>1638</v>
      </c>
      <c r="I233" s="627" t="s">
        <v>2000</v>
      </c>
      <c r="J233" s="538"/>
      <c r="K233" s="539"/>
      <c r="L233" s="538"/>
      <c r="M233" s="536"/>
      <c r="N233" s="539"/>
      <c r="O233" s="536"/>
      <c r="P233" s="536"/>
    </row>
    <row r="234">
      <c r="A234" s="210"/>
      <c r="B234" s="210"/>
      <c r="C234" s="210"/>
      <c r="D234" s="210"/>
      <c r="E234" s="82" t="s">
        <v>119</v>
      </c>
      <c r="F234" s="82" t="s">
        <v>120</v>
      </c>
      <c r="G234" s="160" t="s">
        <v>124</v>
      </c>
      <c r="H234" s="626" t="s">
        <v>1648</v>
      </c>
      <c r="I234" s="627" t="s">
        <v>2001</v>
      </c>
      <c r="J234" s="213"/>
      <c r="K234" s="440"/>
      <c r="L234" s="213"/>
      <c r="M234" s="210"/>
      <c r="N234" s="440"/>
      <c r="O234" s="210"/>
      <c r="P234" s="210"/>
    </row>
    <row r="235" ht="15.75" customHeight="1">
      <c r="A235" s="144" t="s">
        <v>228</v>
      </c>
      <c r="B235" s="143" t="s">
        <v>229</v>
      </c>
      <c r="C235" s="62"/>
      <c r="D235" s="62"/>
      <c r="E235" s="62"/>
      <c r="F235" s="62"/>
      <c r="G235" s="62"/>
      <c r="H235" s="62"/>
      <c r="I235" s="63"/>
      <c r="J235" s="144"/>
      <c r="K235" s="144"/>
      <c r="L235" s="613">
        <f>AVERAGE(L236:L245)</f>
        <v>3</v>
      </c>
      <c r="M235" s="614"/>
      <c r="N235" s="615"/>
      <c r="O235" s="144"/>
      <c r="P235" s="54"/>
    </row>
    <row r="236">
      <c r="A236" s="100"/>
      <c r="B236" s="58"/>
      <c r="C236" s="100">
        <v>1.0</v>
      </c>
      <c r="D236" s="58" t="s">
        <v>2145</v>
      </c>
      <c r="E236" s="82" t="s">
        <v>119</v>
      </c>
      <c r="F236" s="150" t="s">
        <v>124</v>
      </c>
      <c r="G236" s="150" t="s">
        <v>124</v>
      </c>
      <c r="H236" s="168" t="s">
        <v>1636</v>
      </c>
      <c r="I236" s="620" t="s">
        <v>2002</v>
      </c>
      <c r="J236" s="621" t="s">
        <v>1638</v>
      </c>
      <c r="K236" s="622" t="s">
        <v>2146</v>
      </c>
      <c r="L236" s="623">
        <v>3.0</v>
      </c>
      <c r="M236" s="100" t="s">
        <v>301</v>
      </c>
      <c r="N236" s="624">
        <v>3.0</v>
      </c>
      <c r="O236" s="100" t="s">
        <v>1121</v>
      </c>
      <c r="P236" s="625" t="s">
        <v>2147</v>
      </c>
    </row>
    <row r="237">
      <c r="A237" s="536"/>
      <c r="B237" s="536"/>
      <c r="C237" s="536"/>
      <c r="D237" s="536"/>
      <c r="E237" s="82" t="s">
        <v>119</v>
      </c>
      <c r="F237" s="150" t="s">
        <v>124</v>
      </c>
      <c r="G237" s="150" t="s">
        <v>124</v>
      </c>
      <c r="H237" s="626" t="s">
        <v>1643</v>
      </c>
      <c r="I237" s="652" t="s">
        <v>2007</v>
      </c>
      <c r="J237" s="538"/>
      <c r="K237" s="539"/>
      <c r="L237" s="538"/>
      <c r="M237" s="536"/>
      <c r="N237" s="539"/>
      <c r="O237" s="536"/>
      <c r="P237" s="536"/>
    </row>
    <row r="238">
      <c r="A238" s="536"/>
      <c r="B238" s="536"/>
      <c r="C238" s="536"/>
      <c r="D238" s="536"/>
      <c r="E238" s="82" t="s">
        <v>119</v>
      </c>
      <c r="F238" s="150" t="s">
        <v>124</v>
      </c>
      <c r="G238" s="150" t="s">
        <v>124</v>
      </c>
      <c r="H238" s="626" t="s">
        <v>1645</v>
      </c>
      <c r="I238" s="627" t="s">
        <v>2008</v>
      </c>
      <c r="J238" s="538"/>
      <c r="K238" s="539"/>
      <c r="L238" s="538"/>
      <c r="M238" s="536"/>
      <c r="N238" s="539"/>
      <c r="O238" s="536"/>
      <c r="P238" s="536"/>
    </row>
    <row r="239">
      <c r="A239" s="536"/>
      <c r="B239" s="536"/>
      <c r="C239" s="536"/>
      <c r="D239" s="536"/>
      <c r="E239" s="82" t="s">
        <v>119</v>
      </c>
      <c r="F239" s="150" t="s">
        <v>124</v>
      </c>
      <c r="G239" s="150" t="s">
        <v>124</v>
      </c>
      <c r="H239" s="626" t="s">
        <v>1638</v>
      </c>
      <c r="I239" s="627" t="s">
        <v>2009</v>
      </c>
      <c r="J239" s="538"/>
      <c r="K239" s="539"/>
      <c r="L239" s="538"/>
      <c r="M239" s="536"/>
      <c r="N239" s="539"/>
      <c r="O239" s="536"/>
      <c r="P239" s="536"/>
    </row>
    <row r="240" ht="115.5" customHeight="1">
      <c r="A240" s="536"/>
      <c r="B240" s="536"/>
      <c r="C240" s="210"/>
      <c r="D240" s="210"/>
      <c r="E240" s="82" t="s">
        <v>119</v>
      </c>
      <c r="F240" s="150" t="s">
        <v>124</v>
      </c>
      <c r="G240" s="150" t="s">
        <v>124</v>
      </c>
      <c r="H240" s="626" t="s">
        <v>1648</v>
      </c>
      <c r="I240" s="627" t="s">
        <v>2010</v>
      </c>
      <c r="J240" s="213"/>
      <c r="K240" s="440"/>
      <c r="L240" s="213"/>
      <c r="M240" s="210"/>
      <c r="N240" s="440"/>
      <c r="O240" s="210"/>
      <c r="P240" s="210"/>
    </row>
    <row r="241">
      <c r="A241" s="536"/>
      <c r="B241" s="536"/>
      <c r="C241" s="100">
        <v>2.0</v>
      </c>
      <c r="D241" s="58" t="s">
        <v>231</v>
      </c>
      <c r="E241" s="82" t="s">
        <v>119</v>
      </c>
      <c r="F241" s="82" t="s">
        <v>120</v>
      </c>
      <c r="G241" s="160" t="s">
        <v>124</v>
      </c>
      <c r="H241" s="626" t="s">
        <v>1636</v>
      </c>
      <c r="I241" s="627" t="s">
        <v>2011</v>
      </c>
      <c r="J241" s="631" t="s">
        <v>1638</v>
      </c>
      <c r="K241" s="654" t="s">
        <v>2148</v>
      </c>
      <c r="L241" s="633">
        <v>3.0</v>
      </c>
      <c r="M241" s="100"/>
      <c r="N241" s="634">
        <v>2.0</v>
      </c>
      <c r="O241" s="100" t="s">
        <v>2149</v>
      </c>
      <c r="P241" s="640" t="s">
        <v>2150</v>
      </c>
    </row>
    <row r="242">
      <c r="A242" s="536"/>
      <c r="B242" s="536"/>
      <c r="C242" s="536"/>
      <c r="D242" s="536"/>
      <c r="E242" s="82" t="s">
        <v>119</v>
      </c>
      <c r="F242" s="82" t="s">
        <v>120</v>
      </c>
      <c r="G242" s="160" t="s">
        <v>124</v>
      </c>
      <c r="H242" s="626" t="s">
        <v>1643</v>
      </c>
      <c r="I242" s="627" t="s">
        <v>2014</v>
      </c>
      <c r="J242" s="538"/>
      <c r="K242" s="539"/>
      <c r="L242" s="538"/>
      <c r="M242" s="536"/>
      <c r="N242" s="539"/>
      <c r="O242" s="536"/>
      <c r="P242" s="536"/>
    </row>
    <row r="243">
      <c r="A243" s="536"/>
      <c r="B243" s="536"/>
      <c r="C243" s="536"/>
      <c r="D243" s="536"/>
      <c r="E243" s="82" t="s">
        <v>119</v>
      </c>
      <c r="F243" s="82" t="s">
        <v>120</v>
      </c>
      <c r="G243" s="160" t="s">
        <v>124</v>
      </c>
      <c r="H243" s="626" t="s">
        <v>1645</v>
      </c>
      <c r="I243" s="627" t="s">
        <v>2015</v>
      </c>
      <c r="J243" s="538"/>
      <c r="K243" s="539"/>
      <c r="L243" s="538"/>
      <c r="M243" s="536"/>
      <c r="N243" s="539"/>
      <c r="O243" s="536"/>
      <c r="P243" s="536"/>
    </row>
    <row r="244">
      <c r="A244" s="536"/>
      <c r="B244" s="536"/>
      <c r="C244" s="536"/>
      <c r="D244" s="536"/>
      <c r="E244" s="82" t="s">
        <v>119</v>
      </c>
      <c r="F244" s="82" t="s">
        <v>120</v>
      </c>
      <c r="G244" s="160" t="s">
        <v>124</v>
      </c>
      <c r="H244" s="626" t="s">
        <v>1638</v>
      </c>
      <c r="I244" s="627" t="s">
        <v>2016</v>
      </c>
      <c r="J244" s="538"/>
      <c r="K244" s="539"/>
      <c r="L244" s="538"/>
      <c r="M244" s="536"/>
      <c r="N244" s="539"/>
      <c r="O244" s="536"/>
      <c r="P244" s="536"/>
    </row>
    <row r="245">
      <c r="A245" s="210"/>
      <c r="B245" s="210"/>
      <c r="C245" s="210"/>
      <c r="D245" s="210"/>
      <c r="E245" s="82" t="s">
        <v>119</v>
      </c>
      <c r="F245" s="82" t="s">
        <v>120</v>
      </c>
      <c r="G245" s="160" t="s">
        <v>124</v>
      </c>
      <c r="H245" s="655" t="s">
        <v>1648</v>
      </c>
      <c r="I245" s="656" t="s">
        <v>2017</v>
      </c>
      <c r="J245" s="213"/>
      <c r="K245" s="440"/>
      <c r="L245" s="213"/>
      <c r="M245" s="210"/>
      <c r="N245" s="440"/>
      <c r="O245" s="210"/>
      <c r="P245" s="210"/>
    </row>
    <row r="246" ht="15.75" customHeight="1">
      <c r="A246" s="9"/>
      <c r="B246" s="8"/>
      <c r="C246" s="8"/>
      <c r="D246" s="8"/>
      <c r="E246" s="8"/>
      <c r="F246" s="8"/>
      <c r="G246" s="9"/>
      <c r="H246" s="657"/>
      <c r="I246" s="8"/>
      <c r="J246" s="177"/>
      <c r="K246" s="177"/>
      <c r="L246" s="177"/>
      <c r="M246" s="8">
        <f t="shared" ref="M246:O246" si="1">SUM(M6:M245)</f>
        <v>0</v>
      </c>
      <c r="N246" s="8">
        <f t="shared" si="1"/>
        <v>135</v>
      </c>
      <c r="O246" s="8">
        <f t="shared" si="1"/>
        <v>0</v>
      </c>
    </row>
    <row r="247">
      <c r="H247" s="182"/>
    </row>
    <row r="248">
      <c r="H248" s="182"/>
    </row>
    <row r="249">
      <c r="H249" s="182"/>
    </row>
    <row r="250">
      <c r="H250" s="182"/>
    </row>
    <row r="251">
      <c r="H251" s="182"/>
    </row>
    <row r="252">
      <c r="H252" s="182"/>
    </row>
    <row r="253">
      <c r="H253" s="182"/>
    </row>
    <row r="254">
      <c r="H254" s="182"/>
    </row>
    <row r="255">
      <c r="H255" s="182"/>
    </row>
    <row r="256">
      <c r="H256" s="182"/>
    </row>
    <row r="257">
      <c r="H257" s="182"/>
    </row>
    <row r="258">
      <c r="H258" s="182"/>
    </row>
    <row r="259">
      <c r="H259" s="182"/>
    </row>
    <row r="260">
      <c r="H260" s="182"/>
    </row>
    <row r="261">
      <c r="H261" s="182"/>
    </row>
    <row r="262">
      <c r="H262" s="182"/>
    </row>
    <row r="263">
      <c r="H263" s="182"/>
    </row>
    <row r="264">
      <c r="H264" s="182"/>
    </row>
    <row r="265">
      <c r="H265" s="182"/>
    </row>
    <row r="266">
      <c r="H266" s="182"/>
    </row>
    <row r="267">
      <c r="H267" s="182"/>
    </row>
    <row r="268">
      <c r="H268" s="182"/>
    </row>
    <row r="269">
      <c r="H269" s="182"/>
    </row>
    <row r="270">
      <c r="H270" s="182"/>
    </row>
    <row r="271">
      <c r="H271" s="182"/>
    </row>
    <row r="272">
      <c r="H272" s="182"/>
    </row>
    <row r="273">
      <c r="H273" s="182"/>
    </row>
    <row r="274">
      <c r="H274" s="182"/>
    </row>
    <row r="275">
      <c r="H275" s="182"/>
    </row>
    <row r="276">
      <c r="H276" s="182"/>
    </row>
    <row r="277">
      <c r="H277" s="182"/>
    </row>
    <row r="278">
      <c r="H278" s="182"/>
    </row>
    <row r="279">
      <c r="H279" s="182"/>
    </row>
    <row r="280">
      <c r="H280" s="182"/>
    </row>
    <row r="281">
      <c r="H281" s="182"/>
    </row>
    <row r="282">
      <c r="H282" s="182"/>
    </row>
    <row r="283">
      <c r="H283" s="182"/>
    </row>
    <row r="284">
      <c r="H284" s="182"/>
    </row>
    <row r="285">
      <c r="H285" s="182"/>
    </row>
    <row r="286">
      <c r="H286" s="182"/>
    </row>
    <row r="287">
      <c r="H287" s="182"/>
    </row>
    <row r="288">
      <c r="H288" s="182"/>
    </row>
    <row r="289">
      <c r="H289" s="182"/>
    </row>
    <row r="290">
      <c r="H290" s="182"/>
    </row>
    <row r="291">
      <c r="H291" s="182"/>
    </row>
    <row r="292">
      <c r="H292" s="182"/>
    </row>
    <row r="293">
      <c r="H293" s="182"/>
    </row>
    <row r="294">
      <c r="H294" s="182"/>
    </row>
    <row r="295">
      <c r="H295" s="182"/>
    </row>
    <row r="296">
      <c r="H296" s="182"/>
    </row>
    <row r="297">
      <c r="H297" s="182"/>
    </row>
    <row r="298">
      <c r="H298" s="182"/>
    </row>
    <row r="299">
      <c r="H299" s="182"/>
    </row>
    <row r="300">
      <c r="H300" s="182"/>
    </row>
    <row r="301">
      <c r="H301" s="182"/>
    </row>
    <row r="302">
      <c r="H302" s="182"/>
    </row>
    <row r="303">
      <c r="H303" s="182"/>
    </row>
    <row r="304">
      <c r="H304" s="182"/>
    </row>
    <row r="305">
      <c r="H305" s="182"/>
    </row>
    <row r="306">
      <c r="H306" s="182"/>
    </row>
    <row r="307">
      <c r="H307" s="182"/>
    </row>
    <row r="308">
      <c r="H308" s="182"/>
    </row>
    <row r="309">
      <c r="H309" s="182"/>
    </row>
    <row r="310">
      <c r="H310" s="182"/>
    </row>
    <row r="311">
      <c r="H311" s="182"/>
    </row>
    <row r="312">
      <c r="H312" s="182"/>
    </row>
    <row r="313">
      <c r="H313" s="182"/>
    </row>
    <row r="314">
      <c r="H314" s="182"/>
    </row>
    <row r="315">
      <c r="H315" s="182"/>
    </row>
    <row r="316">
      <c r="H316" s="182"/>
    </row>
    <row r="317">
      <c r="H317" s="182"/>
    </row>
    <row r="318">
      <c r="H318" s="182"/>
    </row>
    <row r="319">
      <c r="H319" s="182"/>
    </row>
    <row r="320">
      <c r="H320" s="182"/>
    </row>
    <row r="321">
      <c r="H321" s="182"/>
    </row>
    <row r="322">
      <c r="H322" s="182"/>
    </row>
    <row r="323">
      <c r="H323" s="182"/>
    </row>
    <row r="324">
      <c r="H324" s="182"/>
    </row>
    <row r="325">
      <c r="H325" s="182"/>
    </row>
    <row r="326">
      <c r="H326" s="182"/>
    </row>
    <row r="327">
      <c r="H327" s="182"/>
    </row>
    <row r="328">
      <c r="H328" s="182"/>
    </row>
    <row r="329">
      <c r="H329" s="182"/>
    </row>
    <row r="330">
      <c r="H330" s="182"/>
    </row>
    <row r="331">
      <c r="H331" s="182"/>
    </row>
    <row r="332">
      <c r="H332" s="182"/>
    </row>
    <row r="333">
      <c r="H333" s="182"/>
    </row>
    <row r="334">
      <c r="H334" s="182"/>
    </row>
    <row r="335">
      <c r="H335" s="182"/>
    </row>
    <row r="336">
      <c r="H336" s="182"/>
    </row>
    <row r="337">
      <c r="H337" s="182"/>
    </row>
    <row r="338">
      <c r="H338" s="182"/>
    </row>
    <row r="339">
      <c r="H339" s="182"/>
    </row>
    <row r="340">
      <c r="H340" s="182"/>
    </row>
    <row r="341">
      <c r="H341" s="182"/>
    </row>
    <row r="342">
      <c r="H342" s="182"/>
    </row>
    <row r="343">
      <c r="H343" s="182"/>
    </row>
    <row r="344">
      <c r="H344" s="182"/>
    </row>
    <row r="345">
      <c r="H345" s="182"/>
    </row>
    <row r="346">
      <c r="H346" s="182"/>
    </row>
    <row r="347">
      <c r="H347" s="182"/>
    </row>
    <row r="348">
      <c r="H348" s="182"/>
    </row>
    <row r="349">
      <c r="H349" s="182"/>
    </row>
    <row r="350">
      <c r="H350" s="182"/>
    </row>
    <row r="351">
      <c r="H351" s="182"/>
    </row>
    <row r="352">
      <c r="H352" s="182"/>
    </row>
    <row r="353">
      <c r="H353" s="182"/>
    </row>
    <row r="354">
      <c r="H354" s="182"/>
    </row>
    <row r="355">
      <c r="H355" s="182"/>
    </row>
    <row r="356">
      <c r="H356" s="182"/>
    </row>
    <row r="357">
      <c r="H357" s="182"/>
    </row>
    <row r="358">
      <c r="H358" s="182"/>
    </row>
    <row r="359">
      <c r="H359" s="182"/>
    </row>
    <row r="360">
      <c r="H360" s="182"/>
    </row>
    <row r="361">
      <c r="H361" s="182"/>
    </row>
    <row r="362">
      <c r="H362" s="182"/>
    </row>
    <row r="363">
      <c r="H363" s="182"/>
    </row>
    <row r="364">
      <c r="H364" s="182"/>
    </row>
    <row r="365">
      <c r="H365" s="182"/>
    </row>
    <row r="366">
      <c r="H366" s="182"/>
    </row>
    <row r="367">
      <c r="H367" s="182"/>
    </row>
    <row r="368">
      <c r="H368" s="182"/>
    </row>
    <row r="369">
      <c r="H369" s="182"/>
    </row>
    <row r="370">
      <c r="H370" s="182"/>
    </row>
    <row r="371">
      <c r="H371" s="182"/>
    </row>
    <row r="372">
      <c r="H372" s="182"/>
    </row>
    <row r="373">
      <c r="H373" s="182"/>
    </row>
    <row r="374">
      <c r="H374" s="182"/>
    </row>
    <row r="375">
      <c r="H375" s="182"/>
    </row>
    <row r="376">
      <c r="H376" s="182"/>
    </row>
    <row r="377">
      <c r="H377" s="182"/>
    </row>
    <row r="378">
      <c r="H378" s="182"/>
    </row>
    <row r="379">
      <c r="H379" s="182"/>
    </row>
    <row r="380">
      <c r="H380" s="182"/>
    </row>
    <row r="381">
      <c r="H381" s="182"/>
    </row>
    <row r="382">
      <c r="H382" s="182"/>
    </row>
    <row r="383">
      <c r="H383" s="182"/>
    </row>
    <row r="384">
      <c r="H384" s="182"/>
    </row>
    <row r="385">
      <c r="H385" s="182"/>
    </row>
    <row r="386">
      <c r="H386" s="182"/>
    </row>
    <row r="387">
      <c r="H387" s="182"/>
    </row>
    <row r="388">
      <c r="H388" s="182"/>
    </row>
    <row r="389">
      <c r="H389" s="182"/>
    </row>
    <row r="390">
      <c r="H390" s="182"/>
    </row>
    <row r="391">
      <c r="H391" s="182"/>
    </row>
    <row r="392">
      <c r="H392" s="182"/>
    </row>
    <row r="393">
      <c r="H393" s="182"/>
    </row>
    <row r="394">
      <c r="H394" s="182"/>
    </row>
    <row r="395">
      <c r="H395" s="182"/>
    </row>
    <row r="396">
      <c r="H396" s="182"/>
    </row>
    <row r="397">
      <c r="H397" s="182"/>
    </row>
    <row r="398">
      <c r="H398" s="182"/>
    </row>
    <row r="399">
      <c r="H399" s="182"/>
    </row>
    <row r="400">
      <c r="H400" s="182"/>
    </row>
    <row r="401">
      <c r="H401" s="182"/>
    </row>
    <row r="402">
      <c r="H402" s="182"/>
    </row>
    <row r="403">
      <c r="H403" s="182"/>
    </row>
    <row r="404">
      <c r="H404" s="182"/>
    </row>
    <row r="405">
      <c r="H405" s="182"/>
    </row>
    <row r="406">
      <c r="H406" s="182"/>
    </row>
    <row r="407">
      <c r="H407" s="182"/>
    </row>
    <row r="408">
      <c r="H408" s="182"/>
    </row>
    <row r="409">
      <c r="H409" s="182"/>
    </row>
    <row r="410">
      <c r="H410" s="182"/>
    </row>
    <row r="411">
      <c r="H411" s="182"/>
    </row>
    <row r="412">
      <c r="H412" s="182"/>
    </row>
    <row r="413">
      <c r="H413" s="182"/>
    </row>
    <row r="414">
      <c r="H414" s="182"/>
    </row>
    <row r="415">
      <c r="H415" s="182"/>
    </row>
    <row r="416">
      <c r="H416" s="182"/>
    </row>
    <row r="417">
      <c r="H417" s="182"/>
    </row>
    <row r="418">
      <c r="H418" s="182"/>
    </row>
    <row r="419">
      <c r="H419" s="182"/>
    </row>
    <row r="420">
      <c r="H420" s="182"/>
    </row>
    <row r="421">
      <c r="H421" s="182"/>
    </row>
    <row r="422">
      <c r="H422" s="182"/>
    </row>
    <row r="423">
      <c r="H423" s="182"/>
    </row>
    <row r="424">
      <c r="H424" s="182"/>
    </row>
    <row r="425">
      <c r="H425" s="182"/>
    </row>
    <row r="426">
      <c r="H426" s="182"/>
    </row>
    <row r="427">
      <c r="H427" s="182"/>
    </row>
    <row r="428">
      <c r="H428" s="182"/>
    </row>
    <row r="429">
      <c r="H429" s="182"/>
    </row>
    <row r="430">
      <c r="H430" s="182"/>
    </row>
    <row r="431">
      <c r="H431" s="182"/>
    </row>
    <row r="432">
      <c r="H432" s="182"/>
    </row>
    <row r="433">
      <c r="H433" s="182"/>
    </row>
    <row r="434">
      <c r="H434" s="182"/>
    </row>
    <row r="435">
      <c r="H435" s="182"/>
    </row>
    <row r="436">
      <c r="H436" s="182"/>
    </row>
    <row r="437">
      <c r="H437" s="182"/>
    </row>
    <row r="438">
      <c r="H438" s="182"/>
    </row>
    <row r="439">
      <c r="H439" s="182"/>
    </row>
    <row r="440">
      <c r="H440" s="182"/>
    </row>
    <row r="441">
      <c r="H441" s="182"/>
    </row>
    <row r="442">
      <c r="H442" s="182"/>
    </row>
    <row r="443">
      <c r="H443" s="182"/>
    </row>
    <row r="444">
      <c r="H444" s="182"/>
    </row>
    <row r="445">
      <c r="H445" s="182"/>
    </row>
    <row r="446">
      <c r="H446" s="182"/>
    </row>
    <row r="447">
      <c r="H447" s="182"/>
    </row>
    <row r="448">
      <c r="H448" s="182"/>
    </row>
    <row r="449">
      <c r="H449" s="182"/>
    </row>
    <row r="450">
      <c r="H450" s="182"/>
    </row>
    <row r="451">
      <c r="H451" s="182"/>
    </row>
    <row r="452">
      <c r="H452" s="182"/>
    </row>
    <row r="453">
      <c r="H453" s="182"/>
    </row>
    <row r="454">
      <c r="H454" s="182"/>
    </row>
    <row r="455">
      <c r="H455" s="182"/>
    </row>
    <row r="456">
      <c r="H456" s="182"/>
    </row>
    <row r="457">
      <c r="H457" s="182"/>
    </row>
    <row r="458">
      <c r="H458" s="182"/>
    </row>
    <row r="459">
      <c r="H459" s="182"/>
    </row>
    <row r="460">
      <c r="H460" s="182"/>
    </row>
    <row r="461">
      <c r="H461" s="182"/>
    </row>
    <row r="462">
      <c r="H462" s="182"/>
    </row>
    <row r="463">
      <c r="H463" s="182"/>
    </row>
    <row r="464">
      <c r="H464" s="182"/>
    </row>
    <row r="465">
      <c r="H465" s="182"/>
    </row>
    <row r="466">
      <c r="H466" s="182"/>
    </row>
    <row r="467">
      <c r="H467" s="182"/>
    </row>
    <row r="468">
      <c r="H468" s="182"/>
    </row>
    <row r="469">
      <c r="H469" s="182"/>
    </row>
    <row r="470">
      <c r="H470" s="182"/>
    </row>
    <row r="471">
      <c r="H471" s="182"/>
    </row>
    <row r="472">
      <c r="H472" s="182"/>
    </row>
    <row r="473">
      <c r="H473" s="182"/>
    </row>
    <row r="474">
      <c r="H474" s="182"/>
    </row>
    <row r="475">
      <c r="H475" s="182"/>
    </row>
    <row r="476">
      <c r="H476" s="182"/>
    </row>
    <row r="477">
      <c r="H477" s="182"/>
    </row>
    <row r="478">
      <c r="H478" s="182"/>
    </row>
    <row r="479">
      <c r="H479" s="182"/>
    </row>
    <row r="480">
      <c r="H480" s="182"/>
    </row>
    <row r="481">
      <c r="H481" s="182"/>
    </row>
    <row r="482">
      <c r="H482" s="182"/>
    </row>
    <row r="483">
      <c r="H483" s="182"/>
    </row>
    <row r="484">
      <c r="H484" s="182"/>
    </row>
    <row r="485">
      <c r="H485" s="182"/>
    </row>
    <row r="486">
      <c r="H486" s="182"/>
    </row>
    <row r="487">
      <c r="H487" s="182"/>
    </row>
    <row r="488">
      <c r="H488" s="182"/>
    </row>
    <row r="489">
      <c r="H489" s="182"/>
    </row>
    <row r="490">
      <c r="H490" s="182"/>
    </row>
    <row r="491">
      <c r="H491" s="182"/>
    </row>
    <row r="492">
      <c r="H492" s="182"/>
    </row>
    <row r="493">
      <c r="H493" s="182"/>
    </row>
    <row r="494">
      <c r="H494" s="182"/>
    </row>
    <row r="495">
      <c r="H495" s="182"/>
    </row>
    <row r="496">
      <c r="H496" s="182"/>
    </row>
    <row r="497">
      <c r="H497" s="182"/>
    </row>
    <row r="498">
      <c r="H498" s="182"/>
    </row>
    <row r="499">
      <c r="H499" s="182"/>
    </row>
    <row r="500">
      <c r="H500" s="182"/>
    </row>
    <row r="501">
      <c r="H501" s="182"/>
    </row>
    <row r="502">
      <c r="H502" s="182"/>
    </row>
    <row r="503">
      <c r="H503" s="182"/>
    </row>
    <row r="504">
      <c r="H504" s="182"/>
    </row>
    <row r="505">
      <c r="H505" s="182"/>
    </row>
    <row r="506">
      <c r="H506" s="182"/>
    </row>
    <row r="507">
      <c r="H507" s="182"/>
    </row>
    <row r="508">
      <c r="H508" s="182"/>
    </row>
    <row r="509">
      <c r="H509" s="182"/>
    </row>
    <row r="510">
      <c r="H510" s="182"/>
    </row>
    <row r="511">
      <c r="H511" s="182"/>
    </row>
    <row r="512">
      <c r="H512" s="182"/>
    </row>
    <row r="513">
      <c r="H513" s="182"/>
    </row>
    <row r="514">
      <c r="H514" s="182"/>
    </row>
    <row r="515">
      <c r="H515" s="182"/>
    </row>
    <row r="516">
      <c r="H516" s="182"/>
    </row>
    <row r="517">
      <c r="H517" s="182"/>
    </row>
    <row r="518">
      <c r="H518" s="182"/>
    </row>
    <row r="519">
      <c r="H519" s="182"/>
    </row>
    <row r="520">
      <c r="H520" s="182"/>
    </row>
    <row r="521">
      <c r="H521" s="182"/>
    </row>
    <row r="522">
      <c r="H522" s="182"/>
    </row>
    <row r="523">
      <c r="H523" s="182"/>
    </row>
    <row r="524">
      <c r="H524" s="182"/>
    </row>
    <row r="525">
      <c r="H525" s="182"/>
    </row>
    <row r="526">
      <c r="H526" s="182"/>
    </row>
    <row r="527">
      <c r="H527" s="182"/>
    </row>
    <row r="528">
      <c r="H528" s="182"/>
    </row>
    <row r="529">
      <c r="H529" s="182"/>
    </row>
    <row r="530">
      <c r="H530" s="182"/>
    </row>
    <row r="531">
      <c r="H531" s="182"/>
    </row>
    <row r="532">
      <c r="H532" s="182"/>
    </row>
    <row r="533">
      <c r="H533" s="182"/>
    </row>
    <row r="534">
      <c r="H534" s="182"/>
    </row>
    <row r="535">
      <c r="H535" s="182"/>
    </row>
    <row r="536">
      <c r="H536" s="182"/>
    </row>
    <row r="537">
      <c r="H537" s="182"/>
    </row>
    <row r="538">
      <c r="H538" s="182"/>
    </row>
    <row r="539">
      <c r="H539" s="182"/>
    </row>
    <row r="540">
      <c r="H540" s="182"/>
    </row>
    <row r="541">
      <c r="H541" s="182"/>
    </row>
    <row r="542">
      <c r="H542" s="182"/>
    </row>
    <row r="543">
      <c r="H543" s="182"/>
    </row>
    <row r="544">
      <c r="H544" s="182"/>
    </row>
    <row r="545">
      <c r="H545" s="182"/>
    </row>
    <row r="546">
      <c r="H546" s="182"/>
    </row>
    <row r="547">
      <c r="H547" s="182"/>
    </row>
    <row r="548">
      <c r="H548" s="182"/>
    </row>
    <row r="549">
      <c r="H549" s="182"/>
    </row>
    <row r="550">
      <c r="H550" s="182"/>
    </row>
    <row r="551">
      <c r="H551" s="182"/>
    </row>
    <row r="552">
      <c r="H552" s="182"/>
    </row>
    <row r="553">
      <c r="H553" s="182"/>
    </row>
    <row r="554">
      <c r="H554" s="182"/>
    </row>
    <row r="555">
      <c r="H555" s="182"/>
    </row>
    <row r="556">
      <c r="H556" s="182"/>
    </row>
    <row r="557">
      <c r="H557" s="182"/>
    </row>
    <row r="558">
      <c r="H558" s="182"/>
    </row>
    <row r="559">
      <c r="H559" s="182"/>
    </row>
    <row r="560">
      <c r="H560" s="182"/>
    </row>
    <row r="561">
      <c r="H561" s="182"/>
    </row>
    <row r="562">
      <c r="H562" s="182"/>
    </row>
    <row r="563">
      <c r="H563" s="182"/>
    </row>
    <row r="564">
      <c r="H564" s="182"/>
    </row>
    <row r="565">
      <c r="H565" s="182"/>
    </row>
    <row r="566">
      <c r="H566" s="182"/>
    </row>
    <row r="567">
      <c r="H567" s="182"/>
    </row>
    <row r="568">
      <c r="H568" s="182"/>
    </row>
    <row r="569">
      <c r="H569" s="182"/>
    </row>
    <row r="570">
      <c r="H570" s="182"/>
    </row>
    <row r="571">
      <c r="H571" s="182"/>
    </row>
    <row r="572">
      <c r="H572" s="182"/>
    </row>
    <row r="573">
      <c r="H573" s="182"/>
    </row>
    <row r="574">
      <c r="H574" s="182"/>
    </row>
    <row r="575">
      <c r="H575" s="182"/>
    </row>
    <row r="576">
      <c r="H576" s="182"/>
    </row>
    <row r="577">
      <c r="H577" s="182"/>
    </row>
    <row r="578">
      <c r="H578" s="182"/>
    </row>
    <row r="579">
      <c r="H579" s="182"/>
    </row>
    <row r="580">
      <c r="H580" s="182"/>
    </row>
    <row r="581">
      <c r="H581" s="182"/>
    </row>
    <row r="582">
      <c r="H582" s="182"/>
    </row>
    <row r="583">
      <c r="H583" s="182"/>
    </row>
    <row r="584">
      <c r="H584" s="182"/>
    </row>
    <row r="585">
      <c r="H585" s="182"/>
    </row>
    <row r="586">
      <c r="H586" s="182"/>
    </row>
    <row r="587">
      <c r="H587" s="182"/>
    </row>
    <row r="588">
      <c r="H588" s="182"/>
    </row>
    <row r="589">
      <c r="H589" s="182"/>
    </row>
    <row r="590">
      <c r="H590" s="182"/>
    </row>
    <row r="591">
      <c r="H591" s="182"/>
    </row>
    <row r="592">
      <c r="H592" s="182"/>
    </row>
    <row r="593">
      <c r="H593" s="182"/>
    </row>
    <row r="594">
      <c r="H594" s="182"/>
    </row>
    <row r="595">
      <c r="H595" s="182"/>
    </row>
    <row r="596">
      <c r="H596" s="182"/>
    </row>
    <row r="597">
      <c r="H597" s="182"/>
    </row>
    <row r="598">
      <c r="H598" s="182"/>
    </row>
    <row r="599">
      <c r="H599" s="182"/>
    </row>
    <row r="600">
      <c r="H600" s="182"/>
    </row>
    <row r="601">
      <c r="H601" s="182"/>
    </row>
    <row r="602">
      <c r="H602" s="182"/>
    </row>
    <row r="603">
      <c r="H603" s="182"/>
    </row>
    <row r="604">
      <c r="H604" s="182"/>
    </row>
    <row r="605">
      <c r="H605" s="182"/>
    </row>
    <row r="606">
      <c r="H606" s="182"/>
    </row>
    <row r="607">
      <c r="H607" s="182"/>
    </row>
    <row r="608">
      <c r="H608" s="182"/>
    </row>
    <row r="609">
      <c r="H609" s="182"/>
    </row>
    <row r="610">
      <c r="H610" s="182"/>
    </row>
    <row r="611">
      <c r="H611" s="182"/>
    </row>
    <row r="612">
      <c r="H612" s="182"/>
    </row>
    <row r="613">
      <c r="H613" s="182"/>
    </row>
    <row r="614">
      <c r="H614" s="182"/>
    </row>
    <row r="615">
      <c r="H615" s="182"/>
    </row>
    <row r="616">
      <c r="H616" s="182"/>
    </row>
    <row r="617">
      <c r="H617" s="182"/>
    </row>
    <row r="618">
      <c r="H618" s="182"/>
    </row>
    <row r="619">
      <c r="H619" s="182"/>
    </row>
    <row r="620">
      <c r="H620" s="182"/>
    </row>
    <row r="621">
      <c r="H621" s="182"/>
    </row>
    <row r="622">
      <c r="H622" s="182"/>
    </row>
    <row r="623">
      <c r="H623" s="182"/>
    </row>
    <row r="624">
      <c r="H624" s="182"/>
    </row>
    <row r="625">
      <c r="H625" s="182"/>
    </row>
    <row r="626">
      <c r="H626" s="182"/>
    </row>
    <row r="627">
      <c r="H627" s="182"/>
    </row>
    <row r="628">
      <c r="H628" s="182"/>
    </row>
    <row r="629">
      <c r="H629" s="182"/>
    </row>
    <row r="630">
      <c r="H630" s="182"/>
    </row>
    <row r="631">
      <c r="H631" s="182"/>
    </row>
    <row r="632">
      <c r="H632" s="182"/>
    </row>
    <row r="633">
      <c r="H633" s="182"/>
    </row>
    <row r="634">
      <c r="H634" s="182"/>
    </row>
    <row r="635">
      <c r="H635" s="182"/>
    </row>
    <row r="636">
      <c r="H636" s="182"/>
    </row>
    <row r="637">
      <c r="H637" s="182"/>
    </row>
    <row r="638">
      <c r="H638" s="182"/>
    </row>
    <row r="639">
      <c r="H639" s="182"/>
    </row>
    <row r="640">
      <c r="H640" s="182"/>
    </row>
    <row r="641">
      <c r="H641" s="182"/>
    </row>
    <row r="642">
      <c r="H642" s="182"/>
    </row>
    <row r="643">
      <c r="H643" s="182"/>
    </row>
    <row r="644">
      <c r="H644" s="182"/>
    </row>
    <row r="645">
      <c r="H645" s="182"/>
    </row>
    <row r="646">
      <c r="H646" s="182"/>
    </row>
    <row r="647">
      <c r="H647" s="182"/>
    </row>
    <row r="648">
      <c r="H648" s="182"/>
    </row>
    <row r="649">
      <c r="H649" s="182"/>
    </row>
    <row r="650">
      <c r="H650" s="182"/>
    </row>
    <row r="651">
      <c r="H651" s="182"/>
    </row>
    <row r="652">
      <c r="H652" s="182"/>
    </row>
    <row r="653">
      <c r="H653" s="182"/>
    </row>
    <row r="654">
      <c r="H654" s="182"/>
    </row>
    <row r="655">
      <c r="H655" s="182"/>
    </row>
    <row r="656">
      <c r="H656" s="182"/>
    </row>
    <row r="657">
      <c r="H657" s="182"/>
    </row>
    <row r="658">
      <c r="H658" s="182"/>
    </row>
    <row r="659">
      <c r="H659" s="182"/>
    </row>
    <row r="660">
      <c r="H660" s="182"/>
    </row>
    <row r="661">
      <c r="H661" s="182"/>
    </row>
    <row r="662">
      <c r="H662" s="182"/>
    </row>
    <row r="663">
      <c r="H663" s="182"/>
    </row>
    <row r="664">
      <c r="H664" s="182"/>
    </row>
    <row r="665">
      <c r="H665" s="182"/>
    </row>
    <row r="666">
      <c r="H666" s="182"/>
    </row>
    <row r="667">
      <c r="H667" s="182"/>
    </row>
    <row r="668">
      <c r="H668" s="182"/>
    </row>
    <row r="669">
      <c r="H669" s="182"/>
    </row>
    <row r="670">
      <c r="H670" s="182"/>
    </row>
    <row r="671">
      <c r="H671" s="182"/>
    </row>
    <row r="672">
      <c r="H672" s="182"/>
    </row>
    <row r="673">
      <c r="H673" s="182"/>
    </row>
    <row r="674">
      <c r="H674" s="182"/>
    </row>
    <row r="675">
      <c r="H675" s="182"/>
    </row>
    <row r="676">
      <c r="H676" s="182"/>
    </row>
    <row r="677">
      <c r="H677" s="182"/>
    </row>
    <row r="678">
      <c r="H678" s="182"/>
    </row>
    <row r="679">
      <c r="H679" s="182"/>
    </row>
    <row r="680">
      <c r="H680" s="182"/>
    </row>
    <row r="681">
      <c r="H681" s="182"/>
    </row>
    <row r="682">
      <c r="H682" s="182"/>
    </row>
    <row r="683">
      <c r="H683" s="182"/>
    </row>
    <row r="684">
      <c r="H684" s="182"/>
    </row>
    <row r="685">
      <c r="H685" s="182"/>
    </row>
    <row r="686">
      <c r="H686" s="182"/>
    </row>
    <row r="687">
      <c r="H687" s="182"/>
    </row>
    <row r="688">
      <c r="H688" s="182"/>
    </row>
    <row r="689">
      <c r="H689" s="182"/>
    </row>
    <row r="690">
      <c r="H690" s="182"/>
    </row>
    <row r="691">
      <c r="H691" s="182"/>
    </row>
    <row r="692">
      <c r="H692" s="182"/>
    </row>
    <row r="693">
      <c r="H693" s="182"/>
    </row>
    <row r="694">
      <c r="H694" s="182"/>
    </row>
    <row r="695">
      <c r="H695" s="182"/>
    </row>
    <row r="696">
      <c r="H696" s="182"/>
    </row>
    <row r="697">
      <c r="H697" s="182"/>
    </row>
    <row r="698">
      <c r="H698" s="182"/>
    </row>
    <row r="699">
      <c r="H699" s="182"/>
    </row>
    <row r="700">
      <c r="H700" s="182"/>
    </row>
    <row r="701">
      <c r="H701" s="182"/>
    </row>
    <row r="702">
      <c r="H702" s="182"/>
    </row>
    <row r="703">
      <c r="H703" s="182"/>
    </row>
    <row r="704">
      <c r="H704" s="182"/>
    </row>
    <row r="705">
      <c r="H705" s="182"/>
    </row>
    <row r="706">
      <c r="H706" s="182"/>
    </row>
    <row r="707">
      <c r="H707" s="182"/>
    </row>
    <row r="708">
      <c r="H708" s="182"/>
    </row>
    <row r="709">
      <c r="H709" s="182"/>
    </row>
    <row r="710">
      <c r="H710" s="182"/>
    </row>
    <row r="711">
      <c r="H711" s="182"/>
    </row>
    <row r="712">
      <c r="H712" s="182"/>
    </row>
    <row r="713">
      <c r="H713" s="182"/>
    </row>
    <row r="714">
      <c r="H714" s="182"/>
    </row>
    <row r="715">
      <c r="H715" s="182"/>
    </row>
    <row r="716">
      <c r="H716" s="182"/>
    </row>
    <row r="717">
      <c r="H717" s="182"/>
    </row>
    <row r="718">
      <c r="H718" s="182"/>
    </row>
    <row r="719">
      <c r="H719" s="182"/>
    </row>
    <row r="720">
      <c r="H720" s="182"/>
    </row>
    <row r="721">
      <c r="H721" s="182"/>
    </row>
    <row r="722">
      <c r="H722" s="182"/>
    </row>
    <row r="723">
      <c r="H723" s="182"/>
    </row>
    <row r="724">
      <c r="H724" s="182"/>
    </row>
    <row r="725">
      <c r="H725" s="182"/>
    </row>
    <row r="726">
      <c r="H726" s="182"/>
    </row>
    <row r="727">
      <c r="H727" s="182"/>
    </row>
    <row r="728">
      <c r="H728" s="182"/>
    </row>
    <row r="729">
      <c r="H729" s="182"/>
    </row>
    <row r="730">
      <c r="H730" s="182"/>
    </row>
    <row r="731">
      <c r="H731" s="182"/>
    </row>
    <row r="732">
      <c r="H732" s="182"/>
    </row>
    <row r="733">
      <c r="H733" s="182"/>
    </row>
    <row r="734">
      <c r="H734" s="182"/>
    </row>
    <row r="735">
      <c r="H735" s="182"/>
    </row>
    <row r="736">
      <c r="H736" s="182"/>
    </row>
    <row r="737">
      <c r="H737" s="182"/>
    </row>
    <row r="738">
      <c r="H738" s="182"/>
    </row>
    <row r="739">
      <c r="H739" s="182"/>
    </row>
    <row r="740">
      <c r="H740" s="182"/>
    </row>
    <row r="741">
      <c r="H741" s="182"/>
    </row>
    <row r="742">
      <c r="H742" s="182"/>
    </row>
    <row r="743">
      <c r="H743" s="182"/>
    </row>
    <row r="744">
      <c r="H744" s="182"/>
    </row>
    <row r="745">
      <c r="H745" s="182"/>
    </row>
    <row r="746">
      <c r="H746" s="182"/>
    </row>
    <row r="747">
      <c r="H747" s="182"/>
    </row>
    <row r="748">
      <c r="H748" s="182"/>
    </row>
    <row r="749">
      <c r="H749" s="182"/>
    </row>
    <row r="750">
      <c r="H750" s="182"/>
    </row>
    <row r="751">
      <c r="H751" s="182"/>
    </row>
    <row r="752">
      <c r="H752" s="182"/>
    </row>
    <row r="753">
      <c r="H753" s="182"/>
    </row>
    <row r="754">
      <c r="H754" s="182"/>
    </row>
    <row r="755">
      <c r="H755" s="182"/>
    </row>
    <row r="756">
      <c r="H756" s="182"/>
    </row>
    <row r="757">
      <c r="H757" s="182"/>
    </row>
    <row r="758">
      <c r="H758" s="182"/>
    </row>
    <row r="759">
      <c r="H759" s="182"/>
    </row>
    <row r="760">
      <c r="H760" s="182"/>
    </row>
    <row r="761">
      <c r="H761" s="182"/>
    </row>
    <row r="762">
      <c r="H762" s="182"/>
    </row>
    <row r="763">
      <c r="H763" s="182"/>
    </row>
    <row r="764">
      <c r="H764" s="182"/>
    </row>
    <row r="765">
      <c r="H765" s="182"/>
    </row>
    <row r="766">
      <c r="H766" s="182"/>
    </row>
    <row r="767">
      <c r="H767" s="182"/>
    </row>
    <row r="768">
      <c r="H768" s="182"/>
    </row>
    <row r="769">
      <c r="H769" s="182"/>
    </row>
    <row r="770">
      <c r="H770" s="182"/>
    </row>
    <row r="771">
      <c r="H771" s="182"/>
    </row>
    <row r="772">
      <c r="H772" s="182"/>
    </row>
    <row r="773">
      <c r="H773" s="182"/>
    </row>
    <row r="774">
      <c r="H774" s="182"/>
    </row>
    <row r="775">
      <c r="H775" s="182"/>
    </row>
    <row r="776">
      <c r="H776" s="182"/>
    </row>
    <row r="777">
      <c r="H777" s="182"/>
    </row>
    <row r="778">
      <c r="H778" s="182"/>
    </row>
    <row r="779">
      <c r="H779" s="182"/>
    </row>
    <row r="780">
      <c r="H780" s="182"/>
    </row>
    <row r="781">
      <c r="H781" s="182"/>
    </row>
    <row r="782">
      <c r="H782" s="182"/>
    </row>
    <row r="783">
      <c r="H783" s="182"/>
    </row>
    <row r="784">
      <c r="H784" s="182"/>
    </row>
    <row r="785">
      <c r="H785" s="182"/>
    </row>
    <row r="786">
      <c r="H786" s="182"/>
    </row>
    <row r="787">
      <c r="H787" s="182"/>
    </row>
    <row r="788">
      <c r="H788" s="182"/>
    </row>
    <row r="789">
      <c r="H789" s="182"/>
    </row>
    <row r="790">
      <c r="H790" s="182"/>
    </row>
    <row r="791">
      <c r="H791" s="182"/>
    </row>
    <row r="792">
      <c r="H792" s="182"/>
    </row>
    <row r="793">
      <c r="H793" s="182"/>
    </row>
    <row r="794">
      <c r="H794" s="182"/>
    </row>
    <row r="795">
      <c r="H795" s="182"/>
    </row>
    <row r="796">
      <c r="H796" s="182"/>
    </row>
    <row r="797">
      <c r="H797" s="182"/>
    </row>
    <row r="798">
      <c r="H798" s="182"/>
    </row>
    <row r="799">
      <c r="H799" s="182"/>
    </row>
    <row r="800">
      <c r="H800" s="182"/>
    </row>
    <row r="801">
      <c r="H801" s="182"/>
    </row>
    <row r="802">
      <c r="H802" s="182"/>
    </row>
    <row r="803">
      <c r="H803" s="182"/>
    </row>
    <row r="804">
      <c r="H804" s="182"/>
    </row>
    <row r="805">
      <c r="H805" s="182"/>
    </row>
    <row r="806">
      <c r="H806" s="182"/>
    </row>
    <row r="807">
      <c r="H807" s="182"/>
    </row>
    <row r="808">
      <c r="H808" s="182"/>
    </row>
    <row r="809">
      <c r="H809" s="182"/>
    </row>
    <row r="810">
      <c r="H810" s="182"/>
    </row>
    <row r="811">
      <c r="H811" s="182"/>
    </row>
    <row r="812">
      <c r="H812" s="182"/>
    </row>
    <row r="813">
      <c r="H813" s="182"/>
    </row>
    <row r="814">
      <c r="H814" s="182"/>
    </row>
    <row r="815">
      <c r="H815" s="182"/>
    </row>
    <row r="816">
      <c r="H816" s="182"/>
    </row>
    <row r="817">
      <c r="H817" s="182"/>
    </row>
    <row r="818">
      <c r="H818" s="182"/>
    </row>
    <row r="819">
      <c r="H819" s="182"/>
    </row>
    <row r="820">
      <c r="H820" s="182"/>
    </row>
    <row r="821">
      <c r="H821" s="182"/>
    </row>
    <row r="822">
      <c r="H822" s="182"/>
    </row>
    <row r="823">
      <c r="H823" s="182"/>
    </row>
    <row r="824">
      <c r="H824" s="182"/>
    </row>
    <row r="825">
      <c r="H825" s="182"/>
    </row>
    <row r="826">
      <c r="H826" s="182"/>
    </row>
    <row r="827">
      <c r="H827" s="182"/>
    </row>
    <row r="828">
      <c r="H828" s="182"/>
    </row>
    <row r="829">
      <c r="H829" s="182"/>
    </row>
    <row r="830">
      <c r="H830" s="182"/>
    </row>
    <row r="831">
      <c r="H831" s="182"/>
    </row>
    <row r="832">
      <c r="H832" s="182"/>
    </row>
    <row r="833">
      <c r="H833" s="182"/>
    </row>
    <row r="834">
      <c r="H834" s="182"/>
    </row>
    <row r="835">
      <c r="H835" s="182"/>
    </row>
    <row r="836">
      <c r="H836" s="182"/>
    </row>
    <row r="837">
      <c r="H837" s="182"/>
    </row>
    <row r="838">
      <c r="H838" s="182"/>
    </row>
    <row r="839">
      <c r="H839" s="182"/>
    </row>
    <row r="840">
      <c r="H840" s="182"/>
    </row>
    <row r="841">
      <c r="H841" s="182"/>
    </row>
    <row r="842">
      <c r="H842" s="182"/>
    </row>
    <row r="843">
      <c r="H843" s="182"/>
    </row>
    <row r="844">
      <c r="H844" s="182"/>
    </row>
    <row r="845">
      <c r="H845" s="182"/>
    </row>
    <row r="846">
      <c r="H846" s="182"/>
    </row>
    <row r="847">
      <c r="H847" s="182"/>
    </row>
    <row r="848">
      <c r="H848" s="182"/>
    </row>
    <row r="849">
      <c r="H849" s="182"/>
    </row>
    <row r="850">
      <c r="H850" s="182"/>
    </row>
    <row r="851">
      <c r="H851" s="182"/>
    </row>
    <row r="852">
      <c r="H852" s="182"/>
    </row>
    <row r="853">
      <c r="H853" s="182"/>
    </row>
    <row r="854">
      <c r="H854" s="182"/>
    </row>
    <row r="855">
      <c r="H855" s="182"/>
    </row>
    <row r="856">
      <c r="H856" s="182"/>
    </row>
    <row r="857">
      <c r="H857" s="182"/>
    </row>
    <row r="858">
      <c r="H858" s="182"/>
    </row>
    <row r="859">
      <c r="H859" s="182"/>
    </row>
    <row r="860">
      <c r="H860" s="182"/>
    </row>
    <row r="861">
      <c r="H861" s="182"/>
    </row>
    <row r="862">
      <c r="H862" s="182"/>
    </row>
    <row r="863">
      <c r="H863" s="182"/>
    </row>
    <row r="864">
      <c r="H864" s="182"/>
    </row>
    <row r="865">
      <c r="H865" s="182"/>
    </row>
    <row r="866">
      <c r="H866" s="182"/>
    </row>
    <row r="867">
      <c r="H867" s="182"/>
    </row>
    <row r="868">
      <c r="H868" s="182"/>
    </row>
    <row r="869">
      <c r="H869" s="182"/>
    </row>
    <row r="870">
      <c r="H870" s="182"/>
    </row>
    <row r="871">
      <c r="H871" s="182"/>
    </row>
    <row r="872">
      <c r="H872" s="182"/>
    </row>
    <row r="873">
      <c r="H873" s="182"/>
    </row>
    <row r="874">
      <c r="H874" s="182"/>
    </row>
    <row r="875">
      <c r="H875" s="182"/>
    </row>
    <row r="876">
      <c r="H876" s="182"/>
    </row>
    <row r="877">
      <c r="H877" s="182"/>
    </row>
    <row r="878">
      <c r="H878" s="182"/>
    </row>
    <row r="879">
      <c r="H879" s="182"/>
    </row>
    <row r="880">
      <c r="H880" s="182"/>
    </row>
    <row r="881">
      <c r="H881" s="182"/>
    </row>
    <row r="882">
      <c r="H882" s="182"/>
    </row>
    <row r="883">
      <c r="H883" s="182"/>
    </row>
    <row r="884">
      <c r="H884" s="182"/>
    </row>
    <row r="885">
      <c r="H885" s="182"/>
    </row>
    <row r="886">
      <c r="H886" s="182"/>
    </row>
    <row r="887">
      <c r="H887" s="182"/>
    </row>
    <row r="888">
      <c r="H888" s="182"/>
    </row>
    <row r="889">
      <c r="H889" s="182"/>
    </row>
    <row r="890">
      <c r="H890" s="182"/>
    </row>
    <row r="891">
      <c r="H891" s="182"/>
    </row>
    <row r="892">
      <c r="H892" s="182"/>
    </row>
    <row r="893">
      <c r="H893" s="182"/>
    </row>
    <row r="894">
      <c r="H894" s="182"/>
    </row>
    <row r="895">
      <c r="H895" s="182"/>
    </row>
    <row r="896">
      <c r="H896" s="182"/>
    </row>
    <row r="897">
      <c r="H897" s="182"/>
    </row>
    <row r="898">
      <c r="H898" s="182"/>
    </row>
    <row r="899">
      <c r="H899" s="182"/>
    </row>
    <row r="900">
      <c r="H900" s="182"/>
    </row>
    <row r="901">
      <c r="H901" s="182"/>
    </row>
    <row r="902">
      <c r="H902" s="182"/>
    </row>
    <row r="903">
      <c r="H903" s="182"/>
    </row>
    <row r="904">
      <c r="H904" s="182"/>
    </row>
    <row r="905">
      <c r="H905" s="182"/>
    </row>
    <row r="906">
      <c r="H906" s="182"/>
    </row>
    <row r="907">
      <c r="H907" s="182"/>
    </row>
    <row r="908">
      <c r="H908" s="182"/>
    </row>
    <row r="909">
      <c r="H909" s="182"/>
    </row>
    <row r="910">
      <c r="H910" s="182"/>
    </row>
    <row r="911">
      <c r="H911" s="182"/>
    </row>
    <row r="912">
      <c r="H912" s="182"/>
    </row>
    <row r="913">
      <c r="H913" s="182"/>
    </row>
    <row r="914">
      <c r="H914" s="182"/>
    </row>
    <row r="915">
      <c r="H915" s="182"/>
    </row>
    <row r="916">
      <c r="H916" s="182"/>
    </row>
    <row r="917">
      <c r="H917" s="182"/>
    </row>
    <row r="918">
      <c r="H918" s="182"/>
    </row>
    <row r="919">
      <c r="H919" s="182"/>
    </row>
    <row r="920">
      <c r="H920" s="182"/>
    </row>
    <row r="921">
      <c r="H921" s="182"/>
    </row>
    <row r="922">
      <c r="H922" s="182"/>
    </row>
    <row r="923">
      <c r="H923" s="182"/>
    </row>
    <row r="924">
      <c r="H924" s="182"/>
    </row>
    <row r="925">
      <c r="H925" s="182"/>
    </row>
    <row r="926">
      <c r="H926" s="182"/>
    </row>
    <row r="927">
      <c r="H927" s="182"/>
    </row>
    <row r="928">
      <c r="H928" s="182"/>
    </row>
    <row r="929">
      <c r="H929" s="182"/>
    </row>
    <row r="930">
      <c r="H930" s="182"/>
    </row>
    <row r="931">
      <c r="H931" s="182"/>
    </row>
    <row r="932">
      <c r="H932" s="182"/>
    </row>
    <row r="933">
      <c r="H933" s="182"/>
    </row>
    <row r="934">
      <c r="H934" s="182"/>
    </row>
    <row r="935">
      <c r="H935" s="182"/>
    </row>
    <row r="936">
      <c r="H936" s="182"/>
    </row>
    <row r="937">
      <c r="H937" s="182"/>
    </row>
    <row r="938">
      <c r="H938" s="182"/>
    </row>
    <row r="939">
      <c r="H939" s="182"/>
    </row>
    <row r="940">
      <c r="H940" s="182"/>
    </row>
    <row r="941">
      <c r="H941" s="182"/>
    </row>
    <row r="942">
      <c r="H942" s="182"/>
    </row>
    <row r="943">
      <c r="H943" s="182"/>
    </row>
    <row r="944">
      <c r="H944" s="182"/>
    </row>
    <row r="945">
      <c r="H945" s="182"/>
    </row>
    <row r="946">
      <c r="H946" s="182"/>
    </row>
    <row r="947">
      <c r="H947" s="182"/>
    </row>
    <row r="948">
      <c r="H948" s="182"/>
    </row>
    <row r="949">
      <c r="H949" s="182"/>
    </row>
    <row r="950">
      <c r="H950" s="182"/>
    </row>
    <row r="951">
      <c r="H951" s="182"/>
    </row>
    <row r="952">
      <c r="H952" s="182"/>
    </row>
    <row r="953">
      <c r="H953" s="182"/>
    </row>
    <row r="954">
      <c r="H954" s="182"/>
    </row>
    <row r="955">
      <c r="H955" s="182"/>
    </row>
    <row r="956">
      <c r="H956" s="182"/>
    </row>
    <row r="957">
      <c r="H957" s="182"/>
    </row>
    <row r="958">
      <c r="H958" s="182"/>
    </row>
    <row r="959">
      <c r="H959" s="182"/>
    </row>
    <row r="960">
      <c r="H960" s="182"/>
    </row>
    <row r="961">
      <c r="H961" s="182"/>
    </row>
    <row r="962">
      <c r="H962" s="182"/>
    </row>
    <row r="963">
      <c r="H963" s="182"/>
    </row>
    <row r="964">
      <c r="H964" s="182"/>
    </row>
    <row r="965">
      <c r="H965" s="182"/>
    </row>
    <row r="966">
      <c r="H966" s="182"/>
    </row>
    <row r="967">
      <c r="H967" s="182"/>
    </row>
    <row r="968">
      <c r="H968" s="182"/>
    </row>
    <row r="969">
      <c r="H969" s="182"/>
    </row>
    <row r="970">
      <c r="H970" s="182"/>
    </row>
    <row r="971">
      <c r="H971" s="182"/>
    </row>
    <row r="972">
      <c r="H972" s="182"/>
    </row>
    <row r="973">
      <c r="H973" s="182"/>
    </row>
    <row r="974">
      <c r="H974" s="182"/>
    </row>
    <row r="975">
      <c r="H975" s="182"/>
    </row>
    <row r="976">
      <c r="H976" s="182"/>
    </row>
    <row r="977">
      <c r="H977" s="182"/>
    </row>
    <row r="978">
      <c r="H978" s="182"/>
    </row>
    <row r="979">
      <c r="H979" s="182"/>
    </row>
    <row r="980">
      <c r="H980" s="182"/>
    </row>
    <row r="981">
      <c r="H981" s="182"/>
    </row>
    <row r="982">
      <c r="H982" s="182"/>
    </row>
    <row r="983">
      <c r="H983" s="182"/>
    </row>
    <row r="984">
      <c r="H984" s="182"/>
    </row>
    <row r="985">
      <c r="H985" s="182"/>
    </row>
    <row r="986">
      <c r="H986" s="182"/>
    </row>
    <row r="987">
      <c r="H987" s="182"/>
    </row>
    <row r="988">
      <c r="H988" s="182"/>
    </row>
    <row r="989">
      <c r="H989" s="182"/>
    </row>
    <row r="990">
      <c r="H990" s="182"/>
    </row>
    <row r="991">
      <c r="H991" s="182"/>
    </row>
    <row r="992">
      <c r="H992" s="182"/>
    </row>
    <row r="993">
      <c r="H993" s="182"/>
    </row>
    <row r="994">
      <c r="H994" s="182"/>
    </row>
    <row r="995">
      <c r="H995" s="182"/>
    </row>
    <row r="996">
      <c r="H996" s="182"/>
    </row>
    <row r="997">
      <c r="H997" s="182"/>
    </row>
    <row r="998">
      <c r="H998" s="182"/>
    </row>
    <row r="999">
      <c r="H999" s="182"/>
    </row>
    <row r="1000">
      <c r="H1000" s="182"/>
    </row>
  </sheetData>
  <mergeCells count="481">
    <mergeCell ref="K95:K99"/>
    <mergeCell ref="L95:L99"/>
    <mergeCell ref="M95:M99"/>
    <mergeCell ref="N95:N99"/>
    <mergeCell ref="O95:O99"/>
    <mergeCell ref="P95:P99"/>
    <mergeCell ref="B100:I100"/>
    <mergeCell ref="J95:J99"/>
    <mergeCell ref="K101:K105"/>
    <mergeCell ref="L101:L105"/>
    <mergeCell ref="M101:M105"/>
    <mergeCell ref="N101:N105"/>
    <mergeCell ref="O101:O105"/>
    <mergeCell ref="P101:P105"/>
    <mergeCell ref="J40:J44"/>
    <mergeCell ref="K46:K50"/>
    <mergeCell ref="L46:L50"/>
    <mergeCell ref="M46:M50"/>
    <mergeCell ref="N46:N50"/>
    <mergeCell ref="O46:O50"/>
    <mergeCell ref="P46:P50"/>
    <mergeCell ref="J52:J56"/>
    <mergeCell ref="K52:K56"/>
    <mergeCell ref="L52:L56"/>
    <mergeCell ref="M52:M56"/>
    <mergeCell ref="N52:N56"/>
    <mergeCell ref="O52:O56"/>
    <mergeCell ref="P52:P56"/>
    <mergeCell ref="J57:J61"/>
    <mergeCell ref="K57:K61"/>
    <mergeCell ref="L57:L61"/>
    <mergeCell ref="M57:M61"/>
    <mergeCell ref="N57:N61"/>
    <mergeCell ref="O57:O61"/>
    <mergeCell ref="P57:P61"/>
    <mergeCell ref="K62:K66"/>
    <mergeCell ref="L62:L66"/>
    <mergeCell ref="M62:M66"/>
    <mergeCell ref="N62:N66"/>
    <mergeCell ref="O62:O66"/>
    <mergeCell ref="P62:P66"/>
    <mergeCell ref="B67:I67"/>
    <mergeCell ref="B73:I73"/>
    <mergeCell ref="J62:J66"/>
    <mergeCell ref="K68:K72"/>
    <mergeCell ref="L68:L72"/>
    <mergeCell ref="M68:M72"/>
    <mergeCell ref="N68:N72"/>
    <mergeCell ref="O68:O72"/>
    <mergeCell ref="P68:P72"/>
    <mergeCell ref="J79:J83"/>
    <mergeCell ref="B84:I84"/>
    <mergeCell ref="J101:J105"/>
    <mergeCell ref="J106:J110"/>
    <mergeCell ref="K106:K110"/>
    <mergeCell ref="L106:L110"/>
    <mergeCell ref="M106:M110"/>
    <mergeCell ref="N106:N110"/>
    <mergeCell ref="O106:O110"/>
    <mergeCell ref="P106:P110"/>
    <mergeCell ref="C116:C120"/>
    <mergeCell ref="D116:D120"/>
    <mergeCell ref="A127:A131"/>
    <mergeCell ref="B127:B131"/>
    <mergeCell ref="C127:C131"/>
    <mergeCell ref="D127:D131"/>
    <mergeCell ref="A133:A137"/>
    <mergeCell ref="D133:D137"/>
    <mergeCell ref="B133:B137"/>
    <mergeCell ref="C133:C137"/>
    <mergeCell ref="A139:A143"/>
    <mergeCell ref="B139:B143"/>
    <mergeCell ref="C139:C143"/>
    <mergeCell ref="D139:D143"/>
    <mergeCell ref="A145:A149"/>
    <mergeCell ref="D145:D149"/>
    <mergeCell ref="B145:B149"/>
    <mergeCell ref="C145:C149"/>
    <mergeCell ref="A151:A155"/>
    <mergeCell ref="B151:B155"/>
    <mergeCell ref="C151:C155"/>
    <mergeCell ref="D151:D155"/>
    <mergeCell ref="A157:A161"/>
    <mergeCell ref="D157:D161"/>
    <mergeCell ref="B157:B161"/>
    <mergeCell ref="C157:C161"/>
    <mergeCell ref="A163:A167"/>
    <mergeCell ref="B163:B167"/>
    <mergeCell ref="C163:C167"/>
    <mergeCell ref="D163:D167"/>
    <mergeCell ref="A169:A173"/>
    <mergeCell ref="D169:D173"/>
    <mergeCell ref="B19:B38"/>
    <mergeCell ref="C19:C23"/>
    <mergeCell ref="D19:D23"/>
    <mergeCell ref="C24:C28"/>
    <mergeCell ref="D24:D28"/>
    <mergeCell ref="D29:D33"/>
    <mergeCell ref="D34:D38"/>
    <mergeCell ref="C46:C50"/>
    <mergeCell ref="C52:C56"/>
    <mergeCell ref="D52:D56"/>
    <mergeCell ref="C57:C61"/>
    <mergeCell ref="D57:D61"/>
    <mergeCell ref="C62:C66"/>
    <mergeCell ref="D62:D66"/>
    <mergeCell ref="C29:C33"/>
    <mergeCell ref="C34:C38"/>
    <mergeCell ref="A46:A50"/>
    <mergeCell ref="B46:B50"/>
    <mergeCell ref="D46:D50"/>
    <mergeCell ref="A52:A66"/>
    <mergeCell ref="B52:B66"/>
    <mergeCell ref="C111:C115"/>
    <mergeCell ref="D111:D115"/>
    <mergeCell ref="C187:C191"/>
    <mergeCell ref="C193:C197"/>
    <mergeCell ref="D225:D229"/>
    <mergeCell ref="C230:C234"/>
    <mergeCell ref="D230:D234"/>
    <mergeCell ref="A214:A218"/>
    <mergeCell ref="B214:B218"/>
    <mergeCell ref="C214:C218"/>
    <mergeCell ref="D214:D218"/>
    <mergeCell ref="A220:A234"/>
    <mergeCell ref="B220:B234"/>
    <mergeCell ref="D220:D224"/>
    <mergeCell ref="B169:B173"/>
    <mergeCell ref="C169:C173"/>
    <mergeCell ref="A175:A179"/>
    <mergeCell ref="B175:B179"/>
    <mergeCell ref="C175:C179"/>
    <mergeCell ref="D175:D179"/>
    <mergeCell ref="A181:A185"/>
    <mergeCell ref="D181:D185"/>
    <mergeCell ref="D193:D197"/>
    <mergeCell ref="C198:C202"/>
    <mergeCell ref="D198:D202"/>
    <mergeCell ref="C203:C207"/>
    <mergeCell ref="D203:D207"/>
    <mergeCell ref="C208:C212"/>
    <mergeCell ref="D208:D212"/>
    <mergeCell ref="B181:B185"/>
    <mergeCell ref="C181:C185"/>
    <mergeCell ref="A187:A191"/>
    <mergeCell ref="B187:B191"/>
    <mergeCell ref="D187:D191"/>
    <mergeCell ref="A193:A212"/>
    <mergeCell ref="B193:B212"/>
    <mergeCell ref="C220:C224"/>
    <mergeCell ref="C225:C229"/>
    <mergeCell ref="A236:A245"/>
    <mergeCell ref="B236:B245"/>
    <mergeCell ref="C236:C240"/>
    <mergeCell ref="D236:D240"/>
    <mergeCell ref="C241:C245"/>
    <mergeCell ref="D241:D245"/>
    <mergeCell ref="H4:H5"/>
    <mergeCell ref="I4:I5"/>
    <mergeCell ref="L4:L5"/>
    <mergeCell ref="M4:M5"/>
    <mergeCell ref="N4:N5"/>
    <mergeCell ref="O4:O5"/>
    <mergeCell ref="P4:P6"/>
    <mergeCell ref="A1:O1"/>
    <mergeCell ref="A2:I2"/>
    <mergeCell ref="J2:K2"/>
    <mergeCell ref="L2:M2"/>
    <mergeCell ref="A3:I3"/>
    <mergeCell ref="J3:K3"/>
    <mergeCell ref="A4:A5"/>
    <mergeCell ref="B6:I6"/>
    <mergeCell ref="O7:O11"/>
    <mergeCell ref="P7:P11"/>
    <mergeCell ref="J4:J5"/>
    <mergeCell ref="K4:K5"/>
    <mergeCell ref="J7:J11"/>
    <mergeCell ref="K7:K11"/>
    <mergeCell ref="L7:L11"/>
    <mergeCell ref="M7:M11"/>
    <mergeCell ref="N7:N11"/>
    <mergeCell ref="M13:M17"/>
    <mergeCell ref="N13:N17"/>
    <mergeCell ref="O13:O17"/>
    <mergeCell ref="P13:P17"/>
    <mergeCell ref="A13:A17"/>
    <mergeCell ref="B13:B17"/>
    <mergeCell ref="C13:C17"/>
    <mergeCell ref="D13:D17"/>
    <mergeCell ref="J13:J17"/>
    <mergeCell ref="K13:K17"/>
    <mergeCell ref="L13:L17"/>
    <mergeCell ref="B18:I18"/>
    <mergeCell ref="K34:K38"/>
    <mergeCell ref="L34:L38"/>
    <mergeCell ref="M34:M38"/>
    <mergeCell ref="N34:N38"/>
    <mergeCell ref="O34:O38"/>
    <mergeCell ref="P34:P38"/>
    <mergeCell ref="B39:I39"/>
    <mergeCell ref="B45:I45"/>
    <mergeCell ref="J34:J38"/>
    <mergeCell ref="K40:K44"/>
    <mergeCell ref="L40:L44"/>
    <mergeCell ref="M40:M44"/>
    <mergeCell ref="N40:N44"/>
    <mergeCell ref="O40:O44"/>
    <mergeCell ref="P40:P44"/>
    <mergeCell ref="D4:D5"/>
    <mergeCell ref="E4:G4"/>
    <mergeCell ref="B4:B5"/>
    <mergeCell ref="C4:C5"/>
    <mergeCell ref="A7:A11"/>
    <mergeCell ref="B7:B11"/>
    <mergeCell ref="C7:C11"/>
    <mergeCell ref="D7:D11"/>
    <mergeCell ref="B12:I12"/>
    <mergeCell ref="J19:J23"/>
    <mergeCell ref="K19:K23"/>
    <mergeCell ref="L19:L23"/>
    <mergeCell ref="M19:M23"/>
    <mergeCell ref="N19:N23"/>
    <mergeCell ref="O19:O23"/>
    <mergeCell ref="P19:P22"/>
    <mergeCell ref="J24:J28"/>
    <mergeCell ref="K24:K28"/>
    <mergeCell ref="L24:L28"/>
    <mergeCell ref="M24:M28"/>
    <mergeCell ref="N24:N28"/>
    <mergeCell ref="O24:O28"/>
    <mergeCell ref="P24:P27"/>
    <mergeCell ref="J29:J33"/>
    <mergeCell ref="K29:K33"/>
    <mergeCell ref="L29:L33"/>
    <mergeCell ref="M29:M33"/>
    <mergeCell ref="N29:N33"/>
    <mergeCell ref="O29:O33"/>
    <mergeCell ref="P29:P32"/>
    <mergeCell ref="A19:A38"/>
    <mergeCell ref="A40:A44"/>
    <mergeCell ref="B40:B44"/>
    <mergeCell ref="C40:C44"/>
    <mergeCell ref="D40:D44"/>
    <mergeCell ref="J46:J50"/>
    <mergeCell ref="B51:I51"/>
    <mergeCell ref="J68:J72"/>
    <mergeCell ref="K74:K78"/>
    <mergeCell ref="L74:L78"/>
    <mergeCell ref="M74:M78"/>
    <mergeCell ref="N74:N78"/>
    <mergeCell ref="O74:O78"/>
    <mergeCell ref="P74:P78"/>
    <mergeCell ref="J74:J78"/>
    <mergeCell ref="K79:K83"/>
    <mergeCell ref="L79:L83"/>
    <mergeCell ref="M79:M83"/>
    <mergeCell ref="N79:N83"/>
    <mergeCell ref="O79:O83"/>
    <mergeCell ref="P80:P83"/>
    <mergeCell ref="C95:C99"/>
    <mergeCell ref="C101:C105"/>
    <mergeCell ref="D101:D105"/>
    <mergeCell ref="C74:C78"/>
    <mergeCell ref="C79:C83"/>
    <mergeCell ref="C85:C89"/>
    <mergeCell ref="D85:D89"/>
    <mergeCell ref="C90:C94"/>
    <mergeCell ref="D90:D94"/>
    <mergeCell ref="D95:D99"/>
    <mergeCell ref="A68:A72"/>
    <mergeCell ref="B68:B72"/>
    <mergeCell ref="C68:C72"/>
    <mergeCell ref="D68:D72"/>
    <mergeCell ref="B74:B83"/>
    <mergeCell ref="D74:D78"/>
    <mergeCell ref="D79:D83"/>
    <mergeCell ref="A74:A83"/>
    <mergeCell ref="A85:A99"/>
    <mergeCell ref="B85:B99"/>
    <mergeCell ref="A101:A125"/>
    <mergeCell ref="B101:B125"/>
    <mergeCell ref="C106:C110"/>
    <mergeCell ref="D106:D110"/>
    <mergeCell ref="C121:C125"/>
    <mergeCell ref="D121:D125"/>
    <mergeCell ref="B126:I126"/>
    <mergeCell ref="B132:I132"/>
    <mergeCell ref="B138:I138"/>
    <mergeCell ref="B144:I144"/>
    <mergeCell ref="B150:I150"/>
    <mergeCell ref="B213:I213"/>
    <mergeCell ref="B219:I219"/>
    <mergeCell ref="B235:I235"/>
    <mergeCell ref="B156:I156"/>
    <mergeCell ref="B162:I162"/>
    <mergeCell ref="B168:I168"/>
    <mergeCell ref="B174:I174"/>
    <mergeCell ref="B180:I180"/>
    <mergeCell ref="B186:I186"/>
    <mergeCell ref="B192:I192"/>
    <mergeCell ref="J145:J149"/>
    <mergeCell ref="K145:K149"/>
    <mergeCell ref="L145:L149"/>
    <mergeCell ref="M145:M149"/>
    <mergeCell ref="N145:N149"/>
    <mergeCell ref="O145:O149"/>
    <mergeCell ref="P145:P149"/>
    <mergeCell ref="J151:J155"/>
    <mergeCell ref="K151:K155"/>
    <mergeCell ref="L151:L155"/>
    <mergeCell ref="M151:M155"/>
    <mergeCell ref="N151:N155"/>
    <mergeCell ref="O151:O155"/>
    <mergeCell ref="P151:P155"/>
    <mergeCell ref="J127:J131"/>
    <mergeCell ref="J133:J137"/>
    <mergeCell ref="K133:K137"/>
    <mergeCell ref="L133:L137"/>
    <mergeCell ref="M133:M137"/>
    <mergeCell ref="N133:N137"/>
    <mergeCell ref="O133:O137"/>
    <mergeCell ref="P133:P137"/>
    <mergeCell ref="J139:J143"/>
    <mergeCell ref="K139:K143"/>
    <mergeCell ref="L139:L143"/>
    <mergeCell ref="M139:M143"/>
    <mergeCell ref="N139:N143"/>
    <mergeCell ref="O139:O143"/>
    <mergeCell ref="P139:P143"/>
    <mergeCell ref="J85:J89"/>
    <mergeCell ref="K85:K89"/>
    <mergeCell ref="L85:L89"/>
    <mergeCell ref="M85:M89"/>
    <mergeCell ref="N85:N89"/>
    <mergeCell ref="O85:O89"/>
    <mergeCell ref="P85:P89"/>
    <mergeCell ref="J90:J94"/>
    <mergeCell ref="K90:K94"/>
    <mergeCell ref="L90:L94"/>
    <mergeCell ref="M90:M94"/>
    <mergeCell ref="N90:N94"/>
    <mergeCell ref="O90:O94"/>
    <mergeCell ref="P90:P94"/>
    <mergeCell ref="M116:M120"/>
    <mergeCell ref="N116:N120"/>
    <mergeCell ref="M121:M125"/>
    <mergeCell ref="N121:N125"/>
    <mergeCell ref="M127:M131"/>
    <mergeCell ref="N127:N131"/>
    <mergeCell ref="O116:O120"/>
    <mergeCell ref="P116:P120"/>
    <mergeCell ref="O121:O125"/>
    <mergeCell ref="P121:P125"/>
    <mergeCell ref="O127:O131"/>
    <mergeCell ref="P127:P131"/>
    <mergeCell ref="J111:J115"/>
    <mergeCell ref="L111:L115"/>
    <mergeCell ref="M111:M115"/>
    <mergeCell ref="N111:N115"/>
    <mergeCell ref="O111:O115"/>
    <mergeCell ref="P111:P115"/>
    <mergeCell ref="J116:J120"/>
    <mergeCell ref="K116:K120"/>
    <mergeCell ref="L116:L120"/>
    <mergeCell ref="J121:J125"/>
    <mergeCell ref="K121:K125"/>
    <mergeCell ref="L121:L125"/>
    <mergeCell ref="K127:K131"/>
    <mergeCell ref="L127:L131"/>
    <mergeCell ref="J241:J245"/>
    <mergeCell ref="K241:K245"/>
    <mergeCell ref="L241:L245"/>
    <mergeCell ref="M241:M245"/>
    <mergeCell ref="N241:N245"/>
    <mergeCell ref="O241:O245"/>
    <mergeCell ref="P241:P245"/>
    <mergeCell ref="J236:J240"/>
    <mergeCell ref="K236:K240"/>
    <mergeCell ref="L236:L240"/>
    <mergeCell ref="M236:M240"/>
    <mergeCell ref="N236:N240"/>
    <mergeCell ref="O236:O240"/>
    <mergeCell ref="P236:P240"/>
    <mergeCell ref="J157:J161"/>
    <mergeCell ref="K157:K161"/>
    <mergeCell ref="L157:L161"/>
    <mergeCell ref="M157:M161"/>
    <mergeCell ref="N157:N161"/>
    <mergeCell ref="O157:O161"/>
    <mergeCell ref="P157:P161"/>
    <mergeCell ref="J163:J167"/>
    <mergeCell ref="K163:K167"/>
    <mergeCell ref="L163:L167"/>
    <mergeCell ref="M163:M167"/>
    <mergeCell ref="N163:N167"/>
    <mergeCell ref="O163:O167"/>
    <mergeCell ref="P163:P167"/>
    <mergeCell ref="J169:J173"/>
    <mergeCell ref="K169:K173"/>
    <mergeCell ref="L169:L173"/>
    <mergeCell ref="M169:M173"/>
    <mergeCell ref="N169:N173"/>
    <mergeCell ref="O169:O173"/>
    <mergeCell ref="P169:P173"/>
    <mergeCell ref="J175:J179"/>
    <mergeCell ref="K175:K179"/>
    <mergeCell ref="L175:L179"/>
    <mergeCell ref="M175:M179"/>
    <mergeCell ref="N175:N179"/>
    <mergeCell ref="O175:O179"/>
    <mergeCell ref="P175:P179"/>
    <mergeCell ref="J181:J185"/>
    <mergeCell ref="K181:K185"/>
    <mergeCell ref="L181:L185"/>
    <mergeCell ref="M181:M185"/>
    <mergeCell ref="N181:N185"/>
    <mergeCell ref="O181:O185"/>
    <mergeCell ref="P181:P185"/>
    <mergeCell ref="J187:J191"/>
    <mergeCell ref="K187:K191"/>
    <mergeCell ref="L187:L191"/>
    <mergeCell ref="M187:M191"/>
    <mergeCell ref="N187:N191"/>
    <mergeCell ref="O187:O191"/>
    <mergeCell ref="P187:P191"/>
    <mergeCell ref="J193:J197"/>
    <mergeCell ref="K193:K197"/>
    <mergeCell ref="L193:L197"/>
    <mergeCell ref="M193:M197"/>
    <mergeCell ref="N193:N197"/>
    <mergeCell ref="O193:O197"/>
    <mergeCell ref="P193:P197"/>
    <mergeCell ref="J198:J202"/>
    <mergeCell ref="K198:K202"/>
    <mergeCell ref="L198:L202"/>
    <mergeCell ref="M198:M202"/>
    <mergeCell ref="N198:N202"/>
    <mergeCell ref="O198:O202"/>
    <mergeCell ref="P198:P202"/>
    <mergeCell ref="J203:J207"/>
    <mergeCell ref="K203:K207"/>
    <mergeCell ref="L203:L207"/>
    <mergeCell ref="M203:M207"/>
    <mergeCell ref="N203:N207"/>
    <mergeCell ref="O203:O207"/>
    <mergeCell ref="P203:P207"/>
    <mergeCell ref="J208:J212"/>
    <mergeCell ref="K208:K212"/>
    <mergeCell ref="L208:L212"/>
    <mergeCell ref="M208:M212"/>
    <mergeCell ref="N208:N212"/>
    <mergeCell ref="O208:O212"/>
    <mergeCell ref="P208:P212"/>
    <mergeCell ref="J214:J218"/>
    <mergeCell ref="K214:K218"/>
    <mergeCell ref="L214:L218"/>
    <mergeCell ref="M214:M218"/>
    <mergeCell ref="N214:N218"/>
    <mergeCell ref="O214:O218"/>
    <mergeCell ref="P214:P218"/>
    <mergeCell ref="J220:J224"/>
    <mergeCell ref="K220:K224"/>
    <mergeCell ref="L220:L224"/>
    <mergeCell ref="M220:M224"/>
    <mergeCell ref="N220:N224"/>
    <mergeCell ref="O220:O224"/>
    <mergeCell ref="P220:P224"/>
    <mergeCell ref="J225:J229"/>
    <mergeCell ref="K225:K229"/>
    <mergeCell ref="L225:L229"/>
    <mergeCell ref="M225:M229"/>
    <mergeCell ref="N225:N229"/>
    <mergeCell ref="O225:O229"/>
    <mergeCell ref="P225:P229"/>
    <mergeCell ref="J230:J234"/>
    <mergeCell ref="K230:K234"/>
    <mergeCell ref="L230:L234"/>
    <mergeCell ref="M230:M234"/>
    <mergeCell ref="N230:N234"/>
    <mergeCell ref="O230:O234"/>
    <mergeCell ref="P230:P234"/>
  </mergeCells>
  <dataValidations>
    <dataValidation type="list" allowBlank="1" showErrorMessage="1" sqref="L7 N7 L13 N13 L19 N19 L24 N24 L29 N29 L34 N34 L40 N40 L46 N46 L52 N52 L57 N57 L62 N62 L68 N68 L74 N74 L79 N79 L85 N85 L90 N90 L95 N95 L101 N101 L106 N106 L111 N111 L116 N116 L121 N121 L127 N127 L133 N133 L139 N139 L145 N145 L151 N151 L157 N157 L163 N163 L169 N169 L175 N175 L181 N181 L187 N187 L193 N193 L198 N198 L203 N203 L208 N208 L214 N214 L220 N220 L225 N225 L230 N230 L236 N236 L241 N241">
      <formula1>"1,2,3,4,5"</formula1>
    </dataValidation>
    <dataValidation type="list" allowBlank="1" showErrorMessage="1" sqref="M7 M13 M19 M24 M29 M34 M40 M46 M52 M57 M62 M68 M74 M79 M85 M90 M95 M101 M106 M111 M116 M121 M127 M133 M139 M145 M151 M157 M163 M169 M175 M181 M187 M193 M198 M203 M208 M214 M220 M225 M230 M236 M241">
      <formula1>"Y,T"</formula1>
    </dataValidation>
  </dataValidations>
  <hyperlinks>
    <hyperlink r:id="rId1" ref="P7"/>
    <hyperlink r:id="rId2" ref="P13"/>
    <hyperlink r:id="rId3" ref="P19"/>
    <hyperlink r:id="rId4" ref="P24"/>
    <hyperlink r:id="rId5" ref="P29"/>
    <hyperlink r:id="rId6" ref="P34"/>
    <hyperlink r:id="rId7" ref="P40"/>
    <hyperlink r:id="rId8" ref="P46"/>
    <hyperlink r:id="rId9" ref="P52"/>
    <hyperlink r:id="rId10" ref="P57"/>
    <hyperlink r:id="rId11" ref="P62"/>
    <hyperlink r:id="rId12" ref="P68"/>
    <hyperlink r:id="rId13" ref="P74"/>
    <hyperlink r:id="rId14" ref="P80"/>
    <hyperlink r:id="rId15" ref="P85"/>
    <hyperlink r:id="rId16" ref="P90"/>
    <hyperlink r:id="rId17" ref="P95"/>
    <hyperlink r:id="rId18" ref="P101"/>
    <hyperlink r:id="rId19" ref="P106"/>
    <hyperlink r:id="rId20" ref="P111"/>
    <hyperlink r:id="rId21" ref="P116"/>
    <hyperlink r:id="rId22" ref="P121"/>
    <hyperlink r:id="rId23" ref="P127"/>
    <hyperlink r:id="rId24" ref="P133"/>
    <hyperlink r:id="rId25" ref="P139"/>
    <hyperlink r:id="rId26" ref="P145"/>
    <hyperlink r:id="rId27" ref="P151"/>
    <hyperlink r:id="rId28" ref="P157"/>
    <hyperlink r:id="rId29" ref="P163"/>
    <hyperlink r:id="rId30" ref="P169"/>
    <hyperlink r:id="rId31" ref="P175"/>
    <hyperlink r:id="rId32" ref="P181"/>
    <hyperlink r:id="rId33" ref="P187"/>
    <hyperlink r:id="rId34" ref="P193"/>
    <hyperlink r:id="rId35" ref="P198"/>
    <hyperlink r:id="rId36" ref="P203"/>
    <hyperlink r:id="rId37" ref="P208"/>
    <hyperlink r:id="rId38" ref="P214"/>
    <hyperlink r:id="rId39" ref="P220"/>
    <hyperlink r:id="rId40" ref="P225"/>
    <hyperlink r:id="rId41" ref="P230"/>
    <hyperlink r:id="rId42" ref="P236"/>
    <hyperlink r:id="rId43" ref="P241"/>
  </hyperlinks>
  <printOptions/>
  <pageMargins bottom="0.75" footer="0.0" header="0.0" left="0.699305555555556" right="0.699305555555556" top="0.75"/>
  <pageSetup paperSize="9" orientation="portrait"/>
  <drawing r:id="rId4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22"/>
    <col customWidth="1" min="2" max="2" width="10.56"/>
    <col customWidth="1" min="3" max="3" width="6.44"/>
    <col customWidth="1" min="4" max="4" width="20.0"/>
    <col customWidth="1" min="5" max="7" width="8.11"/>
    <col customWidth="1" min="8" max="8" width="7.11"/>
    <col customWidth="1" min="9" max="9" width="60.0"/>
    <col customWidth="1" min="11" max="11" width="50.44"/>
    <col customWidth="1" min="12" max="12" width="15.22"/>
    <col customWidth="1" min="13" max="13" width="23.0"/>
    <col customWidth="1" min="14" max="14" width="18.44"/>
    <col customWidth="1" min="15" max="15" width="27.44"/>
    <col customWidth="1" min="16" max="16" width="31.0"/>
    <col customWidth="1" min="17" max="26" width="9.0"/>
  </cols>
  <sheetData>
    <row r="1" ht="74.25" customHeight="1">
      <c r="A1" s="658" t="str">
        <f>'KKLEAD II'!A1:N1</f>
        <v>PENJAMINAN KUALITAS HASIL PENILAIAN MANDIRI MATURITAS PENYELENGGARAAN SPIP
PEMERINTAH DAERAH …
Periode Penilaian 01 Juli 20XX-1 sampai dengan 30 Juni 20XX</v>
      </c>
      <c r="P1" s="293"/>
    </row>
    <row r="2" ht="69.0" customHeight="1">
      <c r="A2" s="659" t="s">
        <v>2151</v>
      </c>
      <c r="B2" s="212"/>
      <c r="C2" s="212"/>
      <c r="D2" s="212"/>
      <c r="E2" s="212"/>
      <c r="F2" s="212"/>
      <c r="G2" s="212"/>
      <c r="H2" s="212"/>
      <c r="I2" s="212"/>
      <c r="J2" s="177"/>
      <c r="K2" s="660"/>
      <c r="L2" s="507" t="s">
        <v>104</v>
      </c>
      <c r="N2" s="661" t="s">
        <v>105</v>
      </c>
      <c r="O2" s="8"/>
      <c r="P2" s="293"/>
    </row>
    <row r="3">
      <c r="A3" s="662" t="s">
        <v>106</v>
      </c>
      <c r="B3" s="663" t="s">
        <v>107</v>
      </c>
      <c r="C3" s="663" t="s">
        <v>108</v>
      </c>
      <c r="D3" s="663" t="s">
        <v>109</v>
      </c>
      <c r="E3" s="664" t="s">
        <v>110</v>
      </c>
      <c r="F3" s="344"/>
      <c r="G3" s="345"/>
      <c r="H3" s="665" t="s">
        <v>2019</v>
      </c>
      <c r="I3" s="666" t="s">
        <v>1625</v>
      </c>
      <c r="J3" s="511" t="s">
        <v>1626</v>
      </c>
      <c r="K3" s="511" t="s">
        <v>2152</v>
      </c>
      <c r="L3" s="511" t="s">
        <v>2153</v>
      </c>
      <c r="M3" s="611" t="s">
        <v>1629</v>
      </c>
      <c r="N3" s="667" t="s">
        <v>1631</v>
      </c>
      <c r="O3" s="611" t="s">
        <v>1632</v>
      </c>
      <c r="P3" s="612" t="s">
        <v>2022</v>
      </c>
    </row>
    <row r="4">
      <c r="A4" s="668"/>
      <c r="B4" s="669"/>
      <c r="C4" s="669"/>
      <c r="D4" s="669"/>
      <c r="E4" s="670" t="s">
        <v>119</v>
      </c>
      <c r="F4" s="670" t="s">
        <v>120</v>
      </c>
      <c r="G4" s="670" t="s">
        <v>58</v>
      </c>
      <c r="H4" s="669"/>
      <c r="I4" s="671"/>
      <c r="J4" s="210"/>
      <c r="K4" s="210"/>
      <c r="L4" s="210"/>
      <c r="M4" s="210"/>
      <c r="N4" s="210"/>
      <c r="O4" s="210"/>
      <c r="P4" s="536"/>
    </row>
    <row r="5">
      <c r="A5" s="672" t="s">
        <v>121</v>
      </c>
      <c r="B5" s="143" t="s">
        <v>122</v>
      </c>
      <c r="C5" s="62"/>
      <c r="D5" s="62"/>
      <c r="E5" s="62"/>
      <c r="F5" s="62"/>
      <c r="G5" s="62"/>
      <c r="H5" s="62"/>
      <c r="I5" s="673"/>
      <c r="J5" s="616"/>
      <c r="K5" s="616"/>
      <c r="L5" s="674">
        <f>L6</f>
        <v>5</v>
      </c>
      <c r="M5" s="616"/>
      <c r="N5" s="675">
        <f>N6</f>
        <v>5</v>
      </c>
      <c r="O5" s="616"/>
      <c r="P5" s="210"/>
    </row>
    <row r="6">
      <c r="A6" s="676"/>
      <c r="B6" s="58"/>
      <c r="C6" s="100">
        <v>1.0</v>
      </c>
      <c r="D6" s="58" t="s">
        <v>2154</v>
      </c>
      <c r="E6" s="82" t="s">
        <v>119</v>
      </c>
      <c r="F6" s="150" t="s">
        <v>124</v>
      </c>
      <c r="G6" s="150" t="s">
        <v>124</v>
      </c>
      <c r="H6" s="619" t="s">
        <v>1636</v>
      </c>
      <c r="I6" s="620" t="s">
        <v>1637</v>
      </c>
      <c r="J6" s="621" t="s">
        <v>1638</v>
      </c>
      <c r="K6" s="628" t="s">
        <v>2155</v>
      </c>
      <c r="L6" s="623">
        <v>5.0</v>
      </c>
      <c r="M6" s="100" t="s">
        <v>301</v>
      </c>
      <c r="N6" s="568">
        <v>5.0</v>
      </c>
      <c r="O6" s="100" t="s">
        <v>2025</v>
      </c>
      <c r="P6" s="677" t="s">
        <v>2156</v>
      </c>
    </row>
    <row r="7">
      <c r="A7" s="678"/>
      <c r="B7" s="536"/>
      <c r="C7" s="536"/>
      <c r="D7" s="536"/>
      <c r="E7" s="82" t="s">
        <v>119</v>
      </c>
      <c r="F7" s="150" t="s">
        <v>124</v>
      </c>
      <c r="G7" s="150" t="s">
        <v>124</v>
      </c>
      <c r="H7" s="626" t="s">
        <v>1643</v>
      </c>
      <c r="I7" s="627" t="s">
        <v>1644</v>
      </c>
      <c r="J7" s="538"/>
      <c r="K7" s="539"/>
      <c r="L7" s="538"/>
      <c r="M7" s="536"/>
      <c r="N7" s="536"/>
      <c r="O7" s="536"/>
      <c r="P7" s="536"/>
    </row>
    <row r="8">
      <c r="A8" s="678"/>
      <c r="B8" s="536"/>
      <c r="C8" s="536"/>
      <c r="D8" s="536"/>
      <c r="E8" s="82" t="s">
        <v>119</v>
      </c>
      <c r="F8" s="150" t="s">
        <v>124</v>
      </c>
      <c r="G8" s="150" t="s">
        <v>124</v>
      </c>
      <c r="H8" s="626" t="s">
        <v>1645</v>
      </c>
      <c r="I8" s="627" t="s">
        <v>1646</v>
      </c>
      <c r="J8" s="538"/>
      <c r="K8" s="539"/>
      <c r="L8" s="538"/>
      <c r="M8" s="536"/>
      <c r="N8" s="536"/>
      <c r="O8" s="536"/>
      <c r="P8" s="536"/>
    </row>
    <row r="9">
      <c r="A9" s="678"/>
      <c r="B9" s="536"/>
      <c r="C9" s="536"/>
      <c r="D9" s="536"/>
      <c r="E9" s="82" t="s">
        <v>119</v>
      </c>
      <c r="F9" s="150" t="s">
        <v>124</v>
      </c>
      <c r="G9" s="150" t="s">
        <v>124</v>
      </c>
      <c r="H9" s="626" t="s">
        <v>1638</v>
      </c>
      <c r="I9" s="627" t="s">
        <v>1647</v>
      </c>
      <c r="J9" s="538"/>
      <c r="K9" s="539"/>
      <c r="L9" s="538"/>
      <c r="M9" s="536"/>
      <c r="N9" s="536"/>
      <c r="O9" s="536"/>
      <c r="P9" s="536"/>
    </row>
    <row r="10" ht="409.5" customHeight="1">
      <c r="A10" s="678"/>
      <c r="B10" s="536"/>
      <c r="C10" s="210"/>
      <c r="D10" s="210"/>
      <c r="E10" s="82" t="s">
        <v>119</v>
      </c>
      <c r="F10" s="150" t="s">
        <v>124</v>
      </c>
      <c r="G10" s="150" t="s">
        <v>124</v>
      </c>
      <c r="H10" s="626" t="s">
        <v>1648</v>
      </c>
      <c r="I10" s="627" t="s">
        <v>1649</v>
      </c>
      <c r="J10" s="213"/>
      <c r="K10" s="440"/>
      <c r="L10" s="213"/>
      <c r="M10" s="210"/>
      <c r="N10" s="210"/>
      <c r="O10" s="210"/>
      <c r="P10" s="210"/>
    </row>
    <row r="11">
      <c r="A11" s="672" t="s">
        <v>132</v>
      </c>
      <c r="B11" s="143" t="s">
        <v>133</v>
      </c>
      <c r="C11" s="62"/>
      <c r="D11" s="62"/>
      <c r="E11" s="62"/>
      <c r="F11" s="62"/>
      <c r="G11" s="62"/>
      <c r="H11" s="62"/>
      <c r="I11" s="673"/>
      <c r="J11" s="144"/>
      <c r="K11" s="144"/>
      <c r="L11" s="613">
        <f>L12</f>
        <v>4</v>
      </c>
      <c r="M11" s="144"/>
      <c r="N11" s="679">
        <f>N12</f>
        <v>3</v>
      </c>
      <c r="O11" s="144"/>
      <c r="P11" s="487"/>
    </row>
    <row r="12">
      <c r="A12" s="676"/>
      <c r="B12" s="58"/>
      <c r="C12" s="100">
        <v>1.0</v>
      </c>
      <c r="D12" s="58" t="s">
        <v>2157</v>
      </c>
      <c r="E12" s="82" t="s">
        <v>119</v>
      </c>
      <c r="F12" s="150" t="s">
        <v>124</v>
      </c>
      <c r="G12" s="150" t="s">
        <v>124</v>
      </c>
      <c r="H12" s="168" t="s">
        <v>1636</v>
      </c>
      <c r="I12" s="620" t="s">
        <v>1650</v>
      </c>
      <c r="J12" s="621" t="s">
        <v>1638</v>
      </c>
      <c r="K12" s="628" t="s">
        <v>2158</v>
      </c>
      <c r="L12" s="623">
        <v>4.0</v>
      </c>
      <c r="M12" s="100" t="s">
        <v>301</v>
      </c>
      <c r="N12" s="568">
        <v>3.0</v>
      </c>
      <c r="O12" s="100" t="s">
        <v>2029</v>
      </c>
      <c r="P12" s="677" t="s">
        <v>2159</v>
      </c>
    </row>
    <row r="13">
      <c r="A13" s="678"/>
      <c r="B13" s="536"/>
      <c r="C13" s="536"/>
      <c r="D13" s="536"/>
      <c r="E13" s="82" t="s">
        <v>119</v>
      </c>
      <c r="F13" s="150" t="s">
        <v>124</v>
      </c>
      <c r="G13" s="150" t="s">
        <v>124</v>
      </c>
      <c r="H13" s="626" t="s">
        <v>1643</v>
      </c>
      <c r="I13" s="627" t="s">
        <v>1656</v>
      </c>
      <c r="J13" s="538"/>
      <c r="K13" s="539"/>
      <c r="L13" s="538"/>
      <c r="M13" s="536"/>
      <c r="N13" s="536"/>
      <c r="O13" s="536"/>
      <c r="P13" s="536"/>
    </row>
    <row r="14">
      <c r="A14" s="678"/>
      <c r="B14" s="536"/>
      <c r="C14" s="536"/>
      <c r="D14" s="536"/>
      <c r="E14" s="82" t="s">
        <v>119</v>
      </c>
      <c r="F14" s="150" t="s">
        <v>124</v>
      </c>
      <c r="G14" s="150" t="s">
        <v>124</v>
      </c>
      <c r="H14" s="630" t="s">
        <v>1645</v>
      </c>
      <c r="I14" s="627" t="s">
        <v>1657</v>
      </c>
      <c r="J14" s="538"/>
      <c r="K14" s="539"/>
      <c r="L14" s="538"/>
      <c r="M14" s="536"/>
      <c r="N14" s="536"/>
      <c r="O14" s="536"/>
      <c r="P14" s="536"/>
    </row>
    <row r="15">
      <c r="A15" s="678"/>
      <c r="B15" s="536"/>
      <c r="C15" s="536"/>
      <c r="D15" s="536"/>
      <c r="E15" s="82" t="s">
        <v>119</v>
      </c>
      <c r="F15" s="150" t="s">
        <v>124</v>
      </c>
      <c r="G15" s="150" t="s">
        <v>124</v>
      </c>
      <c r="H15" s="626" t="s">
        <v>1638</v>
      </c>
      <c r="I15" s="627" t="s">
        <v>1658</v>
      </c>
      <c r="J15" s="538"/>
      <c r="K15" s="539"/>
      <c r="L15" s="538"/>
      <c r="M15" s="536"/>
      <c r="N15" s="536"/>
      <c r="O15" s="536"/>
      <c r="P15" s="536"/>
    </row>
    <row r="16" ht="409.5" customHeight="1">
      <c r="A16" s="680"/>
      <c r="B16" s="210"/>
      <c r="C16" s="210"/>
      <c r="D16" s="210"/>
      <c r="E16" s="82" t="s">
        <v>119</v>
      </c>
      <c r="F16" s="150" t="s">
        <v>124</v>
      </c>
      <c r="G16" s="150" t="s">
        <v>124</v>
      </c>
      <c r="H16" s="626" t="s">
        <v>1648</v>
      </c>
      <c r="I16" s="627" t="s">
        <v>1659</v>
      </c>
      <c r="J16" s="213"/>
      <c r="K16" s="440"/>
      <c r="L16" s="213"/>
      <c r="M16" s="210"/>
      <c r="N16" s="210"/>
      <c r="O16" s="210"/>
      <c r="P16" s="210"/>
    </row>
    <row r="17">
      <c r="A17" s="672">
        <v>1.3</v>
      </c>
      <c r="B17" s="143" t="s">
        <v>136</v>
      </c>
      <c r="C17" s="62"/>
      <c r="D17" s="62"/>
      <c r="E17" s="62"/>
      <c r="F17" s="62"/>
      <c r="G17" s="62"/>
      <c r="H17" s="62"/>
      <c r="I17" s="673"/>
      <c r="J17" s="144"/>
      <c r="K17" s="144"/>
      <c r="L17" s="613">
        <f>AVERAGE(L18:L37)</f>
        <v>3</v>
      </c>
      <c r="M17" s="144"/>
      <c r="N17" s="679">
        <f>AVERAGE(N18:N37)</f>
        <v>2.75</v>
      </c>
      <c r="O17" s="144"/>
      <c r="P17" s="487"/>
    </row>
    <row r="18">
      <c r="A18" s="676"/>
      <c r="B18" s="40"/>
      <c r="C18" s="100">
        <v>1.0</v>
      </c>
      <c r="D18" s="58" t="s">
        <v>2160</v>
      </c>
      <c r="E18" s="82" t="s">
        <v>119</v>
      </c>
      <c r="F18" s="150" t="s">
        <v>124</v>
      </c>
      <c r="G18" s="150" t="s">
        <v>124</v>
      </c>
      <c r="H18" s="168" t="s">
        <v>1636</v>
      </c>
      <c r="I18" s="620" t="s">
        <v>1662</v>
      </c>
      <c r="J18" s="621" t="s">
        <v>1638</v>
      </c>
      <c r="K18" s="628" t="s">
        <v>2161</v>
      </c>
      <c r="L18" s="681">
        <v>3.0</v>
      </c>
      <c r="M18" s="568" t="s">
        <v>301</v>
      </c>
      <c r="N18" s="568">
        <v>3.0</v>
      </c>
      <c r="O18" s="568" t="s">
        <v>1091</v>
      </c>
      <c r="P18" s="677" t="s">
        <v>2162</v>
      </c>
    </row>
    <row r="19">
      <c r="A19" s="678"/>
      <c r="B19" s="536"/>
      <c r="C19" s="536"/>
      <c r="D19" s="536"/>
      <c r="E19" s="82" t="s">
        <v>119</v>
      </c>
      <c r="F19" s="150" t="s">
        <v>124</v>
      </c>
      <c r="G19" s="150" t="s">
        <v>124</v>
      </c>
      <c r="H19" s="626" t="s">
        <v>1643</v>
      </c>
      <c r="I19" s="627" t="s">
        <v>1667</v>
      </c>
      <c r="J19" s="538"/>
      <c r="K19" s="539"/>
      <c r="L19" s="539"/>
      <c r="M19" s="536"/>
      <c r="N19" s="536"/>
      <c r="O19" s="536"/>
      <c r="P19" s="536"/>
    </row>
    <row r="20">
      <c r="A20" s="678"/>
      <c r="B20" s="536"/>
      <c r="C20" s="536"/>
      <c r="D20" s="536"/>
      <c r="E20" s="82" t="s">
        <v>119</v>
      </c>
      <c r="F20" s="150" t="s">
        <v>124</v>
      </c>
      <c r="G20" s="150" t="s">
        <v>124</v>
      </c>
      <c r="H20" s="630" t="s">
        <v>1645</v>
      </c>
      <c r="I20" s="627" t="s">
        <v>1668</v>
      </c>
      <c r="J20" s="538"/>
      <c r="K20" s="539"/>
      <c r="L20" s="539"/>
      <c r="M20" s="536"/>
      <c r="N20" s="536"/>
      <c r="O20" s="536"/>
      <c r="P20" s="536"/>
    </row>
    <row r="21" ht="15.75" customHeight="1">
      <c r="A21" s="678"/>
      <c r="B21" s="536"/>
      <c r="C21" s="536"/>
      <c r="D21" s="536"/>
      <c r="E21" s="82" t="s">
        <v>119</v>
      </c>
      <c r="F21" s="150" t="s">
        <v>124</v>
      </c>
      <c r="G21" s="150" t="s">
        <v>124</v>
      </c>
      <c r="H21" s="626" t="s">
        <v>1638</v>
      </c>
      <c r="I21" s="627" t="s">
        <v>1669</v>
      </c>
      <c r="J21" s="538"/>
      <c r="K21" s="539"/>
      <c r="L21" s="539"/>
      <c r="M21" s="536"/>
      <c r="N21" s="536"/>
      <c r="O21" s="536"/>
      <c r="P21" s="536"/>
    </row>
    <row r="22" ht="409.5" customHeight="1">
      <c r="A22" s="678"/>
      <c r="B22" s="536"/>
      <c r="C22" s="210"/>
      <c r="D22" s="210"/>
      <c r="E22" s="82" t="s">
        <v>119</v>
      </c>
      <c r="F22" s="150" t="s">
        <v>124</v>
      </c>
      <c r="G22" s="150" t="s">
        <v>124</v>
      </c>
      <c r="H22" s="626" t="s">
        <v>1648</v>
      </c>
      <c r="I22" s="627" t="s">
        <v>1670</v>
      </c>
      <c r="J22" s="213"/>
      <c r="K22" s="440"/>
      <c r="L22" s="440"/>
      <c r="M22" s="210"/>
      <c r="N22" s="210"/>
      <c r="O22" s="210"/>
      <c r="P22" s="210"/>
    </row>
    <row r="23" ht="15.75" customHeight="1">
      <c r="A23" s="678"/>
      <c r="B23" s="536"/>
      <c r="C23" s="100">
        <v>2.0</v>
      </c>
      <c r="D23" s="58" t="s">
        <v>1671</v>
      </c>
      <c r="E23" s="100" t="s">
        <v>119</v>
      </c>
      <c r="F23" s="100" t="s">
        <v>120</v>
      </c>
      <c r="G23" s="682" t="s">
        <v>124</v>
      </c>
      <c r="H23" s="626" t="s">
        <v>1636</v>
      </c>
      <c r="I23" s="627" t="s">
        <v>1672</v>
      </c>
      <c r="J23" s="631" t="s">
        <v>1638</v>
      </c>
      <c r="K23" s="683" t="s">
        <v>2163</v>
      </c>
      <c r="L23" s="633">
        <v>4.0</v>
      </c>
      <c r="M23" s="100" t="s">
        <v>301</v>
      </c>
      <c r="N23" s="568">
        <v>3.0</v>
      </c>
      <c r="O23" s="100" t="s">
        <v>2035</v>
      </c>
      <c r="P23" s="684" t="s">
        <v>2164</v>
      </c>
    </row>
    <row r="24" ht="15.75" customHeight="1">
      <c r="A24" s="678"/>
      <c r="B24" s="536"/>
      <c r="C24" s="536"/>
      <c r="D24" s="536"/>
      <c r="E24" s="100" t="s">
        <v>119</v>
      </c>
      <c r="F24" s="100" t="s">
        <v>120</v>
      </c>
      <c r="G24" s="682" t="s">
        <v>124</v>
      </c>
      <c r="H24" s="626" t="s">
        <v>1643</v>
      </c>
      <c r="I24" s="627" t="s">
        <v>1675</v>
      </c>
      <c r="J24" s="538"/>
      <c r="K24" s="539"/>
      <c r="L24" s="538"/>
      <c r="M24" s="536"/>
      <c r="N24" s="536"/>
      <c r="O24" s="536"/>
      <c r="P24" s="685"/>
    </row>
    <row r="25" ht="15.75" customHeight="1">
      <c r="A25" s="678"/>
      <c r="B25" s="536"/>
      <c r="C25" s="536"/>
      <c r="D25" s="536"/>
      <c r="E25" s="100" t="s">
        <v>119</v>
      </c>
      <c r="F25" s="100" t="s">
        <v>120</v>
      </c>
      <c r="G25" s="682" t="s">
        <v>124</v>
      </c>
      <c r="H25" s="630" t="s">
        <v>1645</v>
      </c>
      <c r="I25" s="627" t="s">
        <v>1676</v>
      </c>
      <c r="J25" s="538"/>
      <c r="K25" s="539"/>
      <c r="L25" s="538"/>
      <c r="M25" s="536"/>
      <c r="N25" s="536"/>
      <c r="O25" s="536"/>
      <c r="P25" s="536"/>
    </row>
    <row r="26" ht="15.75" customHeight="1">
      <c r="A26" s="678"/>
      <c r="B26" s="536"/>
      <c r="C26" s="536"/>
      <c r="D26" s="536"/>
      <c r="E26" s="100" t="s">
        <v>119</v>
      </c>
      <c r="F26" s="100" t="s">
        <v>120</v>
      </c>
      <c r="G26" s="682" t="s">
        <v>124</v>
      </c>
      <c r="H26" s="626" t="s">
        <v>1638</v>
      </c>
      <c r="I26" s="627" t="s">
        <v>1677</v>
      </c>
      <c r="J26" s="538"/>
      <c r="K26" s="539"/>
      <c r="L26" s="538"/>
      <c r="M26" s="536"/>
      <c r="N26" s="536"/>
      <c r="O26" s="536"/>
      <c r="P26" s="536"/>
    </row>
    <row r="27" ht="291.0" customHeight="1">
      <c r="A27" s="678"/>
      <c r="B27" s="536"/>
      <c r="C27" s="210"/>
      <c r="D27" s="210"/>
      <c r="E27" s="100" t="s">
        <v>119</v>
      </c>
      <c r="F27" s="100" t="s">
        <v>120</v>
      </c>
      <c r="G27" s="682" t="s">
        <v>124</v>
      </c>
      <c r="H27" s="626" t="s">
        <v>1648</v>
      </c>
      <c r="I27" s="627" t="s">
        <v>1678</v>
      </c>
      <c r="J27" s="213"/>
      <c r="K27" s="440"/>
      <c r="L27" s="213"/>
      <c r="M27" s="210"/>
      <c r="N27" s="210"/>
      <c r="O27" s="210"/>
      <c r="P27" s="210"/>
    </row>
    <row r="28" ht="88.5" customHeight="1">
      <c r="A28" s="678"/>
      <c r="B28" s="536"/>
      <c r="C28" s="58">
        <v>3.0</v>
      </c>
      <c r="D28" s="58" t="s">
        <v>1679</v>
      </c>
      <c r="E28" s="100" t="s">
        <v>119</v>
      </c>
      <c r="F28" s="100" t="s">
        <v>120</v>
      </c>
      <c r="G28" s="682" t="s">
        <v>124</v>
      </c>
      <c r="H28" s="626" t="s">
        <v>1636</v>
      </c>
      <c r="I28" s="627" t="s">
        <v>1680</v>
      </c>
      <c r="J28" s="631" t="s">
        <v>1638</v>
      </c>
      <c r="K28" s="683" t="s">
        <v>2165</v>
      </c>
      <c r="L28" s="633">
        <v>2.0</v>
      </c>
      <c r="M28" s="100" t="s">
        <v>301</v>
      </c>
      <c r="N28" s="568">
        <v>2.0</v>
      </c>
      <c r="O28" s="100" t="s">
        <v>1091</v>
      </c>
      <c r="P28" s="677" t="s">
        <v>2166</v>
      </c>
    </row>
    <row r="29" ht="108.75" customHeight="1">
      <c r="A29" s="678"/>
      <c r="B29" s="536"/>
      <c r="C29" s="536"/>
      <c r="D29" s="536"/>
      <c r="E29" s="100" t="s">
        <v>119</v>
      </c>
      <c r="F29" s="100" t="s">
        <v>120</v>
      </c>
      <c r="G29" s="682" t="s">
        <v>124</v>
      </c>
      <c r="H29" s="626" t="s">
        <v>1643</v>
      </c>
      <c r="I29" s="627" t="s">
        <v>1683</v>
      </c>
      <c r="J29" s="538"/>
      <c r="K29" s="539"/>
      <c r="L29" s="538"/>
      <c r="M29" s="536"/>
      <c r="N29" s="536"/>
      <c r="O29" s="536"/>
      <c r="P29" s="536"/>
    </row>
    <row r="30" ht="88.5" customHeight="1">
      <c r="A30" s="678"/>
      <c r="B30" s="536"/>
      <c r="C30" s="536"/>
      <c r="D30" s="536"/>
      <c r="E30" s="100" t="s">
        <v>119</v>
      </c>
      <c r="F30" s="100" t="s">
        <v>120</v>
      </c>
      <c r="G30" s="682" t="s">
        <v>124</v>
      </c>
      <c r="H30" s="626" t="s">
        <v>1645</v>
      </c>
      <c r="I30" s="627" t="s">
        <v>1684</v>
      </c>
      <c r="J30" s="538"/>
      <c r="K30" s="539"/>
      <c r="L30" s="538"/>
      <c r="M30" s="536"/>
      <c r="N30" s="536"/>
      <c r="O30" s="536"/>
      <c r="P30" s="536"/>
    </row>
    <row r="31" ht="108.0" customHeight="1">
      <c r="A31" s="678"/>
      <c r="B31" s="536"/>
      <c r="C31" s="536"/>
      <c r="D31" s="536"/>
      <c r="E31" s="100" t="s">
        <v>119</v>
      </c>
      <c r="F31" s="100" t="s">
        <v>120</v>
      </c>
      <c r="G31" s="682" t="s">
        <v>124</v>
      </c>
      <c r="H31" s="630" t="s">
        <v>1638</v>
      </c>
      <c r="I31" s="627" t="s">
        <v>1685</v>
      </c>
      <c r="J31" s="538"/>
      <c r="K31" s="539"/>
      <c r="L31" s="538"/>
      <c r="M31" s="536"/>
      <c r="N31" s="536"/>
      <c r="O31" s="536"/>
      <c r="P31" s="536"/>
    </row>
    <row r="32" ht="163.5" customHeight="1">
      <c r="A32" s="678"/>
      <c r="B32" s="536"/>
      <c r="C32" s="210"/>
      <c r="D32" s="210"/>
      <c r="E32" s="100" t="s">
        <v>119</v>
      </c>
      <c r="F32" s="100" t="s">
        <v>120</v>
      </c>
      <c r="G32" s="682" t="s">
        <v>124</v>
      </c>
      <c r="H32" s="626" t="s">
        <v>1648</v>
      </c>
      <c r="I32" s="627" t="s">
        <v>1686</v>
      </c>
      <c r="J32" s="213"/>
      <c r="K32" s="440"/>
      <c r="L32" s="213"/>
      <c r="M32" s="210"/>
      <c r="N32" s="210"/>
      <c r="O32" s="210"/>
      <c r="P32" s="210"/>
    </row>
    <row r="33" ht="79.5" customHeight="1">
      <c r="A33" s="678"/>
      <c r="B33" s="536"/>
      <c r="C33" s="100">
        <v>4.0</v>
      </c>
      <c r="D33" s="58" t="s">
        <v>1687</v>
      </c>
      <c r="E33" s="100" t="s">
        <v>119</v>
      </c>
      <c r="F33" s="100" t="s">
        <v>120</v>
      </c>
      <c r="G33" s="682" t="s">
        <v>124</v>
      </c>
      <c r="H33" s="626" t="s">
        <v>1636</v>
      </c>
      <c r="I33" s="627" t="s">
        <v>1688</v>
      </c>
      <c r="J33" s="631" t="s">
        <v>1638</v>
      </c>
      <c r="K33" s="683" t="s">
        <v>2167</v>
      </c>
      <c r="L33" s="633">
        <v>3.0</v>
      </c>
      <c r="M33" s="100" t="s">
        <v>301</v>
      </c>
      <c r="N33" s="568">
        <v>3.0</v>
      </c>
      <c r="O33" s="100" t="s">
        <v>1091</v>
      </c>
      <c r="P33" s="677" t="s">
        <v>2168</v>
      </c>
    </row>
    <row r="34" ht="84.75" customHeight="1">
      <c r="A34" s="678"/>
      <c r="B34" s="536"/>
      <c r="C34" s="536"/>
      <c r="D34" s="536"/>
      <c r="E34" s="100" t="s">
        <v>119</v>
      </c>
      <c r="F34" s="100" t="s">
        <v>120</v>
      </c>
      <c r="G34" s="682" t="s">
        <v>124</v>
      </c>
      <c r="H34" s="626" t="s">
        <v>1643</v>
      </c>
      <c r="I34" s="635" t="s">
        <v>1691</v>
      </c>
      <c r="J34" s="538"/>
      <c r="K34" s="539"/>
      <c r="L34" s="538"/>
      <c r="M34" s="536"/>
      <c r="N34" s="536"/>
      <c r="O34" s="536"/>
      <c r="P34" s="536"/>
    </row>
    <row r="35" ht="87.75" customHeight="1">
      <c r="A35" s="678"/>
      <c r="B35" s="536"/>
      <c r="C35" s="536"/>
      <c r="D35" s="536"/>
      <c r="E35" s="100" t="s">
        <v>119</v>
      </c>
      <c r="F35" s="100" t="s">
        <v>120</v>
      </c>
      <c r="G35" s="682" t="s">
        <v>124</v>
      </c>
      <c r="H35" s="630" t="s">
        <v>1645</v>
      </c>
      <c r="I35" s="635" t="s">
        <v>1692</v>
      </c>
      <c r="J35" s="538"/>
      <c r="K35" s="539"/>
      <c r="L35" s="538"/>
      <c r="M35" s="536"/>
      <c r="N35" s="536"/>
      <c r="O35" s="536"/>
      <c r="P35" s="536"/>
    </row>
    <row r="36" ht="101.25" customHeight="1">
      <c r="A36" s="678"/>
      <c r="B36" s="536"/>
      <c r="C36" s="536"/>
      <c r="D36" s="536"/>
      <c r="E36" s="100" t="s">
        <v>119</v>
      </c>
      <c r="F36" s="100" t="s">
        <v>120</v>
      </c>
      <c r="G36" s="682" t="s">
        <v>124</v>
      </c>
      <c r="H36" s="626" t="s">
        <v>1638</v>
      </c>
      <c r="I36" s="635" t="s">
        <v>1693</v>
      </c>
      <c r="J36" s="538"/>
      <c r="K36" s="539"/>
      <c r="L36" s="538"/>
      <c r="M36" s="536"/>
      <c r="N36" s="536"/>
      <c r="O36" s="536"/>
      <c r="P36" s="536"/>
    </row>
    <row r="37" ht="272.25" customHeight="1">
      <c r="A37" s="678"/>
      <c r="B37" s="210"/>
      <c r="C37" s="210"/>
      <c r="D37" s="210"/>
      <c r="E37" s="100" t="s">
        <v>119</v>
      </c>
      <c r="F37" s="100" t="s">
        <v>120</v>
      </c>
      <c r="G37" s="682" t="s">
        <v>124</v>
      </c>
      <c r="H37" s="626" t="s">
        <v>1648</v>
      </c>
      <c r="I37" s="635" t="s">
        <v>1694</v>
      </c>
      <c r="J37" s="213"/>
      <c r="K37" s="440"/>
      <c r="L37" s="213"/>
      <c r="M37" s="210"/>
      <c r="N37" s="210"/>
      <c r="O37" s="210"/>
      <c r="P37" s="210"/>
    </row>
    <row r="38" ht="15.75" customHeight="1">
      <c r="A38" s="672" t="s">
        <v>145</v>
      </c>
      <c r="B38" s="143" t="s">
        <v>2041</v>
      </c>
      <c r="C38" s="62"/>
      <c r="D38" s="62"/>
      <c r="E38" s="62"/>
      <c r="F38" s="62"/>
      <c r="G38" s="62"/>
      <c r="H38" s="62"/>
      <c r="I38" s="673"/>
      <c r="J38" s="144"/>
      <c r="K38" s="144"/>
      <c r="L38" s="613">
        <f>L39</f>
        <v>5</v>
      </c>
      <c r="M38" s="144"/>
      <c r="N38" s="679">
        <f>N39</f>
        <v>4</v>
      </c>
      <c r="O38" s="144"/>
      <c r="P38" s="487"/>
    </row>
    <row r="39" ht="80.25" customHeight="1">
      <c r="A39" s="676"/>
      <c r="B39" s="58"/>
      <c r="C39" s="100">
        <v>1.0</v>
      </c>
      <c r="D39" s="58" t="s">
        <v>2169</v>
      </c>
      <c r="E39" s="82" t="s">
        <v>119</v>
      </c>
      <c r="F39" s="150" t="s">
        <v>124</v>
      </c>
      <c r="G39" s="150" t="s">
        <v>124</v>
      </c>
      <c r="H39" s="168" t="s">
        <v>1636</v>
      </c>
      <c r="I39" s="620" t="s">
        <v>1696</v>
      </c>
      <c r="J39" s="621" t="s">
        <v>1638</v>
      </c>
      <c r="K39" s="628" t="s">
        <v>2170</v>
      </c>
      <c r="L39" s="623">
        <v>5.0</v>
      </c>
      <c r="M39" s="100" t="s">
        <v>301</v>
      </c>
      <c r="N39" s="568">
        <v>4.0</v>
      </c>
      <c r="O39" s="100" t="s">
        <v>2171</v>
      </c>
      <c r="P39" s="677" t="s">
        <v>2172</v>
      </c>
    </row>
    <row r="40" ht="75.0" customHeight="1">
      <c r="A40" s="678"/>
      <c r="B40" s="536"/>
      <c r="C40" s="536"/>
      <c r="D40" s="536"/>
      <c r="E40" s="82" t="s">
        <v>119</v>
      </c>
      <c r="F40" s="150" t="s">
        <v>124</v>
      </c>
      <c r="G40" s="150" t="s">
        <v>124</v>
      </c>
      <c r="H40" s="630" t="s">
        <v>1643</v>
      </c>
      <c r="I40" s="627" t="s">
        <v>1701</v>
      </c>
      <c r="J40" s="538"/>
      <c r="K40" s="539"/>
      <c r="L40" s="538"/>
      <c r="M40" s="536"/>
      <c r="N40" s="536"/>
      <c r="O40" s="536"/>
      <c r="P40" s="536"/>
    </row>
    <row r="41" ht="107.25" customHeight="1">
      <c r="A41" s="678"/>
      <c r="B41" s="536"/>
      <c r="C41" s="536"/>
      <c r="D41" s="536"/>
      <c r="E41" s="82" t="s">
        <v>119</v>
      </c>
      <c r="F41" s="150" t="s">
        <v>124</v>
      </c>
      <c r="G41" s="150" t="s">
        <v>124</v>
      </c>
      <c r="H41" s="626" t="s">
        <v>1645</v>
      </c>
      <c r="I41" s="627" t="s">
        <v>1702</v>
      </c>
      <c r="J41" s="538"/>
      <c r="K41" s="539"/>
      <c r="L41" s="538"/>
      <c r="M41" s="536"/>
      <c r="N41" s="536"/>
      <c r="O41" s="536"/>
      <c r="P41" s="536"/>
    </row>
    <row r="42" ht="15.75" customHeight="1">
      <c r="A42" s="678"/>
      <c r="B42" s="536"/>
      <c r="C42" s="536"/>
      <c r="D42" s="536"/>
      <c r="E42" s="82" t="s">
        <v>119</v>
      </c>
      <c r="F42" s="150" t="s">
        <v>124</v>
      </c>
      <c r="G42" s="150" t="s">
        <v>124</v>
      </c>
      <c r="H42" s="626" t="s">
        <v>1638</v>
      </c>
      <c r="I42" s="627" t="s">
        <v>1703</v>
      </c>
      <c r="J42" s="538"/>
      <c r="K42" s="539"/>
      <c r="L42" s="538"/>
      <c r="M42" s="536"/>
      <c r="N42" s="536"/>
      <c r="O42" s="536"/>
      <c r="P42" s="536"/>
    </row>
    <row r="43" ht="213.0" customHeight="1">
      <c r="A43" s="680"/>
      <c r="B43" s="210"/>
      <c r="C43" s="210"/>
      <c r="D43" s="210"/>
      <c r="E43" s="82" t="s">
        <v>119</v>
      </c>
      <c r="F43" s="150" t="s">
        <v>124</v>
      </c>
      <c r="G43" s="150" t="s">
        <v>124</v>
      </c>
      <c r="H43" s="626" t="s">
        <v>1648</v>
      </c>
      <c r="I43" s="627" t="s">
        <v>1704</v>
      </c>
      <c r="J43" s="213"/>
      <c r="K43" s="440"/>
      <c r="L43" s="213"/>
      <c r="M43" s="210"/>
      <c r="N43" s="210"/>
      <c r="O43" s="210"/>
      <c r="P43" s="210"/>
    </row>
    <row r="44" ht="15.75" customHeight="1">
      <c r="A44" s="672" t="s">
        <v>148</v>
      </c>
      <c r="B44" s="143" t="s">
        <v>149</v>
      </c>
      <c r="C44" s="62"/>
      <c r="D44" s="62"/>
      <c r="E44" s="62"/>
      <c r="F44" s="62"/>
      <c r="G44" s="62"/>
      <c r="H44" s="62"/>
      <c r="I44" s="673"/>
      <c r="J44" s="144"/>
      <c r="K44" s="144"/>
      <c r="L44" s="613">
        <f>L45</f>
        <v>5</v>
      </c>
      <c r="M44" s="144"/>
      <c r="N44" s="679">
        <f>N45</f>
        <v>5</v>
      </c>
      <c r="O44" s="144"/>
      <c r="P44" s="487"/>
    </row>
    <row r="45" ht="82.5" customHeight="1">
      <c r="A45" s="676"/>
      <c r="B45" s="58"/>
      <c r="C45" s="100">
        <v>1.0</v>
      </c>
      <c r="D45" s="58" t="s">
        <v>2173</v>
      </c>
      <c r="E45" s="82" t="s">
        <v>119</v>
      </c>
      <c r="F45" s="150" t="s">
        <v>124</v>
      </c>
      <c r="G45" s="150" t="s">
        <v>124</v>
      </c>
      <c r="H45" s="619" t="s">
        <v>1636</v>
      </c>
      <c r="I45" s="620" t="s">
        <v>1706</v>
      </c>
      <c r="J45" s="621" t="s">
        <v>1638</v>
      </c>
      <c r="K45" s="628" t="s">
        <v>2174</v>
      </c>
      <c r="L45" s="623">
        <v>5.0</v>
      </c>
      <c r="M45" s="100" t="s">
        <v>301</v>
      </c>
      <c r="N45" s="568">
        <v>5.0</v>
      </c>
      <c r="O45" s="100" t="s">
        <v>2025</v>
      </c>
      <c r="P45" s="677" t="s">
        <v>2175</v>
      </c>
    </row>
    <row r="46" ht="15.75" customHeight="1">
      <c r="A46" s="678"/>
      <c r="B46" s="536"/>
      <c r="C46" s="536"/>
      <c r="D46" s="536"/>
      <c r="E46" s="82" t="s">
        <v>119</v>
      </c>
      <c r="F46" s="150" t="s">
        <v>124</v>
      </c>
      <c r="G46" s="150" t="s">
        <v>124</v>
      </c>
      <c r="H46" s="626" t="s">
        <v>1643</v>
      </c>
      <c r="I46" s="627" t="s">
        <v>1711</v>
      </c>
      <c r="J46" s="538"/>
      <c r="K46" s="539"/>
      <c r="L46" s="538"/>
      <c r="M46" s="536"/>
      <c r="N46" s="536"/>
      <c r="O46" s="536"/>
      <c r="P46" s="536"/>
    </row>
    <row r="47" ht="15.75" customHeight="1">
      <c r="A47" s="678"/>
      <c r="B47" s="536"/>
      <c r="C47" s="536"/>
      <c r="D47" s="536"/>
      <c r="E47" s="82" t="s">
        <v>119</v>
      </c>
      <c r="F47" s="150" t="s">
        <v>124</v>
      </c>
      <c r="G47" s="150" t="s">
        <v>124</v>
      </c>
      <c r="H47" s="626" t="s">
        <v>1645</v>
      </c>
      <c r="I47" s="627" t="s">
        <v>1712</v>
      </c>
      <c r="J47" s="538"/>
      <c r="K47" s="539"/>
      <c r="L47" s="538"/>
      <c r="M47" s="536"/>
      <c r="N47" s="536"/>
      <c r="O47" s="536"/>
      <c r="P47" s="536"/>
    </row>
    <row r="48" ht="15.75" customHeight="1">
      <c r="A48" s="678"/>
      <c r="B48" s="536"/>
      <c r="C48" s="536"/>
      <c r="D48" s="536"/>
      <c r="E48" s="82" t="s">
        <v>119</v>
      </c>
      <c r="F48" s="150" t="s">
        <v>124</v>
      </c>
      <c r="G48" s="150" t="s">
        <v>124</v>
      </c>
      <c r="H48" s="626" t="s">
        <v>1638</v>
      </c>
      <c r="I48" s="627" t="s">
        <v>1713</v>
      </c>
      <c r="J48" s="538"/>
      <c r="K48" s="539"/>
      <c r="L48" s="538"/>
      <c r="M48" s="536"/>
      <c r="N48" s="536"/>
      <c r="O48" s="536"/>
      <c r="P48" s="536"/>
    </row>
    <row r="49" ht="383.25" customHeight="1">
      <c r="A49" s="680"/>
      <c r="B49" s="210"/>
      <c r="C49" s="210"/>
      <c r="D49" s="210"/>
      <c r="E49" s="82" t="s">
        <v>119</v>
      </c>
      <c r="F49" s="150" t="s">
        <v>124</v>
      </c>
      <c r="G49" s="150" t="s">
        <v>124</v>
      </c>
      <c r="H49" s="626" t="s">
        <v>1648</v>
      </c>
      <c r="I49" s="627" t="s">
        <v>1714</v>
      </c>
      <c r="J49" s="213"/>
      <c r="K49" s="440"/>
      <c r="L49" s="213"/>
      <c r="M49" s="210"/>
      <c r="N49" s="210"/>
      <c r="O49" s="210"/>
      <c r="P49" s="210"/>
    </row>
    <row r="50" ht="15.75" customHeight="1">
      <c r="A50" s="686" t="s">
        <v>151</v>
      </c>
      <c r="B50" s="143" t="s">
        <v>152</v>
      </c>
      <c r="C50" s="62"/>
      <c r="D50" s="62"/>
      <c r="E50" s="62"/>
      <c r="F50" s="62"/>
      <c r="G50" s="62"/>
      <c r="H50" s="62"/>
      <c r="I50" s="673"/>
      <c r="J50" s="144"/>
      <c r="K50" s="144"/>
      <c r="L50" s="613">
        <f>AVERAGE(L51:L65)</f>
        <v>3</v>
      </c>
      <c r="M50" s="144"/>
      <c r="N50" s="679">
        <f>AVERAGE(N51:N65)</f>
        <v>3</v>
      </c>
      <c r="O50" s="144"/>
      <c r="P50" s="487"/>
    </row>
    <row r="51" ht="15.75" customHeight="1">
      <c r="A51" s="676"/>
      <c r="B51" s="58"/>
      <c r="C51" s="100">
        <v>1.0</v>
      </c>
      <c r="D51" s="58" t="s">
        <v>2176</v>
      </c>
      <c r="E51" s="82" t="s">
        <v>119</v>
      </c>
      <c r="F51" s="150" t="s">
        <v>124</v>
      </c>
      <c r="G51" s="150" t="s">
        <v>124</v>
      </c>
      <c r="H51" s="619" t="s">
        <v>1636</v>
      </c>
      <c r="I51" s="620" t="s">
        <v>1715</v>
      </c>
      <c r="J51" s="621" t="s">
        <v>1638</v>
      </c>
      <c r="K51" s="628" t="s">
        <v>2177</v>
      </c>
      <c r="L51" s="681">
        <v>5.0</v>
      </c>
      <c r="M51" s="568" t="s">
        <v>301</v>
      </c>
      <c r="N51" s="568">
        <v>5.0</v>
      </c>
      <c r="O51" s="568" t="s">
        <v>2025</v>
      </c>
      <c r="P51" s="677" t="s">
        <v>2178</v>
      </c>
    </row>
    <row r="52" ht="15.75" customHeight="1">
      <c r="A52" s="678"/>
      <c r="B52" s="536"/>
      <c r="C52" s="536"/>
      <c r="D52" s="536"/>
      <c r="E52" s="82" t="s">
        <v>119</v>
      </c>
      <c r="F52" s="150" t="s">
        <v>124</v>
      </c>
      <c r="G52" s="150" t="s">
        <v>124</v>
      </c>
      <c r="H52" s="626" t="s">
        <v>1643</v>
      </c>
      <c r="I52" s="627" t="s">
        <v>1720</v>
      </c>
      <c r="J52" s="538"/>
      <c r="K52" s="539"/>
      <c r="L52" s="539"/>
      <c r="M52" s="536"/>
      <c r="N52" s="536"/>
      <c r="O52" s="536"/>
      <c r="P52" s="536"/>
    </row>
    <row r="53" ht="15.75" customHeight="1">
      <c r="A53" s="678"/>
      <c r="B53" s="536"/>
      <c r="C53" s="536"/>
      <c r="D53" s="536"/>
      <c r="E53" s="82" t="s">
        <v>119</v>
      </c>
      <c r="F53" s="150" t="s">
        <v>124</v>
      </c>
      <c r="G53" s="150" t="s">
        <v>124</v>
      </c>
      <c r="H53" s="626" t="s">
        <v>1645</v>
      </c>
      <c r="I53" s="627" t="s">
        <v>1721</v>
      </c>
      <c r="J53" s="538"/>
      <c r="K53" s="539"/>
      <c r="L53" s="539"/>
      <c r="M53" s="536"/>
      <c r="N53" s="536"/>
      <c r="O53" s="536"/>
      <c r="P53" s="536"/>
    </row>
    <row r="54" ht="15.75" customHeight="1">
      <c r="A54" s="678"/>
      <c r="B54" s="536"/>
      <c r="C54" s="536"/>
      <c r="D54" s="536"/>
      <c r="E54" s="82" t="s">
        <v>119</v>
      </c>
      <c r="F54" s="150" t="s">
        <v>124</v>
      </c>
      <c r="G54" s="150" t="s">
        <v>124</v>
      </c>
      <c r="H54" s="626" t="s">
        <v>1638</v>
      </c>
      <c r="I54" s="627" t="s">
        <v>1722</v>
      </c>
      <c r="J54" s="538"/>
      <c r="K54" s="539"/>
      <c r="L54" s="539"/>
      <c r="M54" s="536"/>
      <c r="N54" s="536"/>
      <c r="O54" s="536"/>
      <c r="P54" s="536"/>
    </row>
    <row r="55" ht="162.75" customHeight="1">
      <c r="A55" s="678"/>
      <c r="B55" s="536"/>
      <c r="C55" s="210"/>
      <c r="D55" s="536"/>
      <c r="E55" s="82" t="s">
        <v>119</v>
      </c>
      <c r="F55" s="150" t="s">
        <v>124</v>
      </c>
      <c r="G55" s="150" t="s">
        <v>124</v>
      </c>
      <c r="H55" s="626" t="s">
        <v>1648</v>
      </c>
      <c r="I55" s="627" t="s">
        <v>1723</v>
      </c>
      <c r="J55" s="213"/>
      <c r="K55" s="440"/>
      <c r="L55" s="440"/>
      <c r="M55" s="210"/>
      <c r="N55" s="210"/>
      <c r="O55" s="210"/>
      <c r="P55" s="210"/>
    </row>
    <row r="56" ht="15.75" customHeight="1">
      <c r="A56" s="678"/>
      <c r="B56" s="536"/>
      <c r="C56" s="100">
        <v>2.0</v>
      </c>
      <c r="D56" s="58" t="s">
        <v>154</v>
      </c>
      <c r="E56" s="100" t="s">
        <v>119</v>
      </c>
      <c r="F56" s="100" t="s">
        <v>120</v>
      </c>
      <c r="G56" s="682" t="s">
        <v>124</v>
      </c>
      <c r="H56" s="626" t="s">
        <v>1636</v>
      </c>
      <c r="I56" s="636" t="s">
        <v>1724</v>
      </c>
      <c r="J56" s="631" t="s">
        <v>1638</v>
      </c>
      <c r="K56" s="683" t="s">
        <v>2179</v>
      </c>
      <c r="L56" s="633">
        <v>2.0</v>
      </c>
      <c r="M56" s="100" t="s">
        <v>301</v>
      </c>
      <c r="N56" s="568">
        <v>2.0</v>
      </c>
      <c r="O56" s="100" t="s">
        <v>1091</v>
      </c>
      <c r="P56" s="677" t="s">
        <v>2180</v>
      </c>
    </row>
    <row r="57" ht="15.75" customHeight="1">
      <c r="A57" s="678"/>
      <c r="B57" s="536"/>
      <c r="C57" s="536"/>
      <c r="D57" s="536"/>
      <c r="E57" s="100" t="s">
        <v>119</v>
      </c>
      <c r="F57" s="100" t="s">
        <v>120</v>
      </c>
      <c r="G57" s="682" t="s">
        <v>124</v>
      </c>
      <c r="H57" s="626" t="s">
        <v>1643</v>
      </c>
      <c r="I57" s="636" t="s">
        <v>1729</v>
      </c>
      <c r="J57" s="538"/>
      <c r="K57" s="539"/>
      <c r="L57" s="538"/>
      <c r="M57" s="536"/>
      <c r="N57" s="536"/>
      <c r="O57" s="536"/>
      <c r="P57" s="536"/>
    </row>
    <row r="58" ht="15.75" customHeight="1">
      <c r="A58" s="678"/>
      <c r="B58" s="536"/>
      <c r="C58" s="536"/>
      <c r="D58" s="536"/>
      <c r="E58" s="100" t="s">
        <v>119</v>
      </c>
      <c r="F58" s="100" t="s">
        <v>120</v>
      </c>
      <c r="G58" s="682" t="s">
        <v>124</v>
      </c>
      <c r="H58" s="626" t="s">
        <v>1645</v>
      </c>
      <c r="I58" s="636" t="s">
        <v>1730</v>
      </c>
      <c r="J58" s="538"/>
      <c r="K58" s="539"/>
      <c r="L58" s="538"/>
      <c r="M58" s="536"/>
      <c r="N58" s="536"/>
      <c r="O58" s="536"/>
      <c r="P58" s="536"/>
    </row>
    <row r="59" ht="15.75" customHeight="1">
      <c r="A59" s="678"/>
      <c r="B59" s="536"/>
      <c r="C59" s="536"/>
      <c r="D59" s="536"/>
      <c r="E59" s="100" t="s">
        <v>119</v>
      </c>
      <c r="F59" s="100" t="s">
        <v>120</v>
      </c>
      <c r="G59" s="682" t="s">
        <v>124</v>
      </c>
      <c r="H59" s="630" t="s">
        <v>1638</v>
      </c>
      <c r="I59" s="636" t="s">
        <v>1731</v>
      </c>
      <c r="J59" s="538"/>
      <c r="K59" s="539"/>
      <c r="L59" s="538"/>
      <c r="M59" s="536"/>
      <c r="N59" s="536"/>
      <c r="O59" s="536"/>
      <c r="P59" s="536"/>
    </row>
    <row r="60" ht="168.0" customHeight="1">
      <c r="A60" s="678"/>
      <c r="B60" s="536"/>
      <c r="C60" s="210"/>
      <c r="D60" s="210"/>
      <c r="E60" s="100" t="s">
        <v>119</v>
      </c>
      <c r="F60" s="100" t="s">
        <v>120</v>
      </c>
      <c r="G60" s="682" t="s">
        <v>124</v>
      </c>
      <c r="H60" s="626" t="s">
        <v>1648</v>
      </c>
      <c r="I60" s="636" t="s">
        <v>1732</v>
      </c>
      <c r="J60" s="213"/>
      <c r="K60" s="440"/>
      <c r="L60" s="213"/>
      <c r="M60" s="210"/>
      <c r="N60" s="210"/>
      <c r="O60" s="210"/>
      <c r="P60" s="210"/>
    </row>
    <row r="61" ht="15.75" customHeight="1">
      <c r="A61" s="678"/>
      <c r="B61" s="536"/>
      <c r="C61" s="58">
        <v>3.0</v>
      </c>
      <c r="D61" s="58" t="s">
        <v>156</v>
      </c>
      <c r="E61" s="100" t="s">
        <v>119</v>
      </c>
      <c r="F61" s="100" t="s">
        <v>120</v>
      </c>
      <c r="G61" s="682" t="s">
        <v>124</v>
      </c>
      <c r="H61" s="637" t="s">
        <v>1636</v>
      </c>
      <c r="I61" s="638" t="s">
        <v>1733</v>
      </c>
      <c r="J61" s="631" t="s">
        <v>1638</v>
      </c>
      <c r="K61" s="683" t="s">
        <v>2181</v>
      </c>
      <c r="L61" s="687">
        <v>2.0</v>
      </c>
      <c r="M61" s="568" t="s">
        <v>301</v>
      </c>
      <c r="N61" s="568">
        <v>2.0</v>
      </c>
      <c r="O61" s="568" t="s">
        <v>1091</v>
      </c>
      <c r="P61" s="677" t="s">
        <v>2182</v>
      </c>
    </row>
    <row r="62" ht="15.75" customHeight="1">
      <c r="A62" s="678"/>
      <c r="B62" s="536"/>
      <c r="C62" s="536"/>
      <c r="D62" s="536"/>
      <c r="E62" s="100" t="s">
        <v>119</v>
      </c>
      <c r="F62" s="100" t="s">
        <v>120</v>
      </c>
      <c r="G62" s="682" t="s">
        <v>124</v>
      </c>
      <c r="H62" s="637" t="s">
        <v>1643</v>
      </c>
      <c r="I62" s="638" t="s">
        <v>1737</v>
      </c>
      <c r="J62" s="538"/>
      <c r="K62" s="539"/>
      <c r="L62" s="539"/>
      <c r="M62" s="536"/>
      <c r="N62" s="536"/>
      <c r="O62" s="536"/>
      <c r="P62" s="536"/>
    </row>
    <row r="63" ht="15.75" customHeight="1">
      <c r="A63" s="678"/>
      <c r="B63" s="536"/>
      <c r="C63" s="536"/>
      <c r="D63" s="536"/>
      <c r="E63" s="100" t="s">
        <v>119</v>
      </c>
      <c r="F63" s="100" t="s">
        <v>120</v>
      </c>
      <c r="G63" s="682" t="s">
        <v>124</v>
      </c>
      <c r="H63" s="637" t="s">
        <v>1645</v>
      </c>
      <c r="I63" s="638" t="s">
        <v>1738</v>
      </c>
      <c r="J63" s="538"/>
      <c r="K63" s="539"/>
      <c r="L63" s="539"/>
      <c r="M63" s="536"/>
      <c r="N63" s="536"/>
      <c r="O63" s="536"/>
      <c r="P63" s="536"/>
    </row>
    <row r="64" ht="15.75" customHeight="1">
      <c r="A64" s="678"/>
      <c r="B64" s="536"/>
      <c r="C64" s="536"/>
      <c r="D64" s="536"/>
      <c r="E64" s="100" t="s">
        <v>119</v>
      </c>
      <c r="F64" s="100" t="s">
        <v>120</v>
      </c>
      <c r="G64" s="682" t="s">
        <v>124</v>
      </c>
      <c r="H64" s="639" t="s">
        <v>1638</v>
      </c>
      <c r="I64" s="638" t="s">
        <v>1739</v>
      </c>
      <c r="J64" s="538"/>
      <c r="K64" s="539"/>
      <c r="L64" s="539"/>
      <c r="M64" s="536"/>
      <c r="N64" s="536"/>
      <c r="O64" s="536"/>
      <c r="P64" s="536"/>
    </row>
    <row r="65" ht="15.75" customHeight="1">
      <c r="A65" s="678"/>
      <c r="B65" s="536"/>
      <c r="C65" s="210"/>
      <c r="D65" s="210"/>
      <c r="E65" s="100" t="s">
        <v>119</v>
      </c>
      <c r="F65" s="100" t="s">
        <v>120</v>
      </c>
      <c r="G65" s="682" t="s">
        <v>124</v>
      </c>
      <c r="H65" s="637" t="s">
        <v>1648</v>
      </c>
      <c r="I65" s="638" t="s">
        <v>1740</v>
      </c>
      <c r="J65" s="213"/>
      <c r="K65" s="440"/>
      <c r="L65" s="440"/>
      <c r="M65" s="210"/>
      <c r="N65" s="210"/>
      <c r="O65" s="210"/>
      <c r="P65" s="210"/>
    </row>
    <row r="66" ht="15.75" customHeight="1">
      <c r="A66" s="142" t="s">
        <v>157</v>
      </c>
      <c r="B66" s="143" t="s">
        <v>1741</v>
      </c>
      <c r="C66" s="62"/>
      <c r="D66" s="62"/>
      <c r="E66" s="62"/>
      <c r="F66" s="62"/>
      <c r="G66" s="62"/>
      <c r="H66" s="62"/>
      <c r="I66" s="673"/>
      <c r="J66" s="144"/>
      <c r="K66" s="144"/>
      <c r="L66" s="613">
        <f>L67</f>
        <v>3</v>
      </c>
      <c r="M66" s="144"/>
      <c r="N66" s="679">
        <f>N67</f>
        <v>3</v>
      </c>
      <c r="O66" s="144"/>
      <c r="P66" s="487"/>
    </row>
    <row r="67" ht="15.75" customHeight="1">
      <c r="A67" s="676"/>
      <c r="B67" s="58"/>
      <c r="C67" s="100">
        <v>1.0</v>
      </c>
      <c r="D67" s="58" t="s">
        <v>159</v>
      </c>
      <c r="E67" s="82" t="s">
        <v>119</v>
      </c>
      <c r="F67" s="150" t="s">
        <v>124</v>
      </c>
      <c r="G67" s="150" t="s">
        <v>124</v>
      </c>
      <c r="H67" s="168" t="s">
        <v>1636</v>
      </c>
      <c r="I67" s="620" t="s">
        <v>1742</v>
      </c>
      <c r="J67" s="621" t="s">
        <v>1638</v>
      </c>
      <c r="K67" s="628" t="s">
        <v>2183</v>
      </c>
      <c r="L67" s="623">
        <v>3.0</v>
      </c>
      <c r="M67" s="100" t="s">
        <v>301</v>
      </c>
      <c r="N67" s="568">
        <v>3.0</v>
      </c>
      <c r="O67" s="100" t="s">
        <v>1091</v>
      </c>
      <c r="P67" s="685"/>
    </row>
    <row r="68" ht="15.75" customHeight="1">
      <c r="A68" s="678"/>
      <c r="B68" s="536"/>
      <c r="C68" s="536"/>
      <c r="D68" s="536"/>
      <c r="E68" s="82" t="s">
        <v>119</v>
      </c>
      <c r="F68" s="150" t="s">
        <v>124</v>
      </c>
      <c r="G68" s="150" t="s">
        <v>124</v>
      </c>
      <c r="H68" s="626" t="s">
        <v>1643</v>
      </c>
      <c r="I68" s="627" t="s">
        <v>1747</v>
      </c>
      <c r="J68" s="538"/>
      <c r="K68" s="539"/>
      <c r="L68" s="538"/>
      <c r="M68" s="536"/>
      <c r="N68" s="536"/>
      <c r="O68" s="536"/>
      <c r="P68" s="536"/>
    </row>
    <row r="69" ht="15.75" customHeight="1">
      <c r="A69" s="678"/>
      <c r="B69" s="536"/>
      <c r="C69" s="536"/>
      <c r="D69" s="536"/>
      <c r="E69" s="82" t="s">
        <v>119</v>
      </c>
      <c r="F69" s="150" t="s">
        <v>124</v>
      </c>
      <c r="G69" s="150" t="s">
        <v>124</v>
      </c>
      <c r="H69" s="630" t="s">
        <v>1645</v>
      </c>
      <c r="I69" s="627" t="s">
        <v>1748</v>
      </c>
      <c r="J69" s="538"/>
      <c r="K69" s="539"/>
      <c r="L69" s="538"/>
      <c r="M69" s="536"/>
      <c r="N69" s="536"/>
      <c r="O69" s="536"/>
      <c r="P69" s="536"/>
    </row>
    <row r="70" ht="15.75" customHeight="1">
      <c r="A70" s="678"/>
      <c r="B70" s="536"/>
      <c r="C70" s="536"/>
      <c r="D70" s="536"/>
      <c r="E70" s="82" t="s">
        <v>119</v>
      </c>
      <c r="F70" s="150" t="s">
        <v>124</v>
      </c>
      <c r="G70" s="150" t="s">
        <v>124</v>
      </c>
      <c r="H70" s="626" t="s">
        <v>1638</v>
      </c>
      <c r="I70" s="627" t="s">
        <v>1749</v>
      </c>
      <c r="J70" s="538"/>
      <c r="K70" s="539"/>
      <c r="L70" s="538"/>
      <c r="M70" s="536"/>
      <c r="N70" s="536"/>
      <c r="O70" s="536"/>
      <c r="P70" s="536"/>
    </row>
    <row r="71" ht="114.0" customHeight="1">
      <c r="A71" s="680"/>
      <c r="B71" s="210"/>
      <c r="C71" s="210"/>
      <c r="D71" s="210"/>
      <c r="E71" s="82" t="s">
        <v>119</v>
      </c>
      <c r="F71" s="150" t="s">
        <v>124</v>
      </c>
      <c r="G71" s="150" t="s">
        <v>124</v>
      </c>
      <c r="H71" s="626" t="s">
        <v>1648</v>
      </c>
      <c r="I71" s="627" t="s">
        <v>1750</v>
      </c>
      <c r="J71" s="213"/>
      <c r="K71" s="440"/>
      <c r="L71" s="213"/>
      <c r="M71" s="210"/>
      <c r="N71" s="210"/>
      <c r="O71" s="210"/>
      <c r="P71" s="210"/>
    </row>
    <row r="72" ht="15.75" customHeight="1">
      <c r="A72" s="686" t="s">
        <v>160</v>
      </c>
      <c r="B72" s="143" t="s">
        <v>161</v>
      </c>
      <c r="C72" s="62"/>
      <c r="D72" s="62"/>
      <c r="E72" s="62"/>
      <c r="F72" s="62"/>
      <c r="G72" s="62"/>
      <c r="H72" s="62"/>
      <c r="I72" s="673"/>
      <c r="J72" s="144"/>
      <c r="K72" s="144"/>
      <c r="L72" s="613">
        <f>AVERAGE(L73:L82)</f>
        <v>4</v>
      </c>
      <c r="M72" s="144"/>
      <c r="N72" s="679">
        <f>AVERAGE(N73:N82)</f>
        <v>4</v>
      </c>
      <c r="O72" s="144"/>
      <c r="P72" s="487"/>
    </row>
    <row r="73" ht="67.5" customHeight="1">
      <c r="A73" s="676"/>
      <c r="B73" s="58"/>
      <c r="C73" s="100">
        <v>1.0</v>
      </c>
      <c r="D73" s="58" t="s">
        <v>2184</v>
      </c>
      <c r="E73" s="82" t="s">
        <v>119</v>
      </c>
      <c r="F73" s="150" t="s">
        <v>124</v>
      </c>
      <c r="G73" s="150" t="s">
        <v>124</v>
      </c>
      <c r="H73" s="619" t="s">
        <v>1636</v>
      </c>
      <c r="I73" s="620" t="s">
        <v>1752</v>
      </c>
      <c r="J73" s="621" t="s">
        <v>1638</v>
      </c>
      <c r="K73" s="628" t="s">
        <v>2185</v>
      </c>
      <c r="L73" s="623">
        <v>5.0</v>
      </c>
      <c r="M73" s="100" t="s">
        <v>301</v>
      </c>
      <c r="N73" s="568">
        <v>5.0</v>
      </c>
      <c r="O73" s="100" t="s">
        <v>1091</v>
      </c>
      <c r="P73" s="677" t="s">
        <v>2186</v>
      </c>
    </row>
    <row r="74" ht="84.0" customHeight="1">
      <c r="A74" s="678"/>
      <c r="B74" s="536"/>
      <c r="C74" s="536"/>
      <c r="D74" s="536"/>
      <c r="E74" s="82" t="s">
        <v>119</v>
      </c>
      <c r="F74" s="150" t="s">
        <v>124</v>
      </c>
      <c r="G74" s="150" t="s">
        <v>124</v>
      </c>
      <c r="H74" s="626" t="s">
        <v>1643</v>
      </c>
      <c r="I74" s="627" t="s">
        <v>1756</v>
      </c>
      <c r="J74" s="538"/>
      <c r="K74" s="539"/>
      <c r="L74" s="538"/>
      <c r="M74" s="536"/>
      <c r="N74" s="536"/>
      <c r="O74" s="536"/>
      <c r="P74" s="536"/>
    </row>
    <row r="75" ht="46.5" customHeight="1">
      <c r="A75" s="678"/>
      <c r="B75" s="536"/>
      <c r="C75" s="536"/>
      <c r="D75" s="536"/>
      <c r="E75" s="82" t="s">
        <v>119</v>
      </c>
      <c r="F75" s="150" t="s">
        <v>124</v>
      </c>
      <c r="G75" s="150" t="s">
        <v>124</v>
      </c>
      <c r="H75" s="626" t="s">
        <v>1645</v>
      </c>
      <c r="I75" s="627" t="s">
        <v>1757</v>
      </c>
      <c r="J75" s="538"/>
      <c r="K75" s="539"/>
      <c r="L75" s="538"/>
      <c r="M75" s="536"/>
      <c r="N75" s="536"/>
      <c r="O75" s="536"/>
      <c r="P75" s="536"/>
    </row>
    <row r="76" ht="15.75" customHeight="1">
      <c r="A76" s="678"/>
      <c r="B76" s="536"/>
      <c r="C76" s="536"/>
      <c r="D76" s="536"/>
      <c r="E76" s="82" t="s">
        <v>119</v>
      </c>
      <c r="F76" s="150" t="s">
        <v>124</v>
      </c>
      <c r="G76" s="150" t="s">
        <v>124</v>
      </c>
      <c r="H76" s="626" t="s">
        <v>1638</v>
      </c>
      <c r="I76" s="627" t="s">
        <v>1758</v>
      </c>
      <c r="J76" s="538"/>
      <c r="K76" s="539"/>
      <c r="L76" s="538"/>
      <c r="M76" s="536"/>
      <c r="N76" s="536"/>
      <c r="O76" s="536"/>
      <c r="P76" s="536"/>
    </row>
    <row r="77" ht="181.5" customHeight="1">
      <c r="A77" s="678"/>
      <c r="B77" s="536"/>
      <c r="C77" s="210"/>
      <c r="D77" s="536"/>
      <c r="E77" s="82" t="s">
        <v>119</v>
      </c>
      <c r="F77" s="150" t="s">
        <v>124</v>
      </c>
      <c r="G77" s="150" t="s">
        <v>124</v>
      </c>
      <c r="H77" s="626" t="s">
        <v>1648</v>
      </c>
      <c r="I77" s="627" t="s">
        <v>1759</v>
      </c>
      <c r="J77" s="213"/>
      <c r="K77" s="440"/>
      <c r="L77" s="213"/>
      <c r="M77" s="210"/>
      <c r="N77" s="210"/>
      <c r="O77" s="210"/>
      <c r="P77" s="210"/>
    </row>
    <row r="78" ht="15.75" customHeight="1">
      <c r="A78" s="678"/>
      <c r="B78" s="536"/>
      <c r="C78" s="100">
        <v>2.0</v>
      </c>
      <c r="D78" s="585" t="s">
        <v>1760</v>
      </c>
      <c r="E78" s="100" t="s">
        <v>119</v>
      </c>
      <c r="F78" s="100" t="s">
        <v>120</v>
      </c>
      <c r="G78" s="682" t="s">
        <v>124</v>
      </c>
      <c r="H78" s="637" t="s">
        <v>1636</v>
      </c>
      <c r="I78" s="638" t="s">
        <v>1761</v>
      </c>
      <c r="J78" s="631" t="s">
        <v>1638</v>
      </c>
      <c r="K78" s="683" t="s">
        <v>2187</v>
      </c>
      <c r="L78" s="633">
        <v>3.0</v>
      </c>
      <c r="M78" s="100" t="s">
        <v>301</v>
      </c>
      <c r="N78" s="568">
        <v>3.0</v>
      </c>
      <c r="O78" s="100" t="s">
        <v>1091</v>
      </c>
      <c r="P78" s="684" t="s">
        <v>2188</v>
      </c>
    </row>
    <row r="79" ht="15.75" customHeight="1">
      <c r="A79" s="678"/>
      <c r="B79" s="536"/>
      <c r="C79" s="536"/>
      <c r="D79" s="536"/>
      <c r="E79" s="100" t="s">
        <v>119</v>
      </c>
      <c r="F79" s="100" t="s">
        <v>120</v>
      </c>
      <c r="G79" s="682" t="s">
        <v>124</v>
      </c>
      <c r="H79" s="637" t="s">
        <v>1643</v>
      </c>
      <c r="I79" s="638" t="s">
        <v>1765</v>
      </c>
      <c r="J79" s="538"/>
      <c r="K79" s="539"/>
      <c r="L79" s="538"/>
      <c r="M79" s="536"/>
      <c r="N79" s="536"/>
      <c r="O79" s="536"/>
      <c r="P79" s="685"/>
    </row>
    <row r="80" ht="15.75" customHeight="1">
      <c r="A80" s="678"/>
      <c r="B80" s="536"/>
      <c r="C80" s="536"/>
      <c r="D80" s="536"/>
      <c r="E80" s="100" t="s">
        <v>119</v>
      </c>
      <c r="F80" s="100" t="s">
        <v>120</v>
      </c>
      <c r="G80" s="682" t="s">
        <v>124</v>
      </c>
      <c r="H80" s="639" t="s">
        <v>1645</v>
      </c>
      <c r="I80" s="638" t="s">
        <v>1766</v>
      </c>
      <c r="J80" s="538"/>
      <c r="K80" s="539"/>
      <c r="L80" s="538"/>
      <c r="M80" s="536"/>
      <c r="N80" s="536"/>
      <c r="O80" s="536"/>
      <c r="P80" s="536"/>
    </row>
    <row r="81" ht="15.75" customHeight="1">
      <c r="A81" s="678"/>
      <c r="B81" s="536"/>
      <c r="C81" s="536"/>
      <c r="D81" s="536"/>
      <c r="E81" s="100" t="s">
        <v>119</v>
      </c>
      <c r="F81" s="100" t="s">
        <v>120</v>
      </c>
      <c r="G81" s="682" t="s">
        <v>124</v>
      </c>
      <c r="H81" s="637" t="s">
        <v>1638</v>
      </c>
      <c r="I81" s="638" t="s">
        <v>1767</v>
      </c>
      <c r="J81" s="538"/>
      <c r="K81" s="539"/>
      <c r="L81" s="538"/>
      <c r="M81" s="536"/>
      <c r="N81" s="536"/>
      <c r="O81" s="536"/>
      <c r="P81" s="536"/>
    </row>
    <row r="82" ht="15.75" customHeight="1">
      <c r="A82" s="678"/>
      <c r="B82" s="536"/>
      <c r="C82" s="210"/>
      <c r="D82" s="210"/>
      <c r="E82" s="100" t="s">
        <v>119</v>
      </c>
      <c r="F82" s="100" t="s">
        <v>120</v>
      </c>
      <c r="G82" s="682" t="s">
        <v>124</v>
      </c>
      <c r="H82" s="637" t="s">
        <v>1648</v>
      </c>
      <c r="I82" s="638" t="s">
        <v>1768</v>
      </c>
      <c r="J82" s="213"/>
      <c r="K82" s="440"/>
      <c r="L82" s="213"/>
      <c r="M82" s="210"/>
      <c r="N82" s="210"/>
      <c r="O82" s="210"/>
      <c r="P82" s="210"/>
    </row>
    <row r="83" ht="15.75" customHeight="1">
      <c r="A83" s="688">
        <v>45901.0</v>
      </c>
      <c r="B83" s="143" t="s">
        <v>166</v>
      </c>
      <c r="C83" s="62"/>
      <c r="D83" s="62"/>
      <c r="E83" s="62"/>
      <c r="F83" s="62"/>
      <c r="G83" s="62"/>
      <c r="H83" s="62"/>
      <c r="I83" s="673"/>
      <c r="J83" s="641"/>
      <c r="K83" s="641"/>
      <c r="L83" s="613">
        <f>AVERAGE(L84:L98)</f>
        <v>3</v>
      </c>
      <c r="M83" s="144"/>
      <c r="N83" s="679">
        <f>AVERAGE(N84:N98)</f>
        <v>2.333333333</v>
      </c>
      <c r="O83" s="144"/>
      <c r="P83" s="487"/>
    </row>
    <row r="84" ht="54.0" customHeight="1">
      <c r="A84" s="676"/>
      <c r="B84" s="58"/>
      <c r="C84" s="100">
        <v>1.0</v>
      </c>
      <c r="D84" s="58" t="s">
        <v>1769</v>
      </c>
      <c r="E84" s="100" t="s">
        <v>119</v>
      </c>
      <c r="F84" s="100" t="s">
        <v>120</v>
      </c>
      <c r="G84" s="682" t="s">
        <v>124</v>
      </c>
      <c r="H84" s="168" t="s">
        <v>1636</v>
      </c>
      <c r="I84" s="643" t="s">
        <v>1770</v>
      </c>
      <c r="J84" s="621" t="s">
        <v>1638</v>
      </c>
      <c r="K84" s="628" t="s">
        <v>2189</v>
      </c>
      <c r="L84" s="623">
        <v>3.0</v>
      </c>
      <c r="M84" s="100" t="s">
        <v>301</v>
      </c>
      <c r="N84" s="568">
        <v>2.0</v>
      </c>
      <c r="O84" s="293" t="s">
        <v>2063</v>
      </c>
      <c r="P84" s="677" t="s">
        <v>2190</v>
      </c>
    </row>
    <row r="85" ht="61.5" customHeight="1">
      <c r="A85" s="678"/>
      <c r="B85" s="536"/>
      <c r="C85" s="536"/>
      <c r="D85" s="536"/>
      <c r="E85" s="100" t="s">
        <v>119</v>
      </c>
      <c r="F85" s="100" t="s">
        <v>120</v>
      </c>
      <c r="G85" s="682" t="s">
        <v>124</v>
      </c>
      <c r="H85" s="626" t="s">
        <v>1643</v>
      </c>
      <c r="I85" s="636" t="s">
        <v>1775</v>
      </c>
      <c r="J85" s="538"/>
      <c r="K85" s="539"/>
      <c r="L85" s="538"/>
      <c r="M85" s="536"/>
      <c r="N85" s="536"/>
      <c r="P85" s="536"/>
    </row>
    <row r="86" ht="61.5" customHeight="1">
      <c r="A86" s="678"/>
      <c r="B86" s="536"/>
      <c r="C86" s="536"/>
      <c r="D86" s="536"/>
      <c r="E86" s="100" t="s">
        <v>119</v>
      </c>
      <c r="F86" s="100" t="s">
        <v>120</v>
      </c>
      <c r="G86" s="682" t="s">
        <v>124</v>
      </c>
      <c r="H86" s="626" t="s">
        <v>1645</v>
      </c>
      <c r="I86" s="636" t="s">
        <v>1776</v>
      </c>
      <c r="J86" s="538"/>
      <c r="K86" s="539"/>
      <c r="L86" s="538"/>
      <c r="M86" s="536"/>
      <c r="N86" s="536"/>
      <c r="P86" s="536"/>
    </row>
    <row r="87" ht="15.75" customHeight="1">
      <c r="A87" s="678"/>
      <c r="B87" s="536"/>
      <c r="C87" s="536"/>
      <c r="D87" s="536"/>
      <c r="E87" s="100" t="s">
        <v>119</v>
      </c>
      <c r="F87" s="100" t="s">
        <v>120</v>
      </c>
      <c r="G87" s="682" t="s">
        <v>124</v>
      </c>
      <c r="H87" s="630" t="s">
        <v>1638</v>
      </c>
      <c r="I87" s="636" t="s">
        <v>1777</v>
      </c>
      <c r="J87" s="538"/>
      <c r="K87" s="539"/>
      <c r="L87" s="538"/>
      <c r="M87" s="536"/>
      <c r="N87" s="536"/>
      <c r="P87" s="536"/>
    </row>
    <row r="88" ht="15.75" customHeight="1">
      <c r="A88" s="678"/>
      <c r="B88" s="536"/>
      <c r="C88" s="210"/>
      <c r="D88" s="210"/>
      <c r="E88" s="100" t="s">
        <v>119</v>
      </c>
      <c r="F88" s="100" t="s">
        <v>120</v>
      </c>
      <c r="G88" s="682" t="s">
        <v>124</v>
      </c>
      <c r="H88" s="626" t="s">
        <v>1648</v>
      </c>
      <c r="I88" s="636" t="s">
        <v>1778</v>
      </c>
      <c r="J88" s="213"/>
      <c r="K88" s="440"/>
      <c r="L88" s="213"/>
      <c r="M88" s="210"/>
      <c r="N88" s="210"/>
      <c r="P88" s="210"/>
    </row>
    <row r="89" ht="30.75" customHeight="1">
      <c r="A89" s="678"/>
      <c r="B89" s="536"/>
      <c r="C89" s="100">
        <v>2.0</v>
      </c>
      <c r="D89" s="58" t="s">
        <v>169</v>
      </c>
      <c r="E89" s="100" t="s">
        <v>119</v>
      </c>
      <c r="F89" s="100" t="s">
        <v>120</v>
      </c>
      <c r="G89" s="682" t="s">
        <v>124</v>
      </c>
      <c r="H89" s="626" t="s">
        <v>1636</v>
      </c>
      <c r="I89" s="636" t="s">
        <v>1779</v>
      </c>
      <c r="J89" s="631" t="s">
        <v>1638</v>
      </c>
      <c r="K89" s="683" t="s">
        <v>2191</v>
      </c>
      <c r="L89" s="633">
        <v>3.0</v>
      </c>
      <c r="M89" s="100" t="s">
        <v>301</v>
      </c>
      <c r="N89" s="568">
        <v>3.0</v>
      </c>
      <c r="O89" s="100" t="s">
        <v>1091</v>
      </c>
      <c r="P89" s="677" t="s">
        <v>2192</v>
      </c>
    </row>
    <row r="90" ht="44.25" customHeight="1">
      <c r="A90" s="678"/>
      <c r="B90" s="536"/>
      <c r="C90" s="536"/>
      <c r="D90" s="536"/>
      <c r="E90" s="100" t="s">
        <v>119</v>
      </c>
      <c r="F90" s="100" t="s">
        <v>120</v>
      </c>
      <c r="G90" s="682" t="s">
        <v>124</v>
      </c>
      <c r="H90" s="626" t="s">
        <v>1643</v>
      </c>
      <c r="I90" s="636" t="s">
        <v>1782</v>
      </c>
      <c r="J90" s="538"/>
      <c r="K90" s="539"/>
      <c r="L90" s="538"/>
      <c r="M90" s="536"/>
      <c r="N90" s="536"/>
      <c r="O90" s="536"/>
      <c r="P90" s="536"/>
    </row>
    <row r="91" ht="40.5" customHeight="1">
      <c r="A91" s="678"/>
      <c r="B91" s="536"/>
      <c r="C91" s="536"/>
      <c r="D91" s="536"/>
      <c r="E91" s="100" t="s">
        <v>119</v>
      </c>
      <c r="F91" s="100" t="s">
        <v>120</v>
      </c>
      <c r="G91" s="682" t="s">
        <v>124</v>
      </c>
      <c r="H91" s="630" t="s">
        <v>1645</v>
      </c>
      <c r="I91" s="636" t="s">
        <v>1783</v>
      </c>
      <c r="J91" s="538"/>
      <c r="K91" s="539"/>
      <c r="L91" s="538"/>
      <c r="M91" s="536"/>
      <c r="N91" s="536"/>
      <c r="O91" s="536"/>
      <c r="P91" s="536"/>
    </row>
    <row r="92" ht="15.75" customHeight="1">
      <c r="A92" s="678"/>
      <c r="B92" s="536"/>
      <c r="C92" s="536"/>
      <c r="D92" s="536"/>
      <c r="E92" s="100" t="s">
        <v>119</v>
      </c>
      <c r="F92" s="100" t="s">
        <v>120</v>
      </c>
      <c r="G92" s="682" t="s">
        <v>124</v>
      </c>
      <c r="H92" s="626" t="s">
        <v>1638</v>
      </c>
      <c r="I92" s="636" t="s">
        <v>1784</v>
      </c>
      <c r="J92" s="538"/>
      <c r="K92" s="539"/>
      <c r="L92" s="538"/>
      <c r="M92" s="536"/>
      <c r="N92" s="536"/>
      <c r="O92" s="536"/>
      <c r="P92" s="536"/>
    </row>
    <row r="93" ht="101.25" customHeight="1">
      <c r="A93" s="678"/>
      <c r="B93" s="536"/>
      <c r="C93" s="210"/>
      <c r="D93" s="210"/>
      <c r="E93" s="100" t="s">
        <v>119</v>
      </c>
      <c r="F93" s="100" t="s">
        <v>120</v>
      </c>
      <c r="G93" s="682" t="s">
        <v>124</v>
      </c>
      <c r="H93" s="626" t="s">
        <v>1648</v>
      </c>
      <c r="I93" s="636" t="s">
        <v>1785</v>
      </c>
      <c r="J93" s="213"/>
      <c r="K93" s="440"/>
      <c r="L93" s="213"/>
      <c r="M93" s="210"/>
      <c r="N93" s="210"/>
      <c r="O93" s="210"/>
      <c r="P93" s="210"/>
    </row>
    <row r="94" ht="15.75" customHeight="1">
      <c r="A94" s="678"/>
      <c r="B94" s="536"/>
      <c r="C94" s="100">
        <v>3.0</v>
      </c>
      <c r="D94" s="58" t="s">
        <v>1786</v>
      </c>
      <c r="E94" s="100" t="s">
        <v>119</v>
      </c>
      <c r="F94" s="100" t="s">
        <v>120</v>
      </c>
      <c r="G94" s="682" t="s">
        <v>124</v>
      </c>
      <c r="H94" s="626" t="s">
        <v>1636</v>
      </c>
      <c r="I94" s="627" t="s">
        <v>1787</v>
      </c>
      <c r="J94" s="631" t="s">
        <v>1638</v>
      </c>
      <c r="K94" s="683" t="s">
        <v>2193</v>
      </c>
      <c r="L94" s="633">
        <v>3.0</v>
      </c>
      <c r="M94" s="100" t="s">
        <v>301</v>
      </c>
      <c r="N94" s="568">
        <v>2.0</v>
      </c>
      <c r="O94" s="100" t="s">
        <v>2068</v>
      </c>
      <c r="P94" s="677" t="s">
        <v>2194</v>
      </c>
    </row>
    <row r="95" ht="15.75" customHeight="1">
      <c r="A95" s="678"/>
      <c r="B95" s="536"/>
      <c r="C95" s="536"/>
      <c r="D95" s="536"/>
      <c r="E95" s="100" t="s">
        <v>119</v>
      </c>
      <c r="F95" s="100" t="s">
        <v>120</v>
      </c>
      <c r="G95" s="682" t="s">
        <v>124</v>
      </c>
      <c r="H95" s="626" t="s">
        <v>1643</v>
      </c>
      <c r="I95" s="635" t="s">
        <v>1790</v>
      </c>
      <c r="J95" s="538"/>
      <c r="K95" s="539"/>
      <c r="L95" s="538"/>
      <c r="M95" s="536"/>
      <c r="N95" s="536"/>
      <c r="O95" s="536"/>
      <c r="P95" s="536"/>
    </row>
    <row r="96" ht="15.75" customHeight="1">
      <c r="A96" s="678"/>
      <c r="B96" s="536"/>
      <c r="C96" s="536"/>
      <c r="D96" s="536"/>
      <c r="E96" s="100" t="s">
        <v>119</v>
      </c>
      <c r="F96" s="100" t="s">
        <v>120</v>
      </c>
      <c r="G96" s="682" t="s">
        <v>124</v>
      </c>
      <c r="H96" s="626" t="s">
        <v>1645</v>
      </c>
      <c r="I96" s="635" t="s">
        <v>1791</v>
      </c>
      <c r="J96" s="538"/>
      <c r="K96" s="539"/>
      <c r="L96" s="538"/>
      <c r="M96" s="536"/>
      <c r="N96" s="536"/>
      <c r="O96" s="536"/>
      <c r="P96" s="536"/>
    </row>
    <row r="97" ht="15.75" customHeight="1">
      <c r="A97" s="678"/>
      <c r="B97" s="536"/>
      <c r="C97" s="536"/>
      <c r="D97" s="536"/>
      <c r="E97" s="100" t="s">
        <v>119</v>
      </c>
      <c r="F97" s="100" t="s">
        <v>120</v>
      </c>
      <c r="G97" s="682" t="s">
        <v>124</v>
      </c>
      <c r="H97" s="630" t="s">
        <v>1638</v>
      </c>
      <c r="I97" s="635" t="s">
        <v>1792</v>
      </c>
      <c r="J97" s="538"/>
      <c r="K97" s="539"/>
      <c r="L97" s="538"/>
      <c r="M97" s="536"/>
      <c r="N97" s="536"/>
      <c r="O97" s="536"/>
      <c r="P97" s="536"/>
    </row>
    <row r="98" ht="86.25" customHeight="1">
      <c r="A98" s="678"/>
      <c r="B98" s="536"/>
      <c r="C98" s="210"/>
      <c r="D98" s="210"/>
      <c r="E98" s="100" t="s">
        <v>119</v>
      </c>
      <c r="F98" s="100" t="s">
        <v>120</v>
      </c>
      <c r="G98" s="682" t="s">
        <v>124</v>
      </c>
      <c r="H98" s="626" t="s">
        <v>1648</v>
      </c>
      <c r="I98" s="635" t="s">
        <v>1793</v>
      </c>
      <c r="J98" s="213"/>
      <c r="K98" s="440"/>
      <c r="L98" s="213"/>
      <c r="M98" s="210"/>
      <c r="N98" s="210"/>
      <c r="O98" s="210"/>
      <c r="P98" s="210"/>
    </row>
    <row r="99" ht="15.75" customHeight="1">
      <c r="A99" s="688">
        <v>45931.0</v>
      </c>
      <c r="B99" s="143" t="s">
        <v>173</v>
      </c>
      <c r="C99" s="62"/>
      <c r="D99" s="62"/>
      <c r="E99" s="62"/>
      <c r="F99" s="62"/>
      <c r="G99" s="62"/>
      <c r="H99" s="62"/>
      <c r="I99" s="673"/>
      <c r="J99" s="641"/>
      <c r="K99" s="641"/>
      <c r="L99" s="613">
        <f>AVERAGE(L100:L124)</f>
        <v>2.6</v>
      </c>
      <c r="M99" s="144"/>
      <c r="N99" s="679">
        <f>AVERAGE(N100:N124)</f>
        <v>2.6</v>
      </c>
      <c r="O99" s="144"/>
      <c r="P99" s="487"/>
    </row>
    <row r="100" ht="43.5" customHeight="1">
      <c r="A100" s="689"/>
      <c r="B100" s="690"/>
      <c r="C100" s="100">
        <v>1.0</v>
      </c>
      <c r="D100" s="58" t="s">
        <v>174</v>
      </c>
      <c r="E100" s="100" t="s">
        <v>119</v>
      </c>
      <c r="F100" s="100" t="s">
        <v>120</v>
      </c>
      <c r="G100" s="682" t="s">
        <v>124</v>
      </c>
      <c r="H100" s="168" t="s">
        <v>1636</v>
      </c>
      <c r="I100" s="643" t="s">
        <v>1795</v>
      </c>
      <c r="J100" s="621" t="s">
        <v>1638</v>
      </c>
      <c r="K100" s="628" t="s">
        <v>2195</v>
      </c>
      <c r="L100" s="623">
        <v>3.0</v>
      </c>
      <c r="M100" s="100" t="s">
        <v>301</v>
      </c>
      <c r="N100" s="568">
        <v>3.0</v>
      </c>
      <c r="O100" s="100" t="s">
        <v>1091</v>
      </c>
      <c r="P100" s="677" t="s">
        <v>2196</v>
      </c>
    </row>
    <row r="101" ht="54.75" customHeight="1">
      <c r="A101" s="678"/>
      <c r="B101" s="536"/>
      <c r="C101" s="536"/>
      <c r="D101" s="536"/>
      <c r="E101" s="100" t="s">
        <v>119</v>
      </c>
      <c r="F101" s="100" t="s">
        <v>120</v>
      </c>
      <c r="G101" s="682" t="s">
        <v>124</v>
      </c>
      <c r="H101" s="626" t="s">
        <v>1643</v>
      </c>
      <c r="I101" s="636" t="s">
        <v>1800</v>
      </c>
      <c r="J101" s="538"/>
      <c r="K101" s="539"/>
      <c r="L101" s="538"/>
      <c r="M101" s="536"/>
      <c r="N101" s="536"/>
      <c r="O101" s="536"/>
      <c r="P101" s="536"/>
    </row>
    <row r="102" ht="36.0" customHeight="1">
      <c r="A102" s="678"/>
      <c r="B102" s="536"/>
      <c r="C102" s="536"/>
      <c r="D102" s="536"/>
      <c r="E102" s="100" t="s">
        <v>119</v>
      </c>
      <c r="F102" s="100" t="s">
        <v>120</v>
      </c>
      <c r="G102" s="682" t="s">
        <v>124</v>
      </c>
      <c r="H102" s="630" t="s">
        <v>1645</v>
      </c>
      <c r="I102" s="636" t="s">
        <v>1801</v>
      </c>
      <c r="J102" s="538"/>
      <c r="K102" s="539"/>
      <c r="L102" s="538"/>
      <c r="M102" s="536"/>
      <c r="N102" s="536"/>
      <c r="O102" s="536"/>
      <c r="P102" s="536"/>
    </row>
    <row r="103" ht="15.75" customHeight="1">
      <c r="A103" s="678"/>
      <c r="B103" s="536"/>
      <c r="C103" s="536"/>
      <c r="D103" s="536"/>
      <c r="E103" s="100" t="s">
        <v>119</v>
      </c>
      <c r="F103" s="100" t="s">
        <v>120</v>
      </c>
      <c r="G103" s="682" t="s">
        <v>124</v>
      </c>
      <c r="H103" s="626" t="s">
        <v>1638</v>
      </c>
      <c r="I103" s="636" t="s">
        <v>1802</v>
      </c>
      <c r="J103" s="538"/>
      <c r="K103" s="539"/>
      <c r="L103" s="538"/>
      <c r="M103" s="536"/>
      <c r="N103" s="536"/>
      <c r="O103" s="536"/>
      <c r="P103" s="536"/>
    </row>
    <row r="104" ht="15.75" customHeight="1">
      <c r="A104" s="678"/>
      <c r="B104" s="536"/>
      <c r="C104" s="210"/>
      <c r="D104" s="210"/>
      <c r="E104" s="100" t="s">
        <v>119</v>
      </c>
      <c r="F104" s="100" t="s">
        <v>120</v>
      </c>
      <c r="G104" s="682" t="s">
        <v>124</v>
      </c>
      <c r="H104" s="626" t="s">
        <v>1648</v>
      </c>
      <c r="I104" s="636" t="s">
        <v>1803</v>
      </c>
      <c r="J104" s="213"/>
      <c r="K104" s="440"/>
      <c r="L104" s="213"/>
      <c r="M104" s="210"/>
      <c r="N104" s="210"/>
      <c r="O104" s="210"/>
      <c r="P104" s="210"/>
    </row>
    <row r="105" ht="47.25" customHeight="1">
      <c r="A105" s="678"/>
      <c r="B105" s="536"/>
      <c r="C105" s="100">
        <v>2.0</v>
      </c>
      <c r="D105" s="58" t="s">
        <v>1804</v>
      </c>
      <c r="E105" s="100" t="s">
        <v>119</v>
      </c>
      <c r="F105" s="100" t="s">
        <v>120</v>
      </c>
      <c r="G105" s="682" t="s">
        <v>124</v>
      </c>
      <c r="H105" s="626" t="s">
        <v>1636</v>
      </c>
      <c r="I105" s="636" t="s">
        <v>1805</v>
      </c>
      <c r="J105" s="631" t="s">
        <v>1638</v>
      </c>
      <c r="K105" s="683" t="s">
        <v>2197</v>
      </c>
      <c r="L105" s="633">
        <v>3.0</v>
      </c>
      <c r="M105" s="100" t="s">
        <v>301</v>
      </c>
      <c r="N105" s="568">
        <v>3.0</v>
      </c>
      <c r="O105" s="100" t="s">
        <v>1091</v>
      </c>
      <c r="P105" s="677" t="s">
        <v>2198</v>
      </c>
    </row>
    <row r="106" ht="43.5" customHeight="1">
      <c r="A106" s="678"/>
      <c r="B106" s="536"/>
      <c r="C106" s="536"/>
      <c r="D106" s="536"/>
      <c r="E106" s="100" t="s">
        <v>119</v>
      </c>
      <c r="F106" s="100" t="s">
        <v>120</v>
      </c>
      <c r="G106" s="682" t="s">
        <v>124</v>
      </c>
      <c r="H106" s="626" t="s">
        <v>1643</v>
      </c>
      <c r="I106" s="636" t="s">
        <v>1808</v>
      </c>
      <c r="J106" s="538"/>
      <c r="K106" s="539"/>
      <c r="L106" s="538"/>
      <c r="M106" s="536"/>
      <c r="N106" s="536"/>
      <c r="O106" s="536"/>
      <c r="P106" s="536"/>
    </row>
    <row r="107" ht="15.75" customHeight="1">
      <c r="A107" s="678"/>
      <c r="B107" s="536"/>
      <c r="C107" s="536"/>
      <c r="D107" s="536"/>
      <c r="E107" s="100" t="s">
        <v>119</v>
      </c>
      <c r="F107" s="100" t="s">
        <v>120</v>
      </c>
      <c r="G107" s="682" t="s">
        <v>124</v>
      </c>
      <c r="H107" s="630" t="s">
        <v>1645</v>
      </c>
      <c r="I107" s="636" t="s">
        <v>2074</v>
      </c>
      <c r="J107" s="538"/>
      <c r="K107" s="539"/>
      <c r="L107" s="538"/>
      <c r="M107" s="536"/>
      <c r="N107" s="536"/>
      <c r="O107" s="536"/>
      <c r="P107" s="536"/>
    </row>
    <row r="108" ht="15.75" customHeight="1">
      <c r="A108" s="678"/>
      <c r="B108" s="536"/>
      <c r="C108" s="536"/>
      <c r="D108" s="536"/>
      <c r="E108" s="100" t="s">
        <v>119</v>
      </c>
      <c r="F108" s="100" t="s">
        <v>120</v>
      </c>
      <c r="G108" s="682" t="s">
        <v>124</v>
      </c>
      <c r="H108" s="626" t="s">
        <v>1638</v>
      </c>
      <c r="I108" s="636" t="s">
        <v>1810</v>
      </c>
      <c r="J108" s="538"/>
      <c r="K108" s="539"/>
      <c r="L108" s="538"/>
      <c r="M108" s="536"/>
      <c r="N108" s="536"/>
      <c r="O108" s="536"/>
      <c r="P108" s="536"/>
    </row>
    <row r="109" ht="15.75" customHeight="1">
      <c r="A109" s="678"/>
      <c r="B109" s="536"/>
      <c r="C109" s="210"/>
      <c r="D109" s="210"/>
      <c r="E109" s="100" t="s">
        <v>119</v>
      </c>
      <c r="F109" s="100" t="s">
        <v>120</v>
      </c>
      <c r="G109" s="682" t="s">
        <v>124</v>
      </c>
      <c r="H109" s="626" t="s">
        <v>1648</v>
      </c>
      <c r="I109" s="636" t="s">
        <v>1811</v>
      </c>
      <c r="J109" s="213"/>
      <c r="K109" s="440"/>
      <c r="L109" s="213"/>
      <c r="M109" s="210"/>
      <c r="N109" s="210"/>
      <c r="O109" s="210"/>
      <c r="P109" s="210"/>
    </row>
    <row r="110" ht="15.75" customHeight="1">
      <c r="A110" s="678"/>
      <c r="B110" s="536"/>
      <c r="C110" s="100">
        <v>3.0</v>
      </c>
      <c r="D110" s="58" t="s">
        <v>1812</v>
      </c>
      <c r="E110" s="100" t="s">
        <v>119</v>
      </c>
      <c r="F110" s="100" t="s">
        <v>120</v>
      </c>
      <c r="G110" s="682" t="s">
        <v>124</v>
      </c>
      <c r="H110" s="626" t="s">
        <v>1636</v>
      </c>
      <c r="I110" s="636" t="s">
        <v>1813</v>
      </c>
      <c r="J110" s="631" t="s">
        <v>1638</v>
      </c>
      <c r="K110" s="683" t="s">
        <v>2199</v>
      </c>
      <c r="L110" s="633">
        <v>3.0</v>
      </c>
      <c r="M110" s="100" t="s">
        <v>301</v>
      </c>
      <c r="N110" s="568">
        <v>3.0</v>
      </c>
      <c r="O110" s="100" t="s">
        <v>1091</v>
      </c>
      <c r="P110" s="677" t="s">
        <v>2200</v>
      </c>
    </row>
    <row r="111" ht="15.75" customHeight="1">
      <c r="A111" s="678"/>
      <c r="B111" s="536"/>
      <c r="C111" s="536"/>
      <c r="D111" s="536"/>
      <c r="E111" s="100" t="s">
        <v>119</v>
      </c>
      <c r="F111" s="100" t="s">
        <v>120</v>
      </c>
      <c r="G111" s="682" t="s">
        <v>124</v>
      </c>
      <c r="H111" s="626" t="s">
        <v>1643</v>
      </c>
      <c r="I111" s="636" t="s">
        <v>1816</v>
      </c>
      <c r="J111" s="538"/>
      <c r="K111" s="539"/>
      <c r="L111" s="538"/>
      <c r="M111" s="536"/>
      <c r="N111" s="536"/>
      <c r="O111" s="536"/>
      <c r="P111" s="536"/>
    </row>
    <row r="112" ht="15.75" customHeight="1">
      <c r="A112" s="678"/>
      <c r="B112" s="536"/>
      <c r="C112" s="536"/>
      <c r="D112" s="536"/>
      <c r="E112" s="100" t="s">
        <v>119</v>
      </c>
      <c r="F112" s="100" t="s">
        <v>120</v>
      </c>
      <c r="G112" s="682" t="s">
        <v>124</v>
      </c>
      <c r="H112" s="626" t="s">
        <v>1645</v>
      </c>
      <c r="I112" s="636" t="s">
        <v>1817</v>
      </c>
      <c r="J112" s="538"/>
      <c r="K112" s="539"/>
      <c r="L112" s="538"/>
      <c r="M112" s="536"/>
      <c r="N112" s="536"/>
      <c r="O112" s="536"/>
      <c r="P112" s="536"/>
    </row>
    <row r="113" ht="15.75" customHeight="1">
      <c r="A113" s="678"/>
      <c r="B113" s="536"/>
      <c r="C113" s="536"/>
      <c r="D113" s="536"/>
      <c r="E113" s="100" t="s">
        <v>119</v>
      </c>
      <c r="F113" s="100" t="s">
        <v>120</v>
      </c>
      <c r="G113" s="682" t="s">
        <v>124</v>
      </c>
      <c r="H113" s="626" t="s">
        <v>1638</v>
      </c>
      <c r="I113" s="636" t="s">
        <v>1818</v>
      </c>
      <c r="J113" s="538"/>
      <c r="K113" s="539"/>
      <c r="L113" s="538"/>
      <c r="M113" s="536"/>
      <c r="N113" s="536"/>
      <c r="O113" s="536"/>
      <c r="P113" s="536"/>
    </row>
    <row r="114" ht="15.75" customHeight="1">
      <c r="A114" s="678"/>
      <c r="B114" s="536"/>
      <c r="C114" s="210"/>
      <c r="D114" s="210"/>
      <c r="E114" s="100" t="s">
        <v>119</v>
      </c>
      <c r="F114" s="100" t="s">
        <v>120</v>
      </c>
      <c r="G114" s="682" t="s">
        <v>124</v>
      </c>
      <c r="H114" s="626" t="s">
        <v>1648</v>
      </c>
      <c r="I114" s="636" t="s">
        <v>1819</v>
      </c>
      <c r="J114" s="213"/>
      <c r="K114" s="440"/>
      <c r="L114" s="213"/>
      <c r="M114" s="210"/>
      <c r="N114" s="210"/>
      <c r="O114" s="210"/>
      <c r="P114" s="210"/>
    </row>
    <row r="115" ht="15.75" customHeight="1">
      <c r="A115" s="678"/>
      <c r="B115" s="536"/>
      <c r="C115" s="100">
        <v>4.0</v>
      </c>
      <c r="D115" s="58" t="s">
        <v>177</v>
      </c>
      <c r="E115" s="100" t="s">
        <v>119</v>
      </c>
      <c r="F115" s="100" t="s">
        <v>120</v>
      </c>
      <c r="G115" s="682" t="s">
        <v>124</v>
      </c>
      <c r="H115" s="626" t="s">
        <v>1636</v>
      </c>
      <c r="I115" s="636" t="s">
        <v>1820</v>
      </c>
      <c r="J115" s="631" t="s">
        <v>1638</v>
      </c>
      <c r="K115" s="683" t="s">
        <v>2201</v>
      </c>
      <c r="L115" s="633">
        <v>3.0</v>
      </c>
      <c r="M115" s="100" t="s">
        <v>301</v>
      </c>
      <c r="N115" s="568">
        <v>3.0</v>
      </c>
      <c r="O115" s="100" t="s">
        <v>1091</v>
      </c>
      <c r="P115" s="677" t="s">
        <v>2202</v>
      </c>
    </row>
    <row r="116" ht="63.0" customHeight="1">
      <c r="A116" s="678"/>
      <c r="B116" s="536"/>
      <c r="C116" s="536"/>
      <c r="D116" s="536"/>
      <c r="E116" s="100" t="s">
        <v>119</v>
      </c>
      <c r="F116" s="100" t="s">
        <v>120</v>
      </c>
      <c r="G116" s="682" t="s">
        <v>124</v>
      </c>
      <c r="H116" s="626" t="s">
        <v>1643</v>
      </c>
      <c r="I116" s="636" t="s">
        <v>1823</v>
      </c>
      <c r="J116" s="538"/>
      <c r="K116" s="539"/>
      <c r="L116" s="538"/>
      <c r="M116" s="536"/>
      <c r="N116" s="536"/>
      <c r="O116" s="536"/>
      <c r="P116" s="536"/>
    </row>
    <row r="117" ht="52.5" customHeight="1">
      <c r="A117" s="678"/>
      <c r="B117" s="536"/>
      <c r="C117" s="536"/>
      <c r="D117" s="536"/>
      <c r="E117" s="100" t="s">
        <v>119</v>
      </c>
      <c r="F117" s="100" t="s">
        <v>120</v>
      </c>
      <c r="G117" s="682" t="s">
        <v>124</v>
      </c>
      <c r="H117" s="630" t="s">
        <v>1645</v>
      </c>
      <c r="I117" s="636" t="s">
        <v>1824</v>
      </c>
      <c r="J117" s="538"/>
      <c r="K117" s="539"/>
      <c r="L117" s="538"/>
      <c r="M117" s="536"/>
      <c r="N117" s="536"/>
      <c r="O117" s="536"/>
      <c r="P117" s="536"/>
    </row>
    <row r="118" ht="57.0" customHeight="1">
      <c r="A118" s="678"/>
      <c r="B118" s="536"/>
      <c r="C118" s="536"/>
      <c r="D118" s="536"/>
      <c r="E118" s="100" t="s">
        <v>119</v>
      </c>
      <c r="F118" s="100" t="s">
        <v>120</v>
      </c>
      <c r="G118" s="682" t="s">
        <v>124</v>
      </c>
      <c r="H118" s="626" t="s">
        <v>1638</v>
      </c>
      <c r="I118" s="636" t="s">
        <v>1825</v>
      </c>
      <c r="J118" s="538"/>
      <c r="K118" s="539"/>
      <c r="L118" s="538"/>
      <c r="M118" s="536"/>
      <c r="N118" s="536"/>
      <c r="O118" s="536"/>
      <c r="P118" s="536"/>
    </row>
    <row r="119" ht="84.75" customHeight="1">
      <c r="A119" s="678"/>
      <c r="B119" s="536"/>
      <c r="C119" s="210"/>
      <c r="D119" s="210"/>
      <c r="E119" s="100" t="s">
        <v>119</v>
      </c>
      <c r="F119" s="100" t="s">
        <v>120</v>
      </c>
      <c r="G119" s="682" t="s">
        <v>124</v>
      </c>
      <c r="H119" s="626" t="s">
        <v>1648</v>
      </c>
      <c r="I119" s="636" t="s">
        <v>1826</v>
      </c>
      <c r="J119" s="213"/>
      <c r="K119" s="440"/>
      <c r="L119" s="213"/>
      <c r="M119" s="210"/>
      <c r="N119" s="210"/>
      <c r="O119" s="210"/>
      <c r="P119" s="210"/>
    </row>
    <row r="120" ht="15.75" customHeight="1">
      <c r="A120" s="678"/>
      <c r="B120" s="536"/>
      <c r="C120" s="100">
        <v>5.0</v>
      </c>
      <c r="D120" s="58" t="s">
        <v>178</v>
      </c>
      <c r="E120" s="100" t="s">
        <v>119</v>
      </c>
      <c r="F120" s="100" t="s">
        <v>120</v>
      </c>
      <c r="G120" s="682" t="s">
        <v>124</v>
      </c>
      <c r="H120" s="626" t="s">
        <v>1636</v>
      </c>
      <c r="I120" s="636" t="s">
        <v>1827</v>
      </c>
      <c r="J120" s="631" t="s">
        <v>1638</v>
      </c>
      <c r="K120" s="683" t="s">
        <v>2203</v>
      </c>
      <c r="L120" s="633">
        <v>1.0</v>
      </c>
      <c r="M120" s="100" t="s">
        <v>301</v>
      </c>
      <c r="N120" s="568">
        <v>1.0</v>
      </c>
      <c r="O120" s="100" t="s">
        <v>2204</v>
      </c>
      <c r="P120" s="677" t="s">
        <v>2205</v>
      </c>
    </row>
    <row r="121" ht="15.75" customHeight="1">
      <c r="A121" s="678"/>
      <c r="B121" s="536"/>
      <c r="C121" s="536"/>
      <c r="D121" s="536"/>
      <c r="E121" s="100" t="s">
        <v>119</v>
      </c>
      <c r="F121" s="100" t="s">
        <v>120</v>
      </c>
      <c r="G121" s="682" t="s">
        <v>124</v>
      </c>
      <c r="H121" s="626" t="s">
        <v>1643</v>
      </c>
      <c r="I121" s="636" t="s">
        <v>1830</v>
      </c>
      <c r="J121" s="538"/>
      <c r="K121" s="539"/>
      <c r="L121" s="538"/>
      <c r="M121" s="536"/>
      <c r="N121" s="536"/>
      <c r="O121" s="536"/>
      <c r="P121" s="536"/>
    </row>
    <row r="122" ht="50.25" customHeight="1">
      <c r="A122" s="678"/>
      <c r="B122" s="536"/>
      <c r="C122" s="536"/>
      <c r="D122" s="536"/>
      <c r="E122" s="100" t="s">
        <v>119</v>
      </c>
      <c r="F122" s="100" t="s">
        <v>120</v>
      </c>
      <c r="G122" s="682" t="s">
        <v>124</v>
      </c>
      <c r="H122" s="626" t="s">
        <v>1645</v>
      </c>
      <c r="I122" s="636" t="s">
        <v>1831</v>
      </c>
      <c r="J122" s="538"/>
      <c r="K122" s="539"/>
      <c r="L122" s="538"/>
      <c r="M122" s="536"/>
      <c r="N122" s="536"/>
      <c r="O122" s="536"/>
      <c r="P122" s="536"/>
    </row>
    <row r="123" ht="42.75" customHeight="1">
      <c r="A123" s="678"/>
      <c r="B123" s="536"/>
      <c r="C123" s="536"/>
      <c r="D123" s="536"/>
      <c r="E123" s="100" t="s">
        <v>119</v>
      </c>
      <c r="F123" s="100" t="s">
        <v>120</v>
      </c>
      <c r="G123" s="682" t="s">
        <v>124</v>
      </c>
      <c r="H123" s="626" t="s">
        <v>1638</v>
      </c>
      <c r="I123" s="636" t="s">
        <v>1832</v>
      </c>
      <c r="J123" s="538"/>
      <c r="K123" s="539"/>
      <c r="L123" s="538"/>
      <c r="M123" s="536"/>
      <c r="N123" s="536"/>
      <c r="O123" s="536"/>
      <c r="P123" s="536"/>
    </row>
    <row r="124" ht="15.75" customHeight="1">
      <c r="A124" s="678"/>
      <c r="B124" s="536"/>
      <c r="C124" s="210"/>
      <c r="D124" s="210"/>
      <c r="E124" s="100" t="s">
        <v>119</v>
      </c>
      <c r="F124" s="100" t="s">
        <v>120</v>
      </c>
      <c r="G124" s="682" t="s">
        <v>124</v>
      </c>
      <c r="H124" s="630" t="s">
        <v>1648</v>
      </c>
      <c r="I124" s="636" t="s">
        <v>1833</v>
      </c>
      <c r="J124" s="213"/>
      <c r="K124" s="440"/>
      <c r="L124" s="213"/>
      <c r="M124" s="210"/>
      <c r="N124" s="210"/>
      <c r="O124" s="210"/>
      <c r="P124" s="210"/>
    </row>
    <row r="125" ht="15.75" customHeight="1">
      <c r="A125" s="688">
        <v>45962.0</v>
      </c>
      <c r="B125" s="143" t="s">
        <v>2080</v>
      </c>
      <c r="C125" s="62"/>
      <c r="D125" s="62"/>
      <c r="E125" s="62"/>
      <c r="F125" s="62"/>
      <c r="G125" s="62"/>
      <c r="H125" s="62"/>
      <c r="I125" s="673"/>
      <c r="J125" s="641"/>
      <c r="K125" s="641"/>
      <c r="L125" s="613">
        <f>L126</f>
        <v>3</v>
      </c>
      <c r="M125" s="144"/>
      <c r="N125" s="679">
        <f>N126</f>
        <v>3</v>
      </c>
      <c r="O125" s="144"/>
      <c r="P125" s="487"/>
    </row>
    <row r="126" ht="52.5" customHeight="1">
      <c r="A126" s="676"/>
      <c r="B126" s="58"/>
      <c r="C126" s="100">
        <v>1.0</v>
      </c>
      <c r="D126" s="58" t="s">
        <v>2206</v>
      </c>
      <c r="E126" s="82" t="s">
        <v>119</v>
      </c>
      <c r="F126" s="150" t="s">
        <v>124</v>
      </c>
      <c r="G126" s="150" t="s">
        <v>124</v>
      </c>
      <c r="H126" s="168" t="s">
        <v>1636</v>
      </c>
      <c r="I126" s="620" t="s">
        <v>1835</v>
      </c>
      <c r="J126" s="621" t="s">
        <v>1638</v>
      </c>
      <c r="K126" s="628" t="s">
        <v>2207</v>
      </c>
      <c r="L126" s="623">
        <v>3.0</v>
      </c>
      <c r="M126" s="100" t="s">
        <v>301</v>
      </c>
      <c r="N126" s="568">
        <v>3.0</v>
      </c>
      <c r="O126" s="100" t="s">
        <v>2025</v>
      </c>
      <c r="P126" s="677" t="s">
        <v>2208</v>
      </c>
    </row>
    <row r="127" ht="60.0" customHeight="1">
      <c r="A127" s="678"/>
      <c r="B127" s="536"/>
      <c r="C127" s="536"/>
      <c r="D127" s="536"/>
      <c r="E127" s="82" t="s">
        <v>119</v>
      </c>
      <c r="F127" s="150" t="s">
        <v>124</v>
      </c>
      <c r="G127" s="150" t="s">
        <v>124</v>
      </c>
      <c r="H127" s="626" t="s">
        <v>1643</v>
      </c>
      <c r="I127" s="627" t="s">
        <v>1839</v>
      </c>
      <c r="J127" s="538"/>
      <c r="K127" s="539"/>
      <c r="L127" s="538"/>
      <c r="M127" s="536"/>
      <c r="N127" s="536"/>
      <c r="O127" s="536"/>
      <c r="P127" s="536"/>
    </row>
    <row r="128" ht="63.0" customHeight="1">
      <c r="A128" s="678"/>
      <c r="B128" s="536"/>
      <c r="C128" s="536"/>
      <c r="D128" s="536"/>
      <c r="E128" s="82" t="s">
        <v>119</v>
      </c>
      <c r="F128" s="150" t="s">
        <v>124</v>
      </c>
      <c r="G128" s="150" t="s">
        <v>124</v>
      </c>
      <c r="H128" s="630" t="s">
        <v>1645</v>
      </c>
      <c r="I128" s="627" t="s">
        <v>1840</v>
      </c>
      <c r="J128" s="538"/>
      <c r="K128" s="539"/>
      <c r="L128" s="538"/>
      <c r="M128" s="536"/>
      <c r="N128" s="536"/>
      <c r="O128" s="536"/>
      <c r="P128" s="536"/>
    </row>
    <row r="129" ht="78.75" customHeight="1">
      <c r="A129" s="678"/>
      <c r="B129" s="536"/>
      <c r="C129" s="536"/>
      <c r="D129" s="536"/>
      <c r="E129" s="82" t="s">
        <v>119</v>
      </c>
      <c r="F129" s="150" t="s">
        <v>124</v>
      </c>
      <c r="G129" s="150" t="s">
        <v>124</v>
      </c>
      <c r="H129" s="626" t="s">
        <v>1638</v>
      </c>
      <c r="I129" s="627" t="s">
        <v>1841</v>
      </c>
      <c r="J129" s="538"/>
      <c r="K129" s="539"/>
      <c r="L129" s="538"/>
      <c r="M129" s="536"/>
      <c r="N129" s="536"/>
      <c r="O129" s="536"/>
      <c r="P129" s="536"/>
    </row>
    <row r="130" ht="192.75" customHeight="1">
      <c r="A130" s="680"/>
      <c r="B130" s="210"/>
      <c r="C130" s="210"/>
      <c r="D130" s="210"/>
      <c r="E130" s="82" t="s">
        <v>119</v>
      </c>
      <c r="F130" s="150" t="s">
        <v>124</v>
      </c>
      <c r="G130" s="150" t="s">
        <v>124</v>
      </c>
      <c r="H130" s="626" t="s">
        <v>1648</v>
      </c>
      <c r="I130" s="627" t="s">
        <v>1842</v>
      </c>
      <c r="J130" s="213"/>
      <c r="K130" s="440"/>
      <c r="L130" s="213"/>
      <c r="M130" s="210"/>
      <c r="N130" s="210"/>
      <c r="O130" s="210"/>
      <c r="P130" s="210"/>
    </row>
    <row r="131" ht="15.75" customHeight="1">
      <c r="A131" s="688">
        <v>45992.0</v>
      </c>
      <c r="B131" s="143" t="s">
        <v>184</v>
      </c>
      <c r="C131" s="62"/>
      <c r="D131" s="62"/>
      <c r="E131" s="62"/>
      <c r="F131" s="62"/>
      <c r="G131" s="62"/>
      <c r="H131" s="62"/>
      <c r="I131" s="673"/>
      <c r="J131" s="144"/>
      <c r="K131" s="144"/>
      <c r="L131" s="613">
        <f>L132</f>
        <v>4</v>
      </c>
      <c r="M131" s="144"/>
      <c r="N131" s="679">
        <f>N132</f>
        <v>4</v>
      </c>
      <c r="O131" s="144"/>
      <c r="P131" s="487"/>
    </row>
    <row r="132" ht="15.75" customHeight="1">
      <c r="A132" s="676"/>
      <c r="B132" s="58"/>
      <c r="C132" s="100">
        <v>1.0</v>
      </c>
      <c r="D132" s="58" t="s">
        <v>2209</v>
      </c>
      <c r="E132" s="82" t="s">
        <v>119</v>
      </c>
      <c r="F132" s="150" t="s">
        <v>124</v>
      </c>
      <c r="G132" s="150" t="s">
        <v>124</v>
      </c>
      <c r="H132" s="168" t="s">
        <v>1636</v>
      </c>
      <c r="I132" s="620" t="s">
        <v>1843</v>
      </c>
      <c r="J132" s="621" t="s">
        <v>1638</v>
      </c>
      <c r="K132" s="628" t="s">
        <v>2210</v>
      </c>
      <c r="L132" s="681">
        <v>4.0</v>
      </c>
      <c r="M132" s="568" t="s">
        <v>301</v>
      </c>
      <c r="N132" s="568">
        <v>4.0</v>
      </c>
      <c r="O132" s="568" t="s">
        <v>1091</v>
      </c>
      <c r="P132" s="677" t="s">
        <v>2208</v>
      </c>
    </row>
    <row r="133" ht="73.5" customHeight="1">
      <c r="A133" s="678"/>
      <c r="B133" s="536"/>
      <c r="C133" s="536"/>
      <c r="D133" s="536"/>
      <c r="E133" s="82" t="s">
        <v>119</v>
      </c>
      <c r="F133" s="150" t="s">
        <v>124</v>
      </c>
      <c r="G133" s="150" t="s">
        <v>124</v>
      </c>
      <c r="H133" s="630" t="s">
        <v>1643</v>
      </c>
      <c r="I133" s="627" t="s">
        <v>1848</v>
      </c>
      <c r="J133" s="538"/>
      <c r="K133" s="539"/>
      <c r="L133" s="539"/>
      <c r="M133" s="536"/>
      <c r="N133" s="536"/>
      <c r="O133" s="536"/>
      <c r="P133" s="536"/>
    </row>
    <row r="134" ht="48.75" customHeight="1">
      <c r="A134" s="678"/>
      <c r="B134" s="536"/>
      <c r="C134" s="536"/>
      <c r="D134" s="536"/>
      <c r="E134" s="82" t="s">
        <v>119</v>
      </c>
      <c r="F134" s="150" t="s">
        <v>124</v>
      </c>
      <c r="G134" s="150" t="s">
        <v>124</v>
      </c>
      <c r="H134" s="626" t="s">
        <v>1645</v>
      </c>
      <c r="I134" s="627" t="s">
        <v>1849</v>
      </c>
      <c r="J134" s="538"/>
      <c r="K134" s="539"/>
      <c r="L134" s="539"/>
      <c r="M134" s="536"/>
      <c r="N134" s="536"/>
      <c r="O134" s="536"/>
      <c r="P134" s="536"/>
    </row>
    <row r="135" ht="15.75" customHeight="1">
      <c r="A135" s="678"/>
      <c r="B135" s="536"/>
      <c r="C135" s="536"/>
      <c r="D135" s="536"/>
      <c r="E135" s="82" t="s">
        <v>119</v>
      </c>
      <c r="F135" s="150" t="s">
        <v>124</v>
      </c>
      <c r="G135" s="150" t="s">
        <v>124</v>
      </c>
      <c r="H135" s="626" t="s">
        <v>1638</v>
      </c>
      <c r="I135" s="627" t="s">
        <v>1850</v>
      </c>
      <c r="J135" s="538"/>
      <c r="K135" s="539"/>
      <c r="L135" s="539"/>
      <c r="M135" s="536"/>
      <c r="N135" s="536"/>
      <c r="O135" s="536"/>
      <c r="P135" s="536"/>
    </row>
    <row r="136" ht="105.75" customHeight="1">
      <c r="A136" s="680"/>
      <c r="B136" s="210"/>
      <c r="C136" s="210"/>
      <c r="D136" s="210"/>
      <c r="E136" s="82" t="s">
        <v>119</v>
      </c>
      <c r="F136" s="150" t="s">
        <v>124</v>
      </c>
      <c r="G136" s="150" t="s">
        <v>124</v>
      </c>
      <c r="H136" s="626" t="s">
        <v>1648</v>
      </c>
      <c r="I136" s="627" t="s">
        <v>1851</v>
      </c>
      <c r="J136" s="213"/>
      <c r="K136" s="440"/>
      <c r="L136" s="440"/>
      <c r="M136" s="210"/>
      <c r="N136" s="210"/>
      <c r="O136" s="210"/>
      <c r="P136" s="210"/>
    </row>
    <row r="137" ht="15.75" customHeight="1">
      <c r="A137" s="142" t="s">
        <v>2211</v>
      </c>
      <c r="B137" s="143" t="s">
        <v>187</v>
      </c>
      <c r="C137" s="62"/>
      <c r="D137" s="62"/>
      <c r="E137" s="62"/>
      <c r="F137" s="62"/>
      <c r="G137" s="62"/>
      <c r="H137" s="62"/>
      <c r="I137" s="673"/>
      <c r="J137" s="144"/>
      <c r="K137" s="144"/>
      <c r="L137" s="613">
        <f>L138</f>
        <v>4</v>
      </c>
      <c r="M137" s="144"/>
      <c r="N137" s="679">
        <f>N138</f>
        <v>3</v>
      </c>
      <c r="O137" s="144"/>
      <c r="P137" s="487"/>
    </row>
    <row r="138" ht="15.75" customHeight="1">
      <c r="A138" s="676"/>
      <c r="B138" s="58"/>
      <c r="C138" s="100">
        <v>1.0</v>
      </c>
      <c r="D138" s="58" t="s">
        <v>2212</v>
      </c>
      <c r="E138" s="82" t="s">
        <v>119</v>
      </c>
      <c r="F138" s="150" t="s">
        <v>124</v>
      </c>
      <c r="G138" s="150" t="s">
        <v>124</v>
      </c>
      <c r="H138" s="168" t="s">
        <v>1636</v>
      </c>
      <c r="I138" s="620" t="s">
        <v>1853</v>
      </c>
      <c r="J138" s="621" t="s">
        <v>1638</v>
      </c>
      <c r="K138" s="628" t="s">
        <v>2213</v>
      </c>
      <c r="L138" s="623">
        <v>4.0</v>
      </c>
      <c r="M138" s="100" t="s">
        <v>301</v>
      </c>
      <c r="N138" s="568">
        <v>3.0</v>
      </c>
      <c r="O138" s="100" t="s">
        <v>2088</v>
      </c>
      <c r="P138" s="677" t="s">
        <v>2089</v>
      </c>
    </row>
    <row r="139" ht="56.25" customHeight="1">
      <c r="A139" s="678"/>
      <c r="B139" s="536"/>
      <c r="C139" s="536"/>
      <c r="D139" s="536"/>
      <c r="E139" s="82" t="s">
        <v>119</v>
      </c>
      <c r="F139" s="150" t="s">
        <v>124</v>
      </c>
      <c r="G139" s="150" t="s">
        <v>124</v>
      </c>
      <c r="H139" s="626" t="s">
        <v>1643</v>
      </c>
      <c r="I139" s="627" t="s">
        <v>1858</v>
      </c>
      <c r="J139" s="538"/>
      <c r="K139" s="539"/>
      <c r="L139" s="538"/>
      <c r="M139" s="536"/>
      <c r="N139" s="536"/>
      <c r="O139" s="536"/>
      <c r="P139" s="536"/>
    </row>
    <row r="140" ht="76.5" customHeight="1">
      <c r="A140" s="678"/>
      <c r="B140" s="536"/>
      <c r="C140" s="536"/>
      <c r="D140" s="536"/>
      <c r="E140" s="82" t="s">
        <v>119</v>
      </c>
      <c r="F140" s="150" t="s">
        <v>124</v>
      </c>
      <c r="G140" s="150" t="s">
        <v>124</v>
      </c>
      <c r="H140" s="630" t="s">
        <v>1645</v>
      </c>
      <c r="I140" s="596" t="s">
        <v>2214</v>
      </c>
      <c r="J140" s="538"/>
      <c r="K140" s="539"/>
      <c r="L140" s="538"/>
      <c r="M140" s="536"/>
      <c r="N140" s="536"/>
      <c r="O140" s="536"/>
      <c r="P140" s="536"/>
    </row>
    <row r="141" ht="15.75" customHeight="1">
      <c r="A141" s="678"/>
      <c r="B141" s="536"/>
      <c r="C141" s="536"/>
      <c r="D141" s="536"/>
      <c r="E141" s="82" t="s">
        <v>119</v>
      </c>
      <c r="F141" s="150" t="s">
        <v>124</v>
      </c>
      <c r="G141" s="150" t="s">
        <v>124</v>
      </c>
      <c r="H141" s="626" t="s">
        <v>1638</v>
      </c>
      <c r="I141" s="627" t="s">
        <v>1860</v>
      </c>
      <c r="J141" s="538"/>
      <c r="K141" s="539"/>
      <c r="L141" s="538"/>
      <c r="M141" s="536"/>
      <c r="N141" s="536"/>
      <c r="O141" s="536"/>
      <c r="P141" s="536"/>
    </row>
    <row r="142" ht="141.0" customHeight="1">
      <c r="A142" s="680"/>
      <c r="B142" s="210"/>
      <c r="C142" s="210"/>
      <c r="D142" s="210"/>
      <c r="E142" s="82" t="s">
        <v>119</v>
      </c>
      <c r="F142" s="150" t="s">
        <v>124</v>
      </c>
      <c r="G142" s="150" t="s">
        <v>124</v>
      </c>
      <c r="H142" s="626" t="s">
        <v>1648</v>
      </c>
      <c r="I142" s="596" t="s">
        <v>2215</v>
      </c>
      <c r="J142" s="213"/>
      <c r="K142" s="440"/>
      <c r="L142" s="213"/>
      <c r="M142" s="210"/>
      <c r="N142" s="210"/>
      <c r="O142" s="210"/>
      <c r="P142" s="210"/>
    </row>
    <row r="143" ht="15.75" customHeight="1">
      <c r="A143" s="142" t="s">
        <v>2216</v>
      </c>
      <c r="B143" s="143" t="s">
        <v>190</v>
      </c>
      <c r="C143" s="62"/>
      <c r="D143" s="62"/>
      <c r="E143" s="62"/>
      <c r="F143" s="62"/>
      <c r="G143" s="62"/>
      <c r="H143" s="62"/>
      <c r="I143" s="673"/>
      <c r="J143" s="144"/>
      <c r="K143" s="144"/>
      <c r="L143" s="613">
        <f>L144</f>
        <v>5</v>
      </c>
      <c r="M143" s="144"/>
      <c r="N143" s="679">
        <f>N144</f>
        <v>5</v>
      </c>
      <c r="O143" s="144"/>
      <c r="P143" s="487"/>
    </row>
    <row r="144" ht="57.0" customHeight="1">
      <c r="A144" s="676"/>
      <c r="B144" s="58"/>
      <c r="C144" s="100">
        <v>1.0</v>
      </c>
      <c r="D144" s="58" t="s">
        <v>2217</v>
      </c>
      <c r="E144" s="82" t="s">
        <v>119</v>
      </c>
      <c r="F144" s="150" t="s">
        <v>124</v>
      </c>
      <c r="G144" s="150" t="s">
        <v>124</v>
      </c>
      <c r="H144" s="619" t="s">
        <v>1636</v>
      </c>
      <c r="I144" s="620" t="s">
        <v>1863</v>
      </c>
      <c r="J144" s="621" t="s">
        <v>1638</v>
      </c>
      <c r="K144" s="649" t="s">
        <v>2218</v>
      </c>
      <c r="L144" s="681">
        <v>5.0</v>
      </c>
      <c r="M144" s="568" t="s">
        <v>301</v>
      </c>
      <c r="N144" s="568">
        <v>5.0</v>
      </c>
      <c r="O144" s="568" t="s">
        <v>1091</v>
      </c>
      <c r="P144" s="677" t="s">
        <v>2219</v>
      </c>
    </row>
    <row r="145" ht="69.75" customHeight="1">
      <c r="A145" s="678"/>
      <c r="B145" s="536"/>
      <c r="C145" s="536"/>
      <c r="D145" s="536"/>
      <c r="E145" s="82" t="s">
        <v>119</v>
      </c>
      <c r="F145" s="150" t="s">
        <v>124</v>
      </c>
      <c r="G145" s="150" t="s">
        <v>124</v>
      </c>
      <c r="H145" s="626" t="s">
        <v>1643</v>
      </c>
      <c r="I145" s="627" t="s">
        <v>1868</v>
      </c>
      <c r="J145" s="538"/>
      <c r="K145" s="538"/>
      <c r="L145" s="539"/>
      <c r="M145" s="536"/>
      <c r="N145" s="536"/>
      <c r="O145" s="536"/>
      <c r="P145" s="536"/>
    </row>
    <row r="146" ht="15.75" customHeight="1">
      <c r="A146" s="678"/>
      <c r="B146" s="536"/>
      <c r="C146" s="536"/>
      <c r="D146" s="536"/>
      <c r="E146" s="82" t="s">
        <v>119</v>
      </c>
      <c r="F146" s="150" t="s">
        <v>124</v>
      </c>
      <c r="G146" s="150" t="s">
        <v>124</v>
      </c>
      <c r="H146" s="626" t="s">
        <v>1645</v>
      </c>
      <c r="I146" s="596" t="s">
        <v>2220</v>
      </c>
      <c r="J146" s="538"/>
      <c r="K146" s="538"/>
      <c r="L146" s="539"/>
      <c r="M146" s="536"/>
      <c r="N146" s="536"/>
      <c r="O146" s="536"/>
      <c r="P146" s="536"/>
    </row>
    <row r="147" ht="15.75" customHeight="1">
      <c r="A147" s="678"/>
      <c r="B147" s="536"/>
      <c r="C147" s="536"/>
      <c r="D147" s="536"/>
      <c r="E147" s="82" t="s">
        <v>119</v>
      </c>
      <c r="F147" s="150" t="s">
        <v>124</v>
      </c>
      <c r="G147" s="150" t="s">
        <v>124</v>
      </c>
      <c r="H147" s="626" t="s">
        <v>1638</v>
      </c>
      <c r="I147" s="627" t="s">
        <v>1870</v>
      </c>
      <c r="J147" s="538"/>
      <c r="K147" s="538"/>
      <c r="L147" s="539"/>
      <c r="M147" s="536"/>
      <c r="N147" s="536"/>
      <c r="O147" s="536"/>
      <c r="P147" s="536"/>
    </row>
    <row r="148" ht="134.25" customHeight="1">
      <c r="A148" s="680"/>
      <c r="B148" s="210"/>
      <c r="C148" s="210"/>
      <c r="D148" s="210"/>
      <c r="E148" s="82" t="s">
        <v>119</v>
      </c>
      <c r="F148" s="150" t="s">
        <v>124</v>
      </c>
      <c r="G148" s="150" t="s">
        <v>124</v>
      </c>
      <c r="H148" s="626" t="s">
        <v>1648</v>
      </c>
      <c r="I148" s="627" t="s">
        <v>1871</v>
      </c>
      <c r="J148" s="213"/>
      <c r="K148" s="213"/>
      <c r="L148" s="440"/>
      <c r="M148" s="210"/>
      <c r="N148" s="210"/>
      <c r="O148" s="210"/>
      <c r="P148" s="210"/>
    </row>
    <row r="149" ht="15.75" customHeight="1">
      <c r="A149" s="142" t="s">
        <v>2221</v>
      </c>
      <c r="B149" s="143" t="s">
        <v>193</v>
      </c>
      <c r="C149" s="62"/>
      <c r="D149" s="62"/>
      <c r="E149" s="62"/>
      <c r="F149" s="62"/>
      <c r="G149" s="62"/>
      <c r="H149" s="62"/>
      <c r="I149" s="673"/>
      <c r="J149" s="144"/>
      <c r="K149" s="144"/>
      <c r="L149" s="613">
        <f>L150</f>
        <v>3</v>
      </c>
      <c r="M149" s="144"/>
      <c r="N149" s="679">
        <f>N150</f>
        <v>3</v>
      </c>
      <c r="O149" s="144"/>
      <c r="P149" s="487"/>
    </row>
    <row r="150" ht="54.75" customHeight="1">
      <c r="A150" s="691"/>
      <c r="B150" s="591"/>
      <c r="C150" s="568">
        <v>1.0</v>
      </c>
      <c r="D150" s="591" t="s">
        <v>2097</v>
      </c>
      <c r="E150" s="82" t="s">
        <v>119</v>
      </c>
      <c r="F150" s="150" t="s">
        <v>124</v>
      </c>
      <c r="G150" s="150" t="s">
        <v>124</v>
      </c>
      <c r="H150" s="168" t="s">
        <v>1636</v>
      </c>
      <c r="I150" s="643" t="s">
        <v>1873</v>
      </c>
      <c r="J150" s="621" t="s">
        <v>1638</v>
      </c>
      <c r="K150" s="628" t="s">
        <v>2222</v>
      </c>
      <c r="L150" s="623">
        <v>3.0</v>
      </c>
      <c r="M150" s="100" t="s">
        <v>301</v>
      </c>
      <c r="N150" s="568">
        <v>3.0</v>
      </c>
      <c r="O150" s="100" t="s">
        <v>1091</v>
      </c>
      <c r="P150" s="677" t="s">
        <v>2223</v>
      </c>
    </row>
    <row r="151">
      <c r="A151" s="678"/>
      <c r="B151" s="536"/>
      <c r="C151" s="536"/>
      <c r="D151" s="536"/>
      <c r="E151" s="82" t="s">
        <v>119</v>
      </c>
      <c r="F151" s="150" t="s">
        <v>124</v>
      </c>
      <c r="G151" s="150" t="s">
        <v>124</v>
      </c>
      <c r="H151" s="626" t="s">
        <v>1643</v>
      </c>
      <c r="I151" s="636" t="s">
        <v>1878</v>
      </c>
      <c r="J151" s="538"/>
      <c r="K151" s="539"/>
      <c r="L151" s="538"/>
      <c r="M151" s="536"/>
      <c r="N151" s="536"/>
      <c r="O151" s="536"/>
      <c r="P151" s="536"/>
    </row>
    <row r="152">
      <c r="A152" s="678"/>
      <c r="B152" s="536"/>
      <c r="C152" s="536"/>
      <c r="D152" s="536"/>
      <c r="E152" s="82" t="s">
        <v>119</v>
      </c>
      <c r="F152" s="150" t="s">
        <v>124</v>
      </c>
      <c r="G152" s="150" t="s">
        <v>124</v>
      </c>
      <c r="H152" s="630" t="s">
        <v>1645</v>
      </c>
      <c r="I152" s="636" t="s">
        <v>1879</v>
      </c>
      <c r="J152" s="538"/>
      <c r="K152" s="539"/>
      <c r="L152" s="538"/>
      <c r="M152" s="536"/>
      <c r="N152" s="536"/>
      <c r="O152" s="536"/>
      <c r="P152" s="536"/>
    </row>
    <row r="153">
      <c r="A153" s="678"/>
      <c r="B153" s="536"/>
      <c r="C153" s="536"/>
      <c r="D153" s="536"/>
      <c r="E153" s="82" t="s">
        <v>119</v>
      </c>
      <c r="F153" s="150" t="s">
        <v>124</v>
      </c>
      <c r="G153" s="150" t="s">
        <v>124</v>
      </c>
      <c r="H153" s="626" t="s">
        <v>1638</v>
      </c>
      <c r="I153" s="636" t="s">
        <v>1880</v>
      </c>
      <c r="J153" s="538"/>
      <c r="K153" s="539"/>
      <c r="L153" s="538"/>
      <c r="M153" s="536"/>
      <c r="N153" s="536"/>
      <c r="O153" s="536"/>
      <c r="P153" s="536"/>
    </row>
    <row r="154" ht="138.0" customHeight="1">
      <c r="A154" s="680"/>
      <c r="B154" s="210"/>
      <c r="C154" s="210"/>
      <c r="D154" s="210"/>
      <c r="E154" s="82" t="s">
        <v>119</v>
      </c>
      <c r="F154" s="150" t="s">
        <v>124</v>
      </c>
      <c r="G154" s="150" t="s">
        <v>124</v>
      </c>
      <c r="H154" s="626" t="s">
        <v>1648</v>
      </c>
      <c r="I154" s="636" t="s">
        <v>1881</v>
      </c>
      <c r="J154" s="213"/>
      <c r="K154" s="440"/>
      <c r="L154" s="213"/>
      <c r="M154" s="210"/>
      <c r="N154" s="210"/>
      <c r="O154" s="210"/>
      <c r="P154" s="210"/>
    </row>
    <row r="155" ht="15.75" customHeight="1">
      <c r="A155" s="142" t="s">
        <v>2224</v>
      </c>
      <c r="B155" s="143" t="s">
        <v>196</v>
      </c>
      <c r="C155" s="62"/>
      <c r="D155" s="62"/>
      <c r="E155" s="62"/>
      <c r="F155" s="62"/>
      <c r="G155" s="62"/>
      <c r="H155" s="62"/>
      <c r="I155" s="673"/>
      <c r="J155" s="144"/>
      <c r="K155" s="144"/>
      <c r="L155" s="613">
        <f>L156</f>
        <v>3</v>
      </c>
      <c r="M155" s="144"/>
      <c r="N155" s="679">
        <f>N156</f>
        <v>3</v>
      </c>
      <c r="O155" s="144"/>
      <c r="P155" s="487"/>
    </row>
    <row r="156" ht="47.25" customHeight="1">
      <c r="A156" s="676"/>
      <c r="B156" s="58"/>
      <c r="C156" s="100">
        <v>1.0</v>
      </c>
      <c r="D156" s="58" t="s">
        <v>2225</v>
      </c>
      <c r="E156" s="82" t="s">
        <v>119</v>
      </c>
      <c r="F156" s="150" t="s">
        <v>124</v>
      </c>
      <c r="G156" s="150" t="s">
        <v>124</v>
      </c>
      <c r="H156" s="168" t="s">
        <v>1636</v>
      </c>
      <c r="I156" s="620" t="s">
        <v>1882</v>
      </c>
      <c r="J156" s="621" t="s">
        <v>1638</v>
      </c>
      <c r="K156" s="628" t="s">
        <v>2226</v>
      </c>
      <c r="L156" s="623">
        <v>3.0</v>
      </c>
      <c r="M156" s="100" t="s">
        <v>301</v>
      </c>
      <c r="N156" s="568">
        <v>3.0</v>
      </c>
      <c r="O156" s="100" t="s">
        <v>1091</v>
      </c>
      <c r="P156" s="685" t="s">
        <v>2227</v>
      </c>
    </row>
    <row r="157">
      <c r="A157" s="678"/>
      <c r="B157" s="536"/>
      <c r="C157" s="536"/>
      <c r="D157" s="536"/>
      <c r="E157" s="82" t="s">
        <v>119</v>
      </c>
      <c r="F157" s="150" t="s">
        <v>124</v>
      </c>
      <c r="G157" s="150" t="s">
        <v>124</v>
      </c>
      <c r="H157" s="626" t="s">
        <v>1643</v>
      </c>
      <c r="I157" s="627" t="s">
        <v>1886</v>
      </c>
      <c r="J157" s="538"/>
      <c r="K157" s="539"/>
      <c r="L157" s="538"/>
      <c r="M157" s="536"/>
      <c r="N157" s="536"/>
      <c r="O157" s="536"/>
      <c r="P157" s="536"/>
    </row>
    <row r="158">
      <c r="A158" s="678"/>
      <c r="B158" s="536"/>
      <c r="C158" s="536"/>
      <c r="D158" s="536"/>
      <c r="E158" s="82" t="s">
        <v>119</v>
      </c>
      <c r="F158" s="150" t="s">
        <v>124</v>
      </c>
      <c r="G158" s="150" t="s">
        <v>124</v>
      </c>
      <c r="H158" s="630" t="s">
        <v>1645</v>
      </c>
      <c r="I158" s="627" t="s">
        <v>1887</v>
      </c>
      <c r="J158" s="538"/>
      <c r="K158" s="539"/>
      <c r="L158" s="538"/>
      <c r="M158" s="536"/>
      <c r="N158" s="536"/>
      <c r="O158" s="536"/>
      <c r="P158" s="536"/>
    </row>
    <row r="159" ht="15.75" customHeight="1">
      <c r="A159" s="678"/>
      <c r="B159" s="536"/>
      <c r="C159" s="536"/>
      <c r="D159" s="536"/>
      <c r="E159" s="82" t="s">
        <v>119</v>
      </c>
      <c r="F159" s="150" t="s">
        <v>124</v>
      </c>
      <c r="G159" s="150" t="s">
        <v>124</v>
      </c>
      <c r="H159" s="626" t="s">
        <v>1638</v>
      </c>
      <c r="I159" s="627" t="s">
        <v>1888</v>
      </c>
      <c r="J159" s="538"/>
      <c r="K159" s="539"/>
      <c r="L159" s="538"/>
      <c r="M159" s="536"/>
      <c r="N159" s="536"/>
      <c r="O159" s="536"/>
      <c r="P159" s="536"/>
    </row>
    <row r="160" ht="224.25" customHeight="1">
      <c r="A160" s="680"/>
      <c r="B160" s="210"/>
      <c r="C160" s="210"/>
      <c r="D160" s="210"/>
      <c r="E160" s="82" t="s">
        <v>119</v>
      </c>
      <c r="F160" s="150" t="s">
        <v>124</v>
      </c>
      <c r="G160" s="150" t="s">
        <v>124</v>
      </c>
      <c r="H160" s="626" t="s">
        <v>1648</v>
      </c>
      <c r="I160" s="627" t="s">
        <v>1889</v>
      </c>
      <c r="J160" s="213"/>
      <c r="K160" s="440"/>
      <c r="L160" s="213"/>
      <c r="M160" s="210"/>
      <c r="N160" s="210"/>
      <c r="O160" s="210"/>
      <c r="P160" s="210"/>
    </row>
    <row r="161" ht="15.75" customHeight="1">
      <c r="A161" s="142" t="s">
        <v>2228</v>
      </c>
      <c r="B161" s="143" t="s">
        <v>199</v>
      </c>
      <c r="C161" s="62"/>
      <c r="D161" s="62"/>
      <c r="E161" s="62"/>
      <c r="F161" s="62"/>
      <c r="G161" s="62"/>
      <c r="H161" s="62"/>
      <c r="I161" s="673"/>
      <c r="J161" s="144"/>
      <c r="K161" s="144"/>
      <c r="L161" s="613">
        <f>L162</f>
        <v>4</v>
      </c>
      <c r="M161" s="144"/>
      <c r="N161" s="679">
        <f>N162</f>
        <v>3</v>
      </c>
      <c r="O161" s="144"/>
      <c r="P161" s="487"/>
    </row>
    <row r="162">
      <c r="A162" s="676"/>
      <c r="B162" s="58"/>
      <c r="C162" s="100">
        <v>1.0</v>
      </c>
      <c r="D162" s="58" t="s">
        <v>2229</v>
      </c>
      <c r="E162" s="82" t="s">
        <v>119</v>
      </c>
      <c r="F162" s="150" t="s">
        <v>124</v>
      </c>
      <c r="G162" s="150" t="s">
        <v>124</v>
      </c>
      <c r="H162" s="168" t="s">
        <v>1636</v>
      </c>
      <c r="I162" s="620" t="s">
        <v>1890</v>
      </c>
      <c r="J162" s="621" t="s">
        <v>1638</v>
      </c>
      <c r="K162" s="628" t="s">
        <v>2230</v>
      </c>
      <c r="L162" s="623">
        <v>4.0</v>
      </c>
      <c r="M162" s="100" t="s">
        <v>301</v>
      </c>
      <c r="N162" s="568">
        <v>3.0</v>
      </c>
      <c r="O162" s="100" t="s">
        <v>2106</v>
      </c>
      <c r="P162" s="685" t="s">
        <v>2231</v>
      </c>
    </row>
    <row r="163">
      <c r="A163" s="678"/>
      <c r="B163" s="536"/>
      <c r="C163" s="536"/>
      <c r="D163" s="536"/>
      <c r="E163" s="82" t="s">
        <v>119</v>
      </c>
      <c r="F163" s="150" t="s">
        <v>124</v>
      </c>
      <c r="G163" s="150" t="s">
        <v>124</v>
      </c>
      <c r="H163" s="626" t="s">
        <v>1643</v>
      </c>
      <c r="I163" s="627" t="s">
        <v>1895</v>
      </c>
      <c r="J163" s="538"/>
      <c r="K163" s="539"/>
      <c r="L163" s="538"/>
      <c r="M163" s="536"/>
      <c r="N163" s="536"/>
      <c r="O163" s="536"/>
      <c r="P163" s="536"/>
    </row>
    <row r="164">
      <c r="A164" s="678"/>
      <c r="B164" s="536"/>
      <c r="C164" s="536"/>
      <c r="D164" s="536"/>
      <c r="E164" s="82" t="s">
        <v>119</v>
      </c>
      <c r="F164" s="150" t="s">
        <v>124</v>
      </c>
      <c r="G164" s="150" t="s">
        <v>124</v>
      </c>
      <c r="H164" s="630" t="s">
        <v>1645</v>
      </c>
      <c r="I164" s="627" t="s">
        <v>1896</v>
      </c>
      <c r="J164" s="538"/>
      <c r="K164" s="539"/>
      <c r="L164" s="538"/>
      <c r="M164" s="536"/>
      <c r="N164" s="536"/>
      <c r="O164" s="536"/>
      <c r="P164" s="536"/>
    </row>
    <row r="165">
      <c r="A165" s="678"/>
      <c r="B165" s="536"/>
      <c r="C165" s="536"/>
      <c r="D165" s="536"/>
      <c r="E165" s="82" t="s">
        <v>119</v>
      </c>
      <c r="F165" s="150" t="s">
        <v>124</v>
      </c>
      <c r="G165" s="150" t="s">
        <v>124</v>
      </c>
      <c r="H165" s="626" t="s">
        <v>1638</v>
      </c>
      <c r="I165" s="627" t="s">
        <v>1897</v>
      </c>
      <c r="J165" s="538"/>
      <c r="K165" s="539"/>
      <c r="L165" s="538"/>
      <c r="M165" s="536"/>
      <c r="N165" s="536"/>
      <c r="O165" s="536"/>
      <c r="P165" s="536"/>
    </row>
    <row r="166" ht="146.25" customHeight="1">
      <c r="A166" s="680"/>
      <c r="B166" s="210"/>
      <c r="C166" s="210"/>
      <c r="D166" s="210"/>
      <c r="E166" s="82" t="s">
        <v>119</v>
      </c>
      <c r="F166" s="150" t="s">
        <v>124</v>
      </c>
      <c r="G166" s="150" t="s">
        <v>124</v>
      </c>
      <c r="H166" s="626" t="s">
        <v>1648</v>
      </c>
      <c r="I166" s="627" t="s">
        <v>1898</v>
      </c>
      <c r="J166" s="213"/>
      <c r="K166" s="440"/>
      <c r="L166" s="213"/>
      <c r="M166" s="210"/>
      <c r="N166" s="210"/>
      <c r="O166" s="210"/>
      <c r="P166" s="210"/>
    </row>
    <row r="167" ht="15.75" customHeight="1">
      <c r="A167" s="142" t="s">
        <v>2232</v>
      </c>
      <c r="B167" s="143" t="s">
        <v>202</v>
      </c>
      <c r="C167" s="62"/>
      <c r="D167" s="62"/>
      <c r="E167" s="62"/>
      <c r="F167" s="62"/>
      <c r="G167" s="62"/>
      <c r="H167" s="62"/>
      <c r="I167" s="673"/>
      <c r="J167" s="144"/>
      <c r="K167" s="144"/>
      <c r="L167" s="613">
        <f>L168</f>
        <v>3</v>
      </c>
      <c r="M167" s="144"/>
      <c r="N167" s="679">
        <f>N168</f>
        <v>3</v>
      </c>
      <c r="O167" s="144"/>
      <c r="P167" s="487"/>
    </row>
    <row r="168">
      <c r="A168" s="676"/>
      <c r="B168" s="58"/>
      <c r="C168" s="100">
        <v>1.0</v>
      </c>
      <c r="D168" s="58" t="s">
        <v>2233</v>
      </c>
      <c r="E168" s="82" t="s">
        <v>119</v>
      </c>
      <c r="F168" s="150" t="s">
        <v>124</v>
      </c>
      <c r="G168" s="150" t="s">
        <v>124</v>
      </c>
      <c r="H168" s="168" t="s">
        <v>1636</v>
      </c>
      <c r="I168" s="620" t="s">
        <v>1899</v>
      </c>
      <c r="J168" s="621" t="s">
        <v>1638</v>
      </c>
      <c r="K168" s="628" t="s">
        <v>2234</v>
      </c>
      <c r="L168" s="681">
        <v>3.0</v>
      </c>
      <c r="M168" s="568" t="s">
        <v>301</v>
      </c>
      <c r="N168" s="568">
        <v>3.0</v>
      </c>
      <c r="O168" s="568" t="s">
        <v>1091</v>
      </c>
      <c r="P168" s="677" t="s">
        <v>2235</v>
      </c>
    </row>
    <row r="169">
      <c r="A169" s="678"/>
      <c r="B169" s="536"/>
      <c r="C169" s="536"/>
      <c r="D169" s="536"/>
      <c r="E169" s="82" t="s">
        <v>119</v>
      </c>
      <c r="F169" s="150" t="s">
        <v>124</v>
      </c>
      <c r="G169" s="150" t="s">
        <v>124</v>
      </c>
      <c r="H169" s="626" t="s">
        <v>1643</v>
      </c>
      <c r="I169" s="627" t="s">
        <v>1904</v>
      </c>
      <c r="J169" s="538"/>
      <c r="K169" s="539"/>
      <c r="L169" s="539"/>
      <c r="M169" s="536"/>
      <c r="N169" s="536"/>
      <c r="O169" s="536"/>
      <c r="P169" s="536"/>
    </row>
    <row r="170">
      <c r="A170" s="678"/>
      <c r="B170" s="536"/>
      <c r="C170" s="536"/>
      <c r="D170" s="536"/>
      <c r="E170" s="82" t="s">
        <v>119</v>
      </c>
      <c r="F170" s="150" t="s">
        <v>124</v>
      </c>
      <c r="G170" s="150" t="s">
        <v>124</v>
      </c>
      <c r="H170" s="630" t="s">
        <v>1645</v>
      </c>
      <c r="I170" s="627" t="s">
        <v>1905</v>
      </c>
      <c r="J170" s="538"/>
      <c r="K170" s="539"/>
      <c r="L170" s="539"/>
      <c r="M170" s="536"/>
      <c r="N170" s="536"/>
      <c r="O170" s="536"/>
      <c r="P170" s="536"/>
    </row>
    <row r="171">
      <c r="A171" s="678"/>
      <c r="B171" s="536"/>
      <c r="C171" s="536"/>
      <c r="D171" s="536"/>
      <c r="E171" s="82" t="s">
        <v>119</v>
      </c>
      <c r="F171" s="150" t="s">
        <v>124</v>
      </c>
      <c r="G171" s="150" t="s">
        <v>124</v>
      </c>
      <c r="H171" s="626" t="s">
        <v>1638</v>
      </c>
      <c r="I171" s="627" t="s">
        <v>1906</v>
      </c>
      <c r="J171" s="538"/>
      <c r="K171" s="539"/>
      <c r="L171" s="539"/>
      <c r="M171" s="536"/>
      <c r="N171" s="536"/>
      <c r="O171" s="536"/>
      <c r="P171" s="536"/>
    </row>
    <row r="172" ht="137.25" customHeight="1">
      <c r="A172" s="680"/>
      <c r="B172" s="210"/>
      <c r="C172" s="210"/>
      <c r="D172" s="210"/>
      <c r="E172" s="82" t="s">
        <v>119</v>
      </c>
      <c r="F172" s="150" t="s">
        <v>124</v>
      </c>
      <c r="G172" s="150" t="s">
        <v>124</v>
      </c>
      <c r="H172" s="626" t="s">
        <v>1648</v>
      </c>
      <c r="I172" s="627" t="s">
        <v>1907</v>
      </c>
      <c r="J172" s="213"/>
      <c r="K172" s="440"/>
      <c r="L172" s="440"/>
      <c r="M172" s="210"/>
      <c r="N172" s="210"/>
      <c r="O172" s="210"/>
      <c r="P172" s="210"/>
    </row>
    <row r="173" ht="15.75" customHeight="1">
      <c r="A173" s="142" t="s">
        <v>2236</v>
      </c>
      <c r="B173" s="143" t="s">
        <v>205</v>
      </c>
      <c r="C173" s="62"/>
      <c r="D173" s="62"/>
      <c r="E173" s="62"/>
      <c r="F173" s="62"/>
      <c r="G173" s="62"/>
      <c r="H173" s="62"/>
      <c r="I173" s="673"/>
      <c r="J173" s="144"/>
      <c r="K173" s="144"/>
      <c r="L173" s="613">
        <f>L174</f>
        <v>4</v>
      </c>
      <c r="M173" s="144"/>
      <c r="N173" s="679">
        <f>N174</f>
        <v>4</v>
      </c>
      <c r="O173" s="144"/>
      <c r="P173" s="487"/>
    </row>
    <row r="174">
      <c r="A174" s="676"/>
      <c r="B174" s="58"/>
      <c r="C174" s="100">
        <v>1.0</v>
      </c>
      <c r="D174" s="58" t="s">
        <v>2237</v>
      </c>
      <c r="E174" s="82" t="s">
        <v>119</v>
      </c>
      <c r="F174" s="150" t="s">
        <v>124</v>
      </c>
      <c r="G174" s="150" t="s">
        <v>124</v>
      </c>
      <c r="H174" s="168" t="s">
        <v>1636</v>
      </c>
      <c r="I174" s="620" t="s">
        <v>1908</v>
      </c>
      <c r="J174" s="621" t="s">
        <v>1638</v>
      </c>
      <c r="K174" s="692" t="s">
        <v>2238</v>
      </c>
      <c r="L174" s="681">
        <v>4.0</v>
      </c>
      <c r="M174" s="568" t="s">
        <v>301</v>
      </c>
      <c r="N174" s="568">
        <v>4.0</v>
      </c>
      <c r="O174" s="568" t="s">
        <v>1091</v>
      </c>
      <c r="P174" s="677" t="s">
        <v>2239</v>
      </c>
    </row>
    <row r="175">
      <c r="A175" s="678"/>
      <c r="B175" s="536"/>
      <c r="C175" s="536"/>
      <c r="D175" s="536"/>
      <c r="E175" s="82" t="s">
        <v>119</v>
      </c>
      <c r="F175" s="150" t="s">
        <v>124</v>
      </c>
      <c r="G175" s="150" t="s">
        <v>124</v>
      </c>
      <c r="H175" s="630" t="s">
        <v>1643</v>
      </c>
      <c r="I175" s="627" t="s">
        <v>1913</v>
      </c>
      <c r="J175" s="538"/>
      <c r="K175" s="539"/>
      <c r="L175" s="539"/>
      <c r="M175" s="536"/>
      <c r="N175" s="536"/>
      <c r="O175" s="536"/>
      <c r="P175" s="536"/>
    </row>
    <row r="176">
      <c r="A176" s="678"/>
      <c r="B176" s="536"/>
      <c r="C176" s="536"/>
      <c r="D176" s="536"/>
      <c r="E176" s="82" t="s">
        <v>119</v>
      </c>
      <c r="F176" s="150" t="s">
        <v>124</v>
      </c>
      <c r="G176" s="150" t="s">
        <v>124</v>
      </c>
      <c r="H176" s="626" t="s">
        <v>1645</v>
      </c>
      <c r="I176" s="627" t="s">
        <v>1914</v>
      </c>
      <c r="J176" s="538"/>
      <c r="K176" s="539"/>
      <c r="L176" s="539"/>
      <c r="M176" s="536"/>
      <c r="N176" s="536"/>
      <c r="O176" s="536"/>
      <c r="P176" s="536"/>
    </row>
    <row r="177">
      <c r="A177" s="678"/>
      <c r="B177" s="536"/>
      <c r="C177" s="536"/>
      <c r="D177" s="536"/>
      <c r="E177" s="82" t="s">
        <v>119</v>
      </c>
      <c r="F177" s="150" t="s">
        <v>124</v>
      </c>
      <c r="G177" s="150" t="s">
        <v>124</v>
      </c>
      <c r="H177" s="626" t="s">
        <v>1638</v>
      </c>
      <c r="I177" s="627" t="s">
        <v>1915</v>
      </c>
      <c r="J177" s="538"/>
      <c r="K177" s="539"/>
      <c r="L177" s="539"/>
      <c r="M177" s="536"/>
      <c r="N177" s="536"/>
      <c r="O177" s="536"/>
      <c r="P177" s="536"/>
    </row>
    <row r="178" ht="162.75" customHeight="1">
      <c r="A178" s="680"/>
      <c r="B178" s="210"/>
      <c r="C178" s="210"/>
      <c r="D178" s="210"/>
      <c r="E178" s="82" t="s">
        <v>119</v>
      </c>
      <c r="F178" s="150" t="s">
        <v>124</v>
      </c>
      <c r="G178" s="150" t="s">
        <v>124</v>
      </c>
      <c r="H178" s="626" t="s">
        <v>1648</v>
      </c>
      <c r="I178" s="627" t="s">
        <v>1916</v>
      </c>
      <c r="J178" s="213"/>
      <c r="K178" s="440"/>
      <c r="L178" s="440"/>
      <c r="M178" s="210"/>
      <c r="N178" s="210"/>
      <c r="O178" s="210"/>
      <c r="P178" s="210"/>
    </row>
    <row r="179" ht="15.75" customHeight="1">
      <c r="A179" s="142" t="s">
        <v>2240</v>
      </c>
      <c r="B179" s="143" t="s">
        <v>208</v>
      </c>
      <c r="C179" s="62"/>
      <c r="D179" s="62"/>
      <c r="E179" s="62"/>
      <c r="F179" s="62"/>
      <c r="G179" s="62"/>
      <c r="H179" s="62"/>
      <c r="I179" s="673"/>
      <c r="J179" s="144"/>
      <c r="K179" s="144"/>
      <c r="L179" s="613">
        <f>L180</f>
        <v>3</v>
      </c>
      <c r="M179" s="144"/>
      <c r="N179" s="679">
        <f>N180</f>
        <v>3</v>
      </c>
      <c r="O179" s="144"/>
      <c r="P179" s="487"/>
    </row>
    <row r="180">
      <c r="A180" s="676"/>
      <c r="B180" s="58"/>
      <c r="C180" s="100">
        <v>1.0</v>
      </c>
      <c r="D180" s="58" t="s">
        <v>2241</v>
      </c>
      <c r="E180" s="82" t="s">
        <v>119</v>
      </c>
      <c r="F180" s="150" t="s">
        <v>124</v>
      </c>
      <c r="G180" s="150" t="s">
        <v>124</v>
      </c>
      <c r="H180" s="168" t="s">
        <v>1636</v>
      </c>
      <c r="I180" s="620" t="s">
        <v>1917</v>
      </c>
      <c r="J180" s="621" t="s">
        <v>1638</v>
      </c>
      <c r="K180" s="628" t="s">
        <v>2242</v>
      </c>
      <c r="L180" s="681">
        <v>3.0</v>
      </c>
      <c r="M180" s="568" t="s">
        <v>301</v>
      </c>
      <c r="N180" s="568">
        <v>3.0</v>
      </c>
      <c r="O180" s="568" t="s">
        <v>1091</v>
      </c>
      <c r="P180" s="677" t="s">
        <v>2118</v>
      </c>
    </row>
    <row r="181">
      <c r="A181" s="678"/>
      <c r="B181" s="536"/>
      <c r="C181" s="536"/>
      <c r="D181" s="536"/>
      <c r="E181" s="82" t="s">
        <v>119</v>
      </c>
      <c r="F181" s="150" t="s">
        <v>124</v>
      </c>
      <c r="G181" s="150" t="s">
        <v>124</v>
      </c>
      <c r="H181" s="626" t="s">
        <v>1643</v>
      </c>
      <c r="I181" s="627" t="s">
        <v>1922</v>
      </c>
      <c r="J181" s="538"/>
      <c r="K181" s="539"/>
      <c r="L181" s="539"/>
      <c r="M181" s="536"/>
      <c r="N181" s="536"/>
      <c r="O181" s="536"/>
      <c r="P181" s="536"/>
    </row>
    <row r="182">
      <c r="A182" s="678"/>
      <c r="B182" s="536"/>
      <c r="C182" s="536"/>
      <c r="D182" s="536"/>
      <c r="E182" s="82" t="s">
        <v>119</v>
      </c>
      <c r="F182" s="150" t="s">
        <v>124</v>
      </c>
      <c r="G182" s="150" t="s">
        <v>124</v>
      </c>
      <c r="H182" s="630" t="s">
        <v>1645</v>
      </c>
      <c r="I182" s="627" t="s">
        <v>1923</v>
      </c>
      <c r="J182" s="538"/>
      <c r="K182" s="539"/>
      <c r="L182" s="539"/>
      <c r="M182" s="536"/>
      <c r="N182" s="536"/>
      <c r="O182" s="536"/>
      <c r="P182" s="536"/>
    </row>
    <row r="183">
      <c r="A183" s="678"/>
      <c r="B183" s="536"/>
      <c r="C183" s="536"/>
      <c r="D183" s="536"/>
      <c r="E183" s="82" t="s">
        <v>119</v>
      </c>
      <c r="F183" s="150" t="s">
        <v>124</v>
      </c>
      <c r="G183" s="150" t="s">
        <v>124</v>
      </c>
      <c r="H183" s="626" t="s">
        <v>1638</v>
      </c>
      <c r="I183" s="627" t="s">
        <v>1924</v>
      </c>
      <c r="J183" s="538"/>
      <c r="K183" s="539"/>
      <c r="L183" s="539"/>
      <c r="M183" s="536"/>
      <c r="N183" s="536"/>
      <c r="O183" s="536"/>
      <c r="P183" s="536"/>
    </row>
    <row r="184" ht="145.5" customHeight="1">
      <c r="A184" s="680"/>
      <c r="B184" s="210"/>
      <c r="C184" s="210"/>
      <c r="D184" s="210"/>
      <c r="E184" s="82" t="s">
        <v>119</v>
      </c>
      <c r="F184" s="150" t="s">
        <v>124</v>
      </c>
      <c r="G184" s="150" t="s">
        <v>124</v>
      </c>
      <c r="H184" s="626" t="s">
        <v>1648</v>
      </c>
      <c r="I184" s="627" t="s">
        <v>1925</v>
      </c>
      <c r="J184" s="213"/>
      <c r="K184" s="440"/>
      <c r="L184" s="440"/>
      <c r="M184" s="210"/>
      <c r="N184" s="210"/>
      <c r="O184" s="210"/>
      <c r="P184" s="210"/>
    </row>
    <row r="185" ht="15.75" customHeight="1">
      <c r="A185" s="142" t="s">
        <v>2243</v>
      </c>
      <c r="B185" s="143" t="s">
        <v>211</v>
      </c>
      <c r="C185" s="62"/>
      <c r="D185" s="62"/>
      <c r="E185" s="62"/>
      <c r="F185" s="62"/>
      <c r="G185" s="62"/>
      <c r="H185" s="62"/>
      <c r="I185" s="673"/>
      <c r="J185" s="144"/>
      <c r="K185" s="144"/>
      <c r="L185" s="613">
        <f>L186</f>
        <v>4</v>
      </c>
      <c r="M185" s="144"/>
      <c r="N185" s="679">
        <f>N186</f>
        <v>4</v>
      </c>
      <c r="O185" s="144"/>
      <c r="P185" s="487"/>
    </row>
    <row r="186" ht="15.75" customHeight="1">
      <c r="A186" s="676"/>
      <c r="B186" s="58"/>
      <c r="C186" s="100">
        <v>1.0</v>
      </c>
      <c r="D186" s="58" t="s">
        <v>2244</v>
      </c>
      <c r="E186" s="82" t="s">
        <v>119</v>
      </c>
      <c r="F186" s="150" t="s">
        <v>124</v>
      </c>
      <c r="G186" s="150" t="s">
        <v>124</v>
      </c>
      <c r="H186" s="168" t="s">
        <v>1636</v>
      </c>
      <c r="I186" s="620" t="s">
        <v>1926</v>
      </c>
      <c r="J186" s="621" t="s">
        <v>1638</v>
      </c>
      <c r="K186" s="628" t="s">
        <v>2245</v>
      </c>
      <c r="L186" s="623">
        <v>4.0</v>
      </c>
      <c r="M186" s="100" t="s">
        <v>301</v>
      </c>
      <c r="N186" s="568">
        <v>4.0</v>
      </c>
      <c r="O186" s="100" t="s">
        <v>1091</v>
      </c>
      <c r="P186" s="677" t="s">
        <v>2121</v>
      </c>
    </row>
    <row r="187" ht="15.75" customHeight="1">
      <c r="A187" s="678"/>
      <c r="B187" s="536"/>
      <c r="C187" s="536"/>
      <c r="D187" s="536"/>
      <c r="E187" s="82" t="s">
        <v>119</v>
      </c>
      <c r="F187" s="150" t="s">
        <v>124</v>
      </c>
      <c r="G187" s="150" t="s">
        <v>124</v>
      </c>
      <c r="H187" s="630" t="s">
        <v>1643</v>
      </c>
      <c r="I187" s="627" t="s">
        <v>1931</v>
      </c>
      <c r="J187" s="538"/>
      <c r="K187" s="539"/>
      <c r="L187" s="538"/>
      <c r="M187" s="536"/>
      <c r="N187" s="536"/>
      <c r="O187" s="536"/>
      <c r="P187" s="536"/>
    </row>
    <row r="188" ht="15.75" customHeight="1">
      <c r="A188" s="678"/>
      <c r="B188" s="536"/>
      <c r="C188" s="536"/>
      <c r="D188" s="536"/>
      <c r="E188" s="82" t="s">
        <v>119</v>
      </c>
      <c r="F188" s="150" t="s">
        <v>124</v>
      </c>
      <c r="G188" s="150" t="s">
        <v>124</v>
      </c>
      <c r="H188" s="626" t="s">
        <v>1645</v>
      </c>
      <c r="I188" s="627" t="s">
        <v>1933</v>
      </c>
      <c r="J188" s="538"/>
      <c r="K188" s="539"/>
      <c r="L188" s="538"/>
      <c r="M188" s="536"/>
      <c r="N188" s="536"/>
      <c r="O188" s="536"/>
      <c r="P188" s="536"/>
    </row>
    <row r="189" ht="15.75" customHeight="1">
      <c r="A189" s="678"/>
      <c r="B189" s="536"/>
      <c r="C189" s="536"/>
      <c r="D189" s="536"/>
      <c r="E189" s="82" t="s">
        <v>119</v>
      </c>
      <c r="F189" s="150" t="s">
        <v>124</v>
      </c>
      <c r="G189" s="150" t="s">
        <v>124</v>
      </c>
      <c r="H189" s="626" t="s">
        <v>1638</v>
      </c>
      <c r="I189" s="627" t="s">
        <v>1934</v>
      </c>
      <c r="J189" s="538"/>
      <c r="K189" s="539"/>
      <c r="L189" s="538"/>
      <c r="M189" s="536"/>
      <c r="N189" s="536"/>
      <c r="O189" s="536"/>
      <c r="P189" s="536"/>
    </row>
    <row r="190" ht="113.25" customHeight="1">
      <c r="A190" s="680"/>
      <c r="B190" s="210"/>
      <c r="C190" s="210"/>
      <c r="D190" s="210"/>
      <c r="E190" s="82" t="s">
        <v>119</v>
      </c>
      <c r="F190" s="150" t="s">
        <v>124</v>
      </c>
      <c r="G190" s="150" t="s">
        <v>124</v>
      </c>
      <c r="H190" s="626" t="s">
        <v>1648</v>
      </c>
      <c r="I190" s="627" t="s">
        <v>1935</v>
      </c>
      <c r="J190" s="213"/>
      <c r="K190" s="440"/>
      <c r="L190" s="213"/>
      <c r="M190" s="210"/>
      <c r="N190" s="210"/>
      <c r="O190" s="210"/>
      <c r="P190" s="210"/>
    </row>
    <row r="191" ht="15.75" customHeight="1">
      <c r="A191" s="142" t="s">
        <v>2246</v>
      </c>
      <c r="B191" s="143" t="s">
        <v>214</v>
      </c>
      <c r="C191" s="62"/>
      <c r="D191" s="62"/>
      <c r="E191" s="62"/>
      <c r="F191" s="62"/>
      <c r="G191" s="62"/>
      <c r="H191" s="62"/>
      <c r="I191" s="673"/>
      <c r="J191" s="144"/>
      <c r="K191" s="144"/>
      <c r="L191" s="613">
        <f>AVERAGE(L192:L211)</f>
        <v>3</v>
      </c>
      <c r="M191" s="144"/>
      <c r="N191" s="679">
        <f>AVERAGE(N192:N211)</f>
        <v>3</v>
      </c>
      <c r="O191" s="144"/>
      <c r="P191" s="487"/>
    </row>
    <row r="192" ht="15.75" customHeight="1">
      <c r="A192" s="676"/>
      <c r="B192" s="58"/>
      <c r="C192" s="100">
        <v>1.0</v>
      </c>
      <c r="D192" s="58" t="s">
        <v>2247</v>
      </c>
      <c r="E192" s="82" t="s">
        <v>119</v>
      </c>
      <c r="F192" s="150" t="s">
        <v>124</v>
      </c>
      <c r="G192" s="150" t="s">
        <v>124</v>
      </c>
      <c r="H192" s="168" t="s">
        <v>1636</v>
      </c>
      <c r="I192" s="650" t="s">
        <v>2248</v>
      </c>
      <c r="J192" s="621" t="s">
        <v>1638</v>
      </c>
      <c r="K192" s="628" t="s">
        <v>2249</v>
      </c>
      <c r="L192" s="681">
        <v>3.0</v>
      </c>
      <c r="M192" s="568" t="s">
        <v>301</v>
      </c>
      <c r="N192" s="568">
        <v>3.0</v>
      </c>
      <c r="O192" s="568" t="s">
        <v>1091</v>
      </c>
      <c r="P192" s="677" t="s">
        <v>2250</v>
      </c>
    </row>
    <row r="193" ht="15.75" customHeight="1">
      <c r="A193" s="678"/>
      <c r="B193" s="536"/>
      <c r="C193" s="536"/>
      <c r="D193" s="536"/>
      <c r="E193" s="82" t="s">
        <v>119</v>
      </c>
      <c r="F193" s="150" t="s">
        <v>124</v>
      </c>
      <c r="G193" s="150" t="s">
        <v>124</v>
      </c>
      <c r="H193" s="626" t="s">
        <v>1643</v>
      </c>
      <c r="I193" s="627" t="s">
        <v>1942</v>
      </c>
      <c r="J193" s="538"/>
      <c r="K193" s="539"/>
      <c r="L193" s="539"/>
      <c r="M193" s="536"/>
      <c r="N193" s="536"/>
      <c r="O193" s="536"/>
      <c r="P193" s="536"/>
    </row>
    <row r="194" ht="15.75" customHeight="1">
      <c r="A194" s="678"/>
      <c r="B194" s="536"/>
      <c r="C194" s="536"/>
      <c r="D194" s="536"/>
      <c r="E194" s="82" t="s">
        <v>119</v>
      </c>
      <c r="F194" s="150" t="s">
        <v>124</v>
      </c>
      <c r="G194" s="150" t="s">
        <v>124</v>
      </c>
      <c r="H194" s="630" t="s">
        <v>1645</v>
      </c>
      <c r="I194" s="627" t="s">
        <v>1943</v>
      </c>
      <c r="J194" s="538"/>
      <c r="K194" s="539"/>
      <c r="L194" s="539"/>
      <c r="M194" s="536"/>
      <c r="N194" s="536"/>
      <c r="O194" s="536"/>
      <c r="P194" s="536"/>
    </row>
    <row r="195" ht="15.75" customHeight="1">
      <c r="A195" s="678"/>
      <c r="B195" s="536"/>
      <c r="C195" s="536"/>
      <c r="D195" s="536"/>
      <c r="E195" s="82" t="s">
        <v>119</v>
      </c>
      <c r="F195" s="150" t="s">
        <v>124</v>
      </c>
      <c r="G195" s="150" t="s">
        <v>124</v>
      </c>
      <c r="H195" s="626" t="s">
        <v>1638</v>
      </c>
      <c r="I195" s="627" t="s">
        <v>1944</v>
      </c>
      <c r="J195" s="538"/>
      <c r="K195" s="539"/>
      <c r="L195" s="539"/>
      <c r="M195" s="536"/>
      <c r="N195" s="536"/>
      <c r="O195" s="536"/>
      <c r="P195" s="536"/>
    </row>
    <row r="196" ht="109.5" customHeight="1">
      <c r="A196" s="678"/>
      <c r="B196" s="536"/>
      <c r="C196" s="210"/>
      <c r="D196" s="536"/>
      <c r="E196" s="82" t="s">
        <v>119</v>
      </c>
      <c r="F196" s="150" t="s">
        <v>124</v>
      </c>
      <c r="G196" s="150" t="s">
        <v>124</v>
      </c>
      <c r="H196" s="626" t="s">
        <v>1648</v>
      </c>
      <c r="I196" s="627" t="s">
        <v>1945</v>
      </c>
      <c r="J196" s="213"/>
      <c r="K196" s="440"/>
      <c r="L196" s="440"/>
      <c r="M196" s="210"/>
      <c r="N196" s="210"/>
      <c r="O196" s="210"/>
      <c r="P196" s="210"/>
    </row>
    <row r="197" ht="65.25" customHeight="1">
      <c r="A197" s="678"/>
      <c r="B197" s="536"/>
      <c r="C197" s="100">
        <v>2.0</v>
      </c>
      <c r="D197" s="58" t="s">
        <v>1946</v>
      </c>
      <c r="E197" s="100" t="s">
        <v>119</v>
      </c>
      <c r="F197" s="100" t="s">
        <v>120</v>
      </c>
      <c r="G197" s="682" t="s">
        <v>124</v>
      </c>
      <c r="H197" s="626" t="s">
        <v>1636</v>
      </c>
      <c r="I197" s="636" t="s">
        <v>1947</v>
      </c>
      <c r="J197" s="631" t="s">
        <v>1638</v>
      </c>
      <c r="K197" s="683" t="s">
        <v>2251</v>
      </c>
      <c r="L197" s="633">
        <v>3.0</v>
      </c>
      <c r="M197" s="100" t="s">
        <v>301</v>
      </c>
      <c r="N197" s="568">
        <v>3.0</v>
      </c>
      <c r="O197" s="100" t="s">
        <v>1091</v>
      </c>
      <c r="P197" s="677" t="s">
        <v>2252</v>
      </c>
    </row>
    <row r="198" ht="15.75" customHeight="1">
      <c r="A198" s="678"/>
      <c r="B198" s="536"/>
      <c r="C198" s="536"/>
      <c r="D198" s="536"/>
      <c r="E198" s="100" t="s">
        <v>119</v>
      </c>
      <c r="F198" s="100" t="s">
        <v>120</v>
      </c>
      <c r="G198" s="682" t="s">
        <v>124</v>
      </c>
      <c r="H198" s="626" t="s">
        <v>1643</v>
      </c>
      <c r="I198" s="636" t="s">
        <v>1951</v>
      </c>
      <c r="J198" s="538"/>
      <c r="K198" s="539"/>
      <c r="L198" s="538"/>
      <c r="M198" s="536"/>
      <c r="N198" s="536"/>
      <c r="O198" s="536"/>
      <c r="P198" s="536"/>
    </row>
    <row r="199" ht="15.75" customHeight="1">
      <c r="A199" s="678"/>
      <c r="B199" s="536"/>
      <c r="C199" s="536"/>
      <c r="D199" s="536"/>
      <c r="E199" s="100" t="s">
        <v>119</v>
      </c>
      <c r="F199" s="100" t="s">
        <v>120</v>
      </c>
      <c r="G199" s="682" t="s">
        <v>124</v>
      </c>
      <c r="H199" s="630" t="s">
        <v>1645</v>
      </c>
      <c r="I199" s="636" t="s">
        <v>1952</v>
      </c>
      <c r="J199" s="538"/>
      <c r="K199" s="539"/>
      <c r="L199" s="538"/>
      <c r="M199" s="536"/>
      <c r="N199" s="536"/>
      <c r="O199" s="536"/>
      <c r="P199" s="536"/>
    </row>
    <row r="200" ht="15.75" customHeight="1">
      <c r="A200" s="678"/>
      <c r="B200" s="536"/>
      <c r="C200" s="536"/>
      <c r="D200" s="536"/>
      <c r="E200" s="100" t="s">
        <v>119</v>
      </c>
      <c r="F200" s="100" t="s">
        <v>120</v>
      </c>
      <c r="G200" s="682" t="s">
        <v>124</v>
      </c>
      <c r="H200" s="626" t="s">
        <v>1638</v>
      </c>
      <c r="I200" s="636" t="s">
        <v>1953</v>
      </c>
      <c r="J200" s="538"/>
      <c r="K200" s="539"/>
      <c r="L200" s="538"/>
      <c r="M200" s="536"/>
      <c r="N200" s="536"/>
      <c r="O200" s="536"/>
      <c r="P200" s="536"/>
    </row>
    <row r="201" ht="15.75" customHeight="1">
      <c r="A201" s="678"/>
      <c r="B201" s="536"/>
      <c r="C201" s="536"/>
      <c r="D201" s="536"/>
      <c r="E201" s="100" t="s">
        <v>119</v>
      </c>
      <c r="F201" s="100" t="s">
        <v>120</v>
      </c>
      <c r="G201" s="682" t="s">
        <v>124</v>
      </c>
      <c r="H201" s="626" t="s">
        <v>1648</v>
      </c>
      <c r="I201" s="636" t="s">
        <v>1954</v>
      </c>
      <c r="J201" s="213"/>
      <c r="K201" s="440"/>
      <c r="L201" s="213"/>
      <c r="M201" s="210"/>
      <c r="N201" s="210"/>
      <c r="O201" s="210"/>
      <c r="P201" s="210"/>
    </row>
    <row r="202" ht="15.75" customHeight="1">
      <c r="A202" s="678"/>
      <c r="B202" s="536"/>
      <c r="C202" s="100">
        <v>3.0</v>
      </c>
      <c r="D202" s="58" t="s">
        <v>217</v>
      </c>
      <c r="E202" s="100" t="s">
        <v>119</v>
      </c>
      <c r="F202" s="100" t="s">
        <v>120</v>
      </c>
      <c r="G202" s="682" t="s">
        <v>124</v>
      </c>
      <c r="H202" s="626" t="s">
        <v>1636</v>
      </c>
      <c r="I202" s="636" t="s">
        <v>1955</v>
      </c>
      <c r="J202" s="631" t="s">
        <v>1638</v>
      </c>
      <c r="K202" s="683" t="s">
        <v>2253</v>
      </c>
      <c r="L202" s="633">
        <v>3.0</v>
      </c>
      <c r="M202" s="100" t="s">
        <v>301</v>
      </c>
      <c r="N202" s="568">
        <v>3.0</v>
      </c>
      <c r="O202" s="100" t="s">
        <v>1091</v>
      </c>
      <c r="P202" s="677" t="s">
        <v>2254</v>
      </c>
    </row>
    <row r="203" ht="15.75" customHeight="1">
      <c r="A203" s="678"/>
      <c r="B203" s="536"/>
      <c r="C203" s="536"/>
      <c r="D203" s="536"/>
      <c r="E203" s="100" t="s">
        <v>119</v>
      </c>
      <c r="F203" s="100" t="s">
        <v>120</v>
      </c>
      <c r="G203" s="682" t="s">
        <v>124</v>
      </c>
      <c r="H203" s="626" t="s">
        <v>1643</v>
      </c>
      <c r="I203" s="636" t="s">
        <v>1959</v>
      </c>
      <c r="J203" s="538"/>
      <c r="K203" s="539"/>
      <c r="L203" s="538"/>
      <c r="M203" s="536"/>
      <c r="N203" s="536"/>
      <c r="O203" s="536"/>
      <c r="P203" s="536"/>
    </row>
    <row r="204" ht="15.75" customHeight="1">
      <c r="A204" s="678"/>
      <c r="B204" s="536"/>
      <c r="C204" s="536"/>
      <c r="D204" s="536"/>
      <c r="E204" s="100" t="s">
        <v>119</v>
      </c>
      <c r="F204" s="100" t="s">
        <v>120</v>
      </c>
      <c r="G204" s="682" t="s">
        <v>124</v>
      </c>
      <c r="H204" s="630" t="s">
        <v>1645</v>
      </c>
      <c r="I204" s="636" t="s">
        <v>1960</v>
      </c>
      <c r="J204" s="538"/>
      <c r="K204" s="539"/>
      <c r="L204" s="538"/>
      <c r="M204" s="536"/>
      <c r="N204" s="536"/>
      <c r="O204" s="536"/>
      <c r="P204" s="536"/>
    </row>
    <row r="205" ht="15.75" customHeight="1">
      <c r="A205" s="678"/>
      <c r="B205" s="536"/>
      <c r="C205" s="536"/>
      <c r="D205" s="536"/>
      <c r="E205" s="100" t="s">
        <v>119</v>
      </c>
      <c r="F205" s="100" t="s">
        <v>120</v>
      </c>
      <c r="G205" s="682" t="s">
        <v>124</v>
      </c>
      <c r="H205" s="626" t="s">
        <v>1638</v>
      </c>
      <c r="I205" s="636" t="s">
        <v>1961</v>
      </c>
      <c r="J205" s="538"/>
      <c r="K205" s="539"/>
      <c r="L205" s="538"/>
      <c r="M205" s="536"/>
      <c r="N205" s="536"/>
      <c r="O205" s="536"/>
      <c r="P205" s="536"/>
    </row>
    <row r="206" ht="78.0" customHeight="1">
      <c r="A206" s="678"/>
      <c r="B206" s="536"/>
      <c r="C206" s="210"/>
      <c r="D206" s="210"/>
      <c r="E206" s="100" t="s">
        <v>119</v>
      </c>
      <c r="F206" s="100" t="s">
        <v>120</v>
      </c>
      <c r="G206" s="682" t="s">
        <v>124</v>
      </c>
      <c r="H206" s="626" t="s">
        <v>1648</v>
      </c>
      <c r="I206" s="636" t="s">
        <v>1962</v>
      </c>
      <c r="J206" s="213"/>
      <c r="K206" s="440"/>
      <c r="L206" s="213"/>
      <c r="M206" s="210"/>
      <c r="N206" s="210"/>
      <c r="O206" s="210"/>
      <c r="P206" s="210"/>
    </row>
    <row r="207" ht="15.75" customHeight="1">
      <c r="A207" s="678"/>
      <c r="B207" s="536"/>
      <c r="C207" s="100">
        <v>4.0</v>
      </c>
      <c r="D207" s="58" t="s">
        <v>218</v>
      </c>
      <c r="E207" s="100" t="s">
        <v>119</v>
      </c>
      <c r="F207" s="100" t="s">
        <v>120</v>
      </c>
      <c r="G207" s="682" t="s">
        <v>124</v>
      </c>
      <c r="H207" s="626" t="s">
        <v>1636</v>
      </c>
      <c r="I207" s="636" t="s">
        <v>1963</v>
      </c>
      <c r="J207" s="631" t="s">
        <v>1638</v>
      </c>
      <c r="K207" s="683" t="s">
        <v>2255</v>
      </c>
      <c r="L207" s="633">
        <v>3.0</v>
      </c>
      <c r="M207" s="100" t="s">
        <v>301</v>
      </c>
      <c r="N207" s="568">
        <v>3.0</v>
      </c>
      <c r="O207" s="100" t="s">
        <v>1091</v>
      </c>
      <c r="P207" s="684" t="s">
        <v>2256</v>
      </c>
    </row>
    <row r="208" ht="15.75" customHeight="1">
      <c r="A208" s="678"/>
      <c r="B208" s="536"/>
      <c r="C208" s="536"/>
      <c r="D208" s="536"/>
      <c r="E208" s="100" t="s">
        <v>119</v>
      </c>
      <c r="F208" s="100" t="s">
        <v>120</v>
      </c>
      <c r="G208" s="682" t="s">
        <v>124</v>
      </c>
      <c r="H208" s="626" t="s">
        <v>1643</v>
      </c>
      <c r="I208" s="636" t="s">
        <v>1967</v>
      </c>
      <c r="J208" s="538"/>
      <c r="K208" s="539"/>
      <c r="L208" s="538"/>
      <c r="M208" s="536"/>
      <c r="N208" s="536"/>
      <c r="O208" s="536"/>
      <c r="P208" s="685"/>
    </row>
    <row r="209" ht="15.75" customHeight="1">
      <c r="A209" s="678"/>
      <c r="B209" s="536"/>
      <c r="C209" s="536"/>
      <c r="D209" s="536"/>
      <c r="E209" s="100" t="s">
        <v>119</v>
      </c>
      <c r="F209" s="100" t="s">
        <v>120</v>
      </c>
      <c r="G209" s="682" t="s">
        <v>124</v>
      </c>
      <c r="H209" s="630" t="s">
        <v>1645</v>
      </c>
      <c r="I209" s="636" t="s">
        <v>1968</v>
      </c>
      <c r="J209" s="538"/>
      <c r="K209" s="539"/>
      <c r="L209" s="538"/>
      <c r="M209" s="536"/>
      <c r="N209" s="536"/>
      <c r="O209" s="536"/>
      <c r="P209" s="536"/>
    </row>
    <row r="210" ht="15.75" customHeight="1">
      <c r="A210" s="678"/>
      <c r="B210" s="536"/>
      <c r="C210" s="536"/>
      <c r="D210" s="536"/>
      <c r="E210" s="100" t="s">
        <v>119</v>
      </c>
      <c r="F210" s="100" t="s">
        <v>120</v>
      </c>
      <c r="G210" s="682" t="s">
        <v>124</v>
      </c>
      <c r="H210" s="626" t="s">
        <v>1638</v>
      </c>
      <c r="I210" s="627" t="s">
        <v>1969</v>
      </c>
      <c r="J210" s="538"/>
      <c r="K210" s="539"/>
      <c r="L210" s="538"/>
      <c r="M210" s="536"/>
      <c r="N210" s="536"/>
      <c r="O210" s="536"/>
      <c r="P210" s="536"/>
    </row>
    <row r="211" ht="74.25" customHeight="1">
      <c r="A211" s="678"/>
      <c r="B211" s="536"/>
      <c r="C211" s="210"/>
      <c r="D211" s="210"/>
      <c r="E211" s="100" t="s">
        <v>119</v>
      </c>
      <c r="F211" s="100" t="s">
        <v>120</v>
      </c>
      <c r="G211" s="682" t="s">
        <v>124</v>
      </c>
      <c r="H211" s="626" t="s">
        <v>1648</v>
      </c>
      <c r="I211" s="627" t="s">
        <v>1970</v>
      </c>
      <c r="J211" s="213"/>
      <c r="K211" s="440"/>
      <c r="L211" s="213"/>
      <c r="M211" s="210"/>
      <c r="N211" s="210"/>
      <c r="O211" s="210"/>
      <c r="P211" s="210"/>
    </row>
    <row r="212" ht="15.75" customHeight="1">
      <c r="A212" s="142" t="s">
        <v>2257</v>
      </c>
      <c r="B212" s="143" t="s">
        <v>221</v>
      </c>
      <c r="C212" s="62"/>
      <c r="D212" s="62"/>
      <c r="E212" s="62"/>
      <c r="F212" s="62"/>
      <c r="G212" s="62"/>
      <c r="H212" s="62"/>
      <c r="I212" s="673"/>
      <c r="J212" s="144"/>
      <c r="K212" s="144"/>
      <c r="L212" s="613">
        <f>L213</f>
        <v>3</v>
      </c>
      <c r="M212" s="144"/>
      <c r="N212" s="679">
        <f>N213</f>
        <v>2</v>
      </c>
      <c r="O212" s="144"/>
      <c r="P212" s="487"/>
    </row>
    <row r="213" ht="48.0" customHeight="1">
      <c r="A213" s="676"/>
      <c r="B213" s="58"/>
      <c r="C213" s="100">
        <v>1.0</v>
      </c>
      <c r="D213" s="58" t="s">
        <v>2258</v>
      </c>
      <c r="E213" s="82" t="s">
        <v>119</v>
      </c>
      <c r="F213" s="150" t="s">
        <v>124</v>
      </c>
      <c r="G213" s="150" t="s">
        <v>124</v>
      </c>
      <c r="H213" s="168" t="s">
        <v>1636</v>
      </c>
      <c r="I213" s="651" t="s">
        <v>1971</v>
      </c>
      <c r="J213" s="621" t="s">
        <v>1638</v>
      </c>
      <c r="K213" s="628" t="s">
        <v>2259</v>
      </c>
      <c r="L213" s="623">
        <v>3.0</v>
      </c>
      <c r="M213" s="100" t="s">
        <v>301</v>
      </c>
      <c r="N213" s="568">
        <v>2.0</v>
      </c>
      <c r="O213" s="693" t="s">
        <v>2260</v>
      </c>
      <c r="P213" s="677" t="s">
        <v>2261</v>
      </c>
    </row>
    <row r="214">
      <c r="A214" s="678"/>
      <c r="B214" s="536"/>
      <c r="C214" s="536"/>
      <c r="D214" s="536"/>
      <c r="E214" s="82" t="s">
        <v>119</v>
      </c>
      <c r="F214" s="150" t="s">
        <v>124</v>
      </c>
      <c r="G214" s="150" t="s">
        <v>124</v>
      </c>
      <c r="H214" s="626" t="s">
        <v>1643</v>
      </c>
      <c r="I214" s="627" t="s">
        <v>1975</v>
      </c>
      <c r="J214" s="538"/>
      <c r="K214" s="539"/>
      <c r="L214" s="538"/>
      <c r="M214" s="536"/>
      <c r="N214" s="536"/>
      <c r="O214" s="536"/>
      <c r="P214" s="536"/>
    </row>
    <row r="215">
      <c r="A215" s="678"/>
      <c r="B215" s="536"/>
      <c r="C215" s="536"/>
      <c r="D215" s="536"/>
      <c r="E215" s="82" t="s">
        <v>119</v>
      </c>
      <c r="F215" s="150" t="s">
        <v>124</v>
      </c>
      <c r="G215" s="150" t="s">
        <v>124</v>
      </c>
      <c r="H215" s="626" t="s">
        <v>1645</v>
      </c>
      <c r="I215" s="627" t="s">
        <v>1974</v>
      </c>
      <c r="J215" s="538"/>
      <c r="K215" s="539"/>
      <c r="L215" s="538"/>
      <c r="M215" s="536"/>
      <c r="N215" s="536"/>
      <c r="O215" s="536"/>
      <c r="P215" s="536"/>
    </row>
    <row r="216">
      <c r="A216" s="678"/>
      <c r="B216" s="536"/>
      <c r="C216" s="536"/>
      <c r="D216" s="536"/>
      <c r="E216" s="82" t="s">
        <v>119</v>
      </c>
      <c r="F216" s="150" t="s">
        <v>124</v>
      </c>
      <c r="G216" s="150" t="s">
        <v>124</v>
      </c>
      <c r="H216" s="630" t="s">
        <v>1638</v>
      </c>
      <c r="I216" s="627" t="s">
        <v>1976</v>
      </c>
      <c r="J216" s="538"/>
      <c r="K216" s="539"/>
      <c r="L216" s="538"/>
      <c r="M216" s="536"/>
      <c r="N216" s="536"/>
      <c r="O216" s="536"/>
      <c r="P216" s="536"/>
    </row>
    <row r="217" ht="74.25" customHeight="1">
      <c r="A217" s="680"/>
      <c r="B217" s="210"/>
      <c r="C217" s="210"/>
      <c r="D217" s="210"/>
      <c r="E217" s="82" t="s">
        <v>119</v>
      </c>
      <c r="F217" s="150" t="s">
        <v>124</v>
      </c>
      <c r="G217" s="150" t="s">
        <v>124</v>
      </c>
      <c r="H217" s="626" t="s">
        <v>1648</v>
      </c>
      <c r="I217" s="652" t="s">
        <v>1977</v>
      </c>
      <c r="J217" s="213"/>
      <c r="K217" s="440"/>
      <c r="L217" s="213"/>
      <c r="M217" s="210"/>
      <c r="N217" s="210"/>
      <c r="O217" s="210"/>
      <c r="P217" s="210"/>
    </row>
    <row r="218" ht="15.75" customHeight="1">
      <c r="A218" s="142" t="s">
        <v>2262</v>
      </c>
      <c r="B218" s="143" t="s">
        <v>224</v>
      </c>
      <c r="C218" s="62"/>
      <c r="D218" s="62"/>
      <c r="E218" s="62"/>
      <c r="F218" s="62"/>
      <c r="G218" s="62"/>
      <c r="H218" s="62"/>
      <c r="I218" s="673"/>
      <c r="J218" s="144"/>
      <c r="K218" s="144"/>
      <c r="L218" s="613">
        <f>AVERAGE(L219:L233)</f>
        <v>3.333333333</v>
      </c>
      <c r="M218" s="144"/>
      <c r="N218" s="679">
        <f>AVERAGE(N219:N233)</f>
        <v>3</v>
      </c>
      <c r="O218" s="144"/>
      <c r="P218" s="487"/>
    </row>
    <row r="219" ht="15.75" customHeight="1">
      <c r="A219" s="676"/>
      <c r="B219" s="58"/>
      <c r="C219" s="100">
        <v>1.0</v>
      </c>
      <c r="D219" s="58" t="s">
        <v>2263</v>
      </c>
      <c r="E219" s="82" t="s">
        <v>119</v>
      </c>
      <c r="F219" s="150" t="s">
        <v>124</v>
      </c>
      <c r="G219" s="150" t="s">
        <v>124</v>
      </c>
      <c r="H219" s="168" t="s">
        <v>1636</v>
      </c>
      <c r="I219" s="620" t="s">
        <v>1979</v>
      </c>
      <c r="J219" s="621" t="s">
        <v>1638</v>
      </c>
      <c r="K219" s="628" t="s">
        <v>2264</v>
      </c>
      <c r="L219" s="623">
        <v>4.0</v>
      </c>
      <c r="M219" s="100" t="s">
        <v>301</v>
      </c>
      <c r="N219" s="568">
        <v>4.0</v>
      </c>
      <c r="O219" s="100" t="s">
        <v>1091</v>
      </c>
      <c r="P219" s="677" t="s">
        <v>2265</v>
      </c>
    </row>
    <row r="220" ht="15.75" customHeight="1">
      <c r="A220" s="678"/>
      <c r="B220" s="536"/>
      <c r="C220" s="536"/>
      <c r="D220" s="536"/>
      <c r="E220" s="82" t="s">
        <v>119</v>
      </c>
      <c r="F220" s="150" t="s">
        <v>124</v>
      </c>
      <c r="G220" s="150" t="s">
        <v>124</v>
      </c>
      <c r="H220" s="630" t="s">
        <v>1643</v>
      </c>
      <c r="I220" s="652" t="s">
        <v>1983</v>
      </c>
      <c r="J220" s="538"/>
      <c r="K220" s="539"/>
      <c r="L220" s="538"/>
      <c r="M220" s="536"/>
      <c r="N220" s="536"/>
      <c r="O220" s="536"/>
      <c r="P220" s="536"/>
    </row>
    <row r="221" ht="15.75" customHeight="1">
      <c r="A221" s="678"/>
      <c r="B221" s="536"/>
      <c r="C221" s="536"/>
      <c r="D221" s="536"/>
      <c r="E221" s="82" t="s">
        <v>119</v>
      </c>
      <c r="F221" s="150" t="s">
        <v>124</v>
      </c>
      <c r="G221" s="150" t="s">
        <v>124</v>
      </c>
      <c r="H221" s="626" t="s">
        <v>1645</v>
      </c>
      <c r="I221" s="627" t="s">
        <v>1984</v>
      </c>
      <c r="J221" s="538"/>
      <c r="K221" s="539"/>
      <c r="L221" s="538"/>
      <c r="M221" s="536"/>
      <c r="N221" s="536"/>
      <c r="O221" s="536"/>
      <c r="P221" s="536"/>
    </row>
    <row r="222" ht="15.75" customHeight="1">
      <c r="A222" s="678"/>
      <c r="B222" s="536"/>
      <c r="C222" s="536"/>
      <c r="D222" s="536"/>
      <c r="E222" s="82" t="s">
        <v>119</v>
      </c>
      <c r="F222" s="150" t="s">
        <v>124</v>
      </c>
      <c r="G222" s="150" t="s">
        <v>124</v>
      </c>
      <c r="H222" s="626" t="s">
        <v>1638</v>
      </c>
      <c r="I222" s="627" t="s">
        <v>1985</v>
      </c>
      <c r="J222" s="538"/>
      <c r="K222" s="539"/>
      <c r="L222" s="538"/>
      <c r="M222" s="536"/>
      <c r="N222" s="536"/>
      <c r="O222" s="536"/>
      <c r="P222" s="536"/>
    </row>
    <row r="223" ht="15.75" customHeight="1">
      <c r="A223" s="678"/>
      <c r="B223" s="536"/>
      <c r="C223" s="210"/>
      <c r="D223" s="536"/>
      <c r="E223" s="82" t="s">
        <v>119</v>
      </c>
      <c r="F223" s="150" t="s">
        <v>124</v>
      </c>
      <c r="G223" s="150" t="s">
        <v>124</v>
      </c>
      <c r="H223" s="626" t="s">
        <v>1648</v>
      </c>
      <c r="I223" s="627" t="s">
        <v>1986</v>
      </c>
      <c r="J223" s="213"/>
      <c r="K223" s="440"/>
      <c r="L223" s="213"/>
      <c r="M223" s="210"/>
      <c r="N223" s="210"/>
      <c r="O223" s="210"/>
      <c r="P223" s="210"/>
    </row>
    <row r="224" ht="15.75" customHeight="1">
      <c r="A224" s="678"/>
      <c r="B224" s="536"/>
      <c r="C224" s="100">
        <v>2.0</v>
      </c>
      <c r="D224" s="58" t="s">
        <v>226</v>
      </c>
      <c r="E224" s="100" t="s">
        <v>119</v>
      </c>
      <c r="F224" s="100" t="s">
        <v>120</v>
      </c>
      <c r="G224" s="682" t="s">
        <v>124</v>
      </c>
      <c r="H224" s="626" t="s">
        <v>1636</v>
      </c>
      <c r="I224" s="627" t="s">
        <v>1987</v>
      </c>
      <c r="J224" s="631" t="s">
        <v>1638</v>
      </c>
      <c r="K224" s="683" t="s">
        <v>2266</v>
      </c>
      <c r="L224" s="633">
        <v>3.0</v>
      </c>
      <c r="M224" s="100" t="s">
        <v>301</v>
      </c>
      <c r="N224" s="568">
        <v>2.0</v>
      </c>
      <c r="O224" s="100" t="s">
        <v>2141</v>
      </c>
      <c r="P224" s="677" t="s">
        <v>2267</v>
      </c>
    </row>
    <row r="225" ht="15.75" customHeight="1">
      <c r="A225" s="678"/>
      <c r="B225" s="536"/>
      <c r="C225" s="536"/>
      <c r="D225" s="536"/>
      <c r="E225" s="100" t="s">
        <v>119</v>
      </c>
      <c r="F225" s="100" t="s">
        <v>120</v>
      </c>
      <c r="G225" s="682" t="s">
        <v>124</v>
      </c>
      <c r="H225" s="626" t="s">
        <v>1643</v>
      </c>
      <c r="I225" s="627" t="s">
        <v>1991</v>
      </c>
      <c r="J225" s="538"/>
      <c r="K225" s="539"/>
      <c r="L225" s="538"/>
      <c r="M225" s="536"/>
      <c r="N225" s="536"/>
      <c r="O225" s="536"/>
      <c r="P225" s="536"/>
    </row>
    <row r="226" ht="15.75" customHeight="1">
      <c r="A226" s="678"/>
      <c r="B226" s="536"/>
      <c r="C226" s="536"/>
      <c r="D226" s="536"/>
      <c r="E226" s="100" t="s">
        <v>119</v>
      </c>
      <c r="F226" s="100" t="s">
        <v>120</v>
      </c>
      <c r="G226" s="682" t="s">
        <v>124</v>
      </c>
      <c r="H226" s="626" t="s">
        <v>1645</v>
      </c>
      <c r="I226" s="627" t="s">
        <v>1992</v>
      </c>
      <c r="J226" s="538"/>
      <c r="K226" s="539"/>
      <c r="L226" s="538"/>
      <c r="M226" s="536"/>
      <c r="N226" s="536"/>
      <c r="O226" s="536"/>
      <c r="P226" s="536"/>
    </row>
    <row r="227" ht="15.75" customHeight="1">
      <c r="A227" s="678"/>
      <c r="B227" s="536"/>
      <c r="C227" s="536"/>
      <c r="D227" s="536"/>
      <c r="E227" s="100" t="s">
        <v>119</v>
      </c>
      <c r="F227" s="100" t="s">
        <v>120</v>
      </c>
      <c r="G227" s="682" t="s">
        <v>124</v>
      </c>
      <c r="H227" s="630" t="s">
        <v>1638</v>
      </c>
      <c r="I227" s="627" t="s">
        <v>1993</v>
      </c>
      <c r="J227" s="538"/>
      <c r="K227" s="539"/>
      <c r="L227" s="538"/>
      <c r="M227" s="536"/>
      <c r="N227" s="536"/>
      <c r="O227" s="536"/>
      <c r="P227" s="536"/>
    </row>
    <row r="228" ht="15.75" customHeight="1">
      <c r="A228" s="678"/>
      <c r="B228" s="536"/>
      <c r="C228" s="536"/>
      <c r="D228" s="536"/>
      <c r="E228" s="100" t="s">
        <v>119</v>
      </c>
      <c r="F228" s="100" t="s">
        <v>120</v>
      </c>
      <c r="G228" s="682" t="s">
        <v>124</v>
      </c>
      <c r="H228" s="626" t="s">
        <v>1648</v>
      </c>
      <c r="I228" s="627" t="s">
        <v>1994</v>
      </c>
      <c r="J228" s="213"/>
      <c r="K228" s="440"/>
      <c r="L228" s="213"/>
      <c r="M228" s="210"/>
      <c r="N228" s="210"/>
      <c r="O228" s="210"/>
      <c r="P228" s="210"/>
    </row>
    <row r="229" ht="15.75" customHeight="1">
      <c r="A229" s="678"/>
      <c r="B229" s="536"/>
      <c r="C229" s="100">
        <v>3.0</v>
      </c>
      <c r="D229" s="58" t="s">
        <v>227</v>
      </c>
      <c r="E229" s="100" t="s">
        <v>119</v>
      </c>
      <c r="F229" s="100" t="s">
        <v>120</v>
      </c>
      <c r="G229" s="682" t="s">
        <v>124</v>
      </c>
      <c r="H229" s="626" t="s">
        <v>1636</v>
      </c>
      <c r="I229" s="627" t="s">
        <v>1995</v>
      </c>
      <c r="J229" s="631" t="s">
        <v>1638</v>
      </c>
      <c r="K229" s="683" t="s">
        <v>2268</v>
      </c>
      <c r="L229" s="633">
        <v>3.0</v>
      </c>
      <c r="M229" s="100" t="s">
        <v>301</v>
      </c>
      <c r="N229" s="568">
        <v>3.0</v>
      </c>
      <c r="O229" s="100" t="s">
        <v>1091</v>
      </c>
      <c r="P229" s="677" t="s">
        <v>2269</v>
      </c>
    </row>
    <row r="230" ht="15.75" customHeight="1">
      <c r="A230" s="678"/>
      <c r="B230" s="536"/>
      <c r="C230" s="536"/>
      <c r="D230" s="536"/>
      <c r="E230" s="100" t="s">
        <v>119</v>
      </c>
      <c r="F230" s="100" t="s">
        <v>120</v>
      </c>
      <c r="G230" s="682" t="s">
        <v>124</v>
      </c>
      <c r="H230" s="626" t="s">
        <v>1643</v>
      </c>
      <c r="I230" s="627" t="s">
        <v>1998</v>
      </c>
      <c r="J230" s="538"/>
      <c r="K230" s="539"/>
      <c r="L230" s="538"/>
      <c r="M230" s="536"/>
      <c r="N230" s="536"/>
      <c r="O230" s="536"/>
      <c r="P230" s="536"/>
    </row>
    <row r="231" ht="15.75" customHeight="1">
      <c r="A231" s="678"/>
      <c r="B231" s="536"/>
      <c r="C231" s="536"/>
      <c r="D231" s="536"/>
      <c r="E231" s="100" t="s">
        <v>119</v>
      </c>
      <c r="F231" s="100" t="s">
        <v>120</v>
      </c>
      <c r="G231" s="682" t="s">
        <v>124</v>
      </c>
      <c r="H231" s="630" t="s">
        <v>1645</v>
      </c>
      <c r="I231" s="627" t="s">
        <v>1999</v>
      </c>
      <c r="J231" s="538"/>
      <c r="K231" s="539"/>
      <c r="L231" s="538"/>
      <c r="M231" s="536"/>
      <c r="N231" s="536"/>
      <c r="O231" s="536"/>
      <c r="P231" s="536"/>
    </row>
    <row r="232" ht="15.75" customHeight="1">
      <c r="A232" s="678"/>
      <c r="B232" s="536"/>
      <c r="C232" s="536"/>
      <c r="D232" s="536"/>
      <c r="E232" s="100" t="s">
        <v>119</v>
      </c>
      <c r="F232" s="100" t="s">
        <v>120</v>
      </c>
      <c r="G232" s="682" t="s">
        <v>124</v>
      </c>
      <c r="H232" s="626" t="s">
        <v>1638</v>
      </c>
      <c r="I232" s="627" t="s">
        <v>2000</v>
      </c>
      <c r="J232" s="538"/>
      <c r="K232" s="539"/>
      <c r="L232" s="538"/>
      <c r="M232" s="536"/>
      <c r="N232" s="536"/>
      <c r="O232" s="536"/>
      <c r="P232" s="536"/>
    </row>
    <row r="233" ht="15.75" customHeight="1">
      <c r="A233" s="678"/>
      <c r="B233" s="536"/>
      <c r="C233" s="210"/>
      <c r="D233" s="210"/>
      <c r="E233" s="100" t="s">
        <v>119</v>
      </c>
      <c r="F233" s="100" t="s">
        <v>120</v>
      </c>
      <c r="G233" s="682" t="s">
        <v>124</v>
      </c>
      <c r="H233" s="626" t="s">
        <v>1648</v>
      </c>
      <c r="I233" s="627" t="s">
        <v>2001</v>
      </c>
      <c r="J233" s="213"/>
      <c r="K233" s="440"/>
      <c r="L233" s="213"/>
      <c r="M233" s="210"/>
      <c r="N233" s="210"/>
      <c r="O233" s="210"/>
      <c r="P233" s="210"/>
    </row>
    <row r="234" ht="15.75" customHeight="1">
      <c r="A234" s="142" t="s">
        <v>2270</v>
      </c>
      <c r="B234" s="143" t="s">
        <v>229</v>
      </c>
      <c r="C234" s="62"/>
      <c r="D234" s="62"/>
      <c r="E234" s="62"/>
      <c r="F234" s="62"/>
      <c r="G234" s="62"/>
      <c r="H234" s="62"/>
      <c r="I234" s="673"/>
      <c r="J234" s="144"/>
      <c r="K234" s="144"/>
      <c r="L234" s="613">
        <f>AVERAGE(L235:L244)</f>
        <v>3</v>
      </c>
      <c r="M234" s="144"/>
      <c r="N234" s="679">
        <f>AVERAGE(N235:N244)</f>
        <v>2.5</v>
      </c>
      <c r="O234" s="144"/>
      <c r="P234" s="487"/>
    </row>
    <row r="235" ht="15.75" customHeight="1">
      <c r="A235" s="694"/>
      <c r="B235" s="58"/>
      <c r="C235" s="100">
        <v>1.0</v>
      </c>
      <c r="D235" s="58" t="s">
        <v>2271</v>
      </c>
      <c r="E235" s="82" t="s">
        <v>119</v>
      </c>
      <c r="F235" s="150" t="s">
        <v>124</v>
      </c>
      <c r="G235" s="150" t="s">
        <v>124</v>
      </c>
      <c r="H235" s="168" t="s">
        <v>1636</v>
      </c>
      <c r="I235" s="620" t="s">
        <v>2002</v>
      </c>
      <c r="J235" s="621" t="s">
        <v>1638</v>
      </c>
      <c r="K235" s="628" t="s">
        <v>2272</v>
      </c>
      <c r="L235" s="623">
        <v>3.0</v>
      </c>
      <c r="M235" s="100" t="s">
        <v>301</v>
      </c>
      <c r="N235" s="568">
        <v>3.0</v>
      </c>
      <c r="O235" s="100" t="s">
        <v>1091</v>
      </c>
      <c r="P235" s="677" t="s">
        <v>2273</v>
      </c>
    </row>
    <row r="236" ht="15.75" customHeight="1">
      <c r="A236" s="695"/>
      <c r="B236" s="536"/>
      <c r="C236" s="536"/>
      <c r="D236" s="536"/>
      <c r="E236" s="82" t="s">
        <v>119</v>
      </c>
      <c r="F236" s="150" t="s">
        <v>124</v>
      </c>
      <c r="G236" s="150" t="s">
        <v>124</v>
      </c>
      <c r="H236" s="626" t="s">
        <v>1643</v>
      </c>
      <c r="I236" s="652" t="s">
        <v>2007</v>
      </c>
      <c r="J236" s="538"/>
      <c r="K236" s="539"/>
      <c r="L236" s="538"/>
      <c r="M236" s="536"/>
      <c r="N236" s="536"/>
      <c r="O236" s="536"/>
      <c r="P236" s="536"/>
    </row>
    <row r="237" ht="15.75" customHeight="1">
      <c r="A237" s="695"/>
      <c r="B237" s="536"/>
      <c r="C237" s="536"/>
      <c r="D237" s="536"/>
      <c r="E237" s="82" t="s">
        <v>119</v>
      </c>
      <c r="F237" s="150" t="s">
        <v>124</v>
      </c>
      <c r="G237" s="150" t="s">
        <v>124</v>
      </c>
      <c r="H237" s="630" t="s">
        <v>1645</v>
      </c>
      <c r="I237" s="627" t="s">
        <v>2008</v>
      </c>
      <c r="J237" s="538"/>
      <c r="K237" s="539"/>
      <c r="L237" s="538"/>
      <c r="M237" s="536"/>
      <c r="N237" s="536"/>
      <c r="O237" s="536"/>
      <c r="P237" s="536"/>
    </row>
    <row r="238" ht="15.75" customHeight="1">
      <c r="A238" s="695"/>
      <c r="B238" s="536"/>
      <c r="C238" s="536"/>
      <c r="D238" s="536"/>
      <c r="E238" s="82" t="s">
        <v>119</v>
      </c>
      <c r="F238" s="150" t="s">
        <v>124</v>
      </c>
      <c r="G238" s="150" t="s">
        <v>124</v>
      </c>
      <c r="H238" s="626" t="s">
        <v>1638</v>
      </c>
      <c r="I238" s="627" t="s">
        <v>2009</v>
      </c>
      <c r="J238" s="538"/>
      <c r="K238" s="539"/>
      <c r="L238" s="538"/>
      <c r="M238" s="536"/>
      <c r="N238" s="536"/>
      <c r="O238" s="536"/>
      <c r="P238" s="536"/>
    </row>
    <row r="239" ht="15.75" customHeight="1">
      <c r="A239" s="695"/>
      <c r="B239" s="536"/>
      <c r="C239" s="210"/>
      <c r="D239" s="210"/>
      <c r="E239" s="82" t="s">
        <v>119</v>
      </c>
      <c r="F239" s="150" t="s">
        <v>124</v>
      </c>
      <c r="G239" s="150" t="s">
        <v>124</v>
      </c>
      <c r="H239" s="626" t="s">
        <v>1648</v>
      </c>
      <c r="I239" s="627" t="s">
        <v>2010</v>
      </c>
      <c r="J239" s="213"/>
      <c r="K239" s="440"/>
      <c r="L239" s="213"/>
      <c r="M239" s="210"/>
      <c r="N239" s="210"/>
      <c r="O239" s="210"/>
      <c r="P239" s="210"/>
    </row>
    <row r="240" ht="15.75" customHeight="1">
      <c r="A240" s="695"/>
      <c r="B240" s="536"/>
      <c r="C240" s="100">
        <v>2.0</v>
      </c>
      <c r="D240" s="58" t="s">
        <v>231</v>
      </c>
      <c r="E240" s="100" t="s">
        <v>119</v>
      </c>
      <c r="F240" s="100" t="s">
        <v>120</v>
      </c>
      <c r="G240" s="682" t="s">
        <v>124</v>
      </c>
      <c r="H240" s="626" t="s">
        <v>1636</v>
      </c>
      <c r="I240" s="627" t="s">
        <v>2011</v>
      </c>
      <c r="J240" s="631" t="s">
        <v>1638</v>
      </c>
      <c r="K240" s="683" t="s">
        <v>2274</v>
      </c>
      <c r="L240" s="633">
        <v>3.0</v>
      </c>
      <c r="M240" s="100" t="s">
        <v>301</v>
      </c>
      <c r="N240" s="568">
        <v>2.0</v>
      </c>
      <c r="O240" s="100" t="s">
        <v>2275</v>
      </c>
      <c r="P240" s="677" t="s">
        <v>2276</v>
      </c>
    </row>
    <row r="241" ht="15.75" customHeight="1">
      <c r="A241" s="695"/>
      <c r="B241" s="536"/>
      <c r="C241" s="536"/>
      <c r="D241" s="536"/>
      <c r="E241" s="100" t="s">
        <v>119</v>
      </c>
      <c r="F241" s="100" t="s">
        <v>120</v>
      </c>
      <c r="G241" s="682" t="s">
        <v>124</v>
      </c>
      <c r="H241" s="626" t="s">
        <v>1643</v>
      </c>
      <c r="I241" s="627" t="s">
        <v>2014</v>
      </c>
      <c r="J241" s="538"/>
      <c r="K241" s="539"/>
      <c r="L241" s="538"/>
      <c r="M241" s="536"/>
      <c r="N241" s="536"/>
      <c r="O241" s="536"/>
      <c r="P241" s="536"/>
    </row>
    <row r="242" ht="15.75" customHeight="1">
      <c r="A242" s="695"/>
      <c r="B242" s="536"/>
      <c r="C242" s="536"/>
      <c r="D242" s="536"/>
      <c r="E242" s="100" t="s">
        <v>119</v>
      </c>
      <c r="F242" s="100" t="s">
        <v>120</v>
      </c>
      <c r="G242" s="682" t="s">
        <v>124</v>
      </c>
      <c r="H242" s="626" t="s">
        <v>1645</v>
      </c>
      <c r="I242" s="627" t="s">
        <v>2015</v>
      </c>
      <c r="J242" s="538"/>
      <c r="K242" s="539"/>
      <c r="L242" s="538"/>
      <c r="M242" s="536"/>
      <c r="N242" s="536"/>
      <c r="O242" s="536"/>
      <c r="P242" s="536"/>
    </row>
    <row r="243" ht="15.75" customHeight="1">
      <c r="A243" s="695"/>
      <c r="B243" s="536"/>
      <c r="C243" s="536"/>
      <c r="D243" s="536"/>
      <c r="E243" s="100" t="s">
        <v>119</v>
      </c>
      <c r="F243" s="100" t="s">
        <v>120</v>
      </c>
      <c r="G243" s="682" t="s">
        <v>124</v>
      </c>
      <c r="H243" s="630" t="s">
        <v>1638</v>
      </c>
      <c r="I243" s="627" t="s">
        <v>2016</v>
      </c>
      <c r="J243" s="538"/>
      <c r="K243" s="539"/>
      <c r="L243" s="538"/>
      <c r="M243" s="536"/>
      <c r="N243" s="536"/>
      <c r="O243" s="536"/>
      <c r="P243" s="536"/>
    </row>
    <row r="244" ht="15.75" customHeight="1">
      <c r="A244" s="696"/>
      <c r="B244" s="697"/>
      <c r="C244" s="697"/>
      <c r="D244" s="697"/>
      <c r="E244" s="108" t="s">
        <v>119</v>
      </c>
      <c r="F244" s="108" t="s">
        <v>120</v>
      </c>
      <c r="G244" s="171" t="s">
        <v>124</v>
      </c>
      <c r="H244" s="655" t="s">
        <v>1648</v>
      </c>
      <c r="I244" s="656" t="s">
        <v>2017</v>
      </c>
      <c r="J244" s="213"/>
      <c r="K244" s="440"/>
      <c r="L244" s="213"/>
      <c r="M244" s="210"/>
      <c r="N244" s="210"/>
      <c r="O244" s="210"/>
      <c r="P244" s="210"/>
    </row>
    <row r="245" ht="15.75" customHeight="1">
      <c r="A245" s="9"/>
      <c r="B245" s="8"/>
      <c r="C245" s="8"/>
      <c r="D245" s="8"/>
      <c r="E245" s="8"/>
      <c r="F245" s="8"/>
      <c r="G245" s="9"/>
      <c r="H245" s="657"/>
      <c r="I245" s="8"/>
      <c r="J245" s="177"/>
      <c r="K245" s="177"/>
      <c r="L245" s="177"/>
      <c r="M245" s="8"/>
      <c r="N245" s="698">
        <f>SUM(N6:N244)</f>
        <v>212.1833333</v>
      </c>
      <c r="O245" s="8"/>
      <c r="P245" s="293"/>
    </row>
    <row r="246">
      <c r="H246" s="182"/>
      <c r="N246" s="182"/>
      <c r="O246" s="293"/>
      <c r="P246" s="293"/>
    </row>
    <row r="247">
      <c r="H247" s="182"/>
      <c r="N247" s="182"/>
      <c r="O247" s="293"/>
      <c r="P247" s="293"/>
    </row>
    <row r="248">
      <c r="H248" s="182"/>
      <c r="N248" s="182"/>
      <c r="O248" s="293"/>
      <c r="P248" s="293"/>
    </row>
    <row r="249">
      <c r="H249" s="182"/>
      <c r="N249" s="182"/>
      <c r="O249" s="293"/>
      <c r="P249" s="293"/>
    </row>
    <row r="250">
      <c r="H250" s="182"/>
      <c r="N250" s="182"/>
      <c r="O250" s="293"/>
      <c r="P250" s="293"/>
    </row>
    <row r="251">
      <c r="H251" s="182"/>
      <c r="N251" s="182"/>
      <c r="O251" s="293"/>
      <c r="P251" s="293"/>
    </row>
    <row r="252">
      <c r="H252" s="182"/>
      <c r="N252" s="182"/>
      <c r="O252" s="293"/>
      <c r="P252" s="293"/>
    </row>
    <row r="253">
      <c r="H253" s="182"/>
      <c r="N253" s="182"/>
      <c r="O253" s="293"/>
      <c r="P253" s="293"/>
    </row>
    <row r="254">
      <c r="H254" s="182"/>
      <c r="N254" s="182"/>
      <c r="O254" s="293"/>
      <c r="P254" s="293"/>
    </row>
    <row r="255">
      <c r="H255" s="182"/>
      <c r="N255" s="182"/>
      <c r="O255" s="293"/>
      <c r="P255" s="293"/>
    </row>
    <row r="256">
      <c r="H256" s="182"/>
      <c r="N256" s="182"/>
      <c r="O256" s="293"/>
      <c r="P256" s="293"/>
    </row>
    <row r="257">
      <c r="H257" s="182"/>
      <c r="N257" s="182"/>
      <c r="O257" s="293"/>
      <c r="P257" s="293"/>
    </row>
    <row r="258">
      <c r="H258" s="182"/>
      <c r="N258" s="182"/>
      <c r="O258" s="293"/>
      <c r="P258" s="293"/>
    </row>
    <row r="259">
      <c r="H259" s="182"/>
      <c r="N259" s="182"/>
      <c r="O259" s="293"/>
      <c r="P259" s="293"/>
    </row>
    <row r="260">
      <c r="H260" s="182"/>
      <c r="N260" s="182"/>
      <c r="O260" s="293"/>
      <c r="P260" s="293"/>
    </row>
    <row r="261">
      <c r="H261" s="182"/>
      <c r="N261" s="182"/>
      <c r="O261" s="293"/>
      <c r="P261" s="293"/>
    </row>
    <row r="262">
      <c r="H262" s="182"/>
      <c r="N262" s="182"/>
      <c r="O262" s="293"/>
      <c r="P262" s="293"/>
    </row>
    <row r="263">
      <c r="H263" s="182"/>
      <c r="N263" s="182"/>
      <c r="O263" s="293"/>
      <c r="P263" s="293"/>
    </row>
    <row r="264">
      <c r="H264" s="182"/>
      <c r="N264" s="182"/>
      <c r="O264" s="293"/>
      <c r="P264" s="293"/>
    </row>
    <row r="265">
      <c r="H265" s="182"/>
      <c r="N265" s="182"/>
      <c r="O265" s="293"/>
      <c r="P265" s="293"/>
    </row>
    <row r="266">
      <c r="H266" s="182"/>
      <c r="N266" s="182"/>
      <c r="O266" s="293"/>
      <c r="P266" s="293"/>
    </row>
    <row r="267">
      <c r="H267" s="182"/>
      <c r="N267" s="182"/>
      <c r="O267" s="293"/>
      <c r="P267" s="293"/>
    </row>
    <row r="268">
      <c r="H268" s="182"/>
      <c r="N268" s="182"/>
      <c r="O268" s="293"/>
      <c r="P268" s="293"/>
    </row>
    <row r="269">
      <c r="H269" s="182"/>
      <c r="N269" s="182"/>
      <c r="O269" s="293"/>
      <c r="P269" s="293"/>
    </row>
    <row r="270">
      <c r="H270" s="182"/>
      <c r="N270" s="182"/>
      <c r="O270" s="293"/>
      <c r="P270" s="293"/>
    </row>
    <row r="271">
      <c r="H271" s="182"/>
      <c r="N271" s="182"/>
      <c r="O271" s="293"/>
      <c r="P271" s="293"/>
    </row>
    <row r="272">
      <c r="H272" s="182"/>
      <c r="N272" s="182"/>
      <c r="O272" s="293"/>
      <c r="P272" s="293"/>
    </row>
    <row r="273">
      <c r="H273" s="182"/>
      <c r="N273" s="182"/>
      <c r="O273" s="293"/>
      <c r="P273" s="293"/>
    </row>
    <row r="274">
      <c r="H274" s="182"/>
      <c r="N274" s="182"/>
      <c r="O274" s="293"/>
      <c r="P274" s="293"/>
    </row>
    <row r="275">
      <c r="H275" s="182"/>
      <c r="N275" s="182"/>
      <c r="O275" s="293"/>
      <c r="P275" s="293"/>
    </row>
    <row r="276">
      <c r="H276" s="182"/>
      <c r="N276" s="182"/>
      <c r="O276" s="293"/>
      <c r="P276" s="293"/>
    </row>
    <row r="277">
      <c r="H277" s="182"/>
      <c r="N277" s="182"/>
      <c r="O277" s="293"/>
      <c r="P277" s="293"/>
    </row>
    <row r="278">
      <c r="H278" s="182"/>
      <c r="N278" s="182"/>
      <c r="O278" s="293"/>
      <c r="P278" s="293"/>
    </row>
    <row r="279">
      <c r="H279" s="182"/>
      <c r="N279" s="182"/>
      <c r="O279" s="293"/>
      <c r="P279" s="293"/>
    </row>
    <row r="280">
      <c r="H280" s="182"/>
      <c r="N280" s="182"/>
      <c r="O280" s="293"/>
      <c r="P280" s="293"/>
    </row>
    <row r="281">
      <c r="H281" s="182"/>
      <c r="N281" s="182"/>
      <c r="O281" s="293"/>
      <c r="P281" s="293"/>
    </row>
    <row r="282">
      <c r="H282" s="182"/>
      <c r="N282" s="182"/>
      <c r="O282" s="293"/>
      <c r="P282" s="293"/>
    </row>
    <row r="283">
      <c r="H283" s="182"/>
      <c r="N283" s="182"/>
      <c r="O283" s="293"/>
      <c r="P283" s="293"/>
    </row>
    <row r="284">
      <c r="H284" s="182"/>
      <c r="N284" s="182"/>
      <c r="O284" s="293"/>
      <c r="P284" s="293"/>
    </row>
    <row r="285">
      <c r="H285" s="182"/>
      <c r="N285" s="182"/>
      <c r="O285" s="293"/>
      <c r="P285" s="293"/>
    </row>
    <row r="286">
      <c r="H286" s="182"/>
      <c r="N286" s="182"/>
      <c r="O286" s="293"/>
      <c r="P286" s="293"/>
    </row>
    <row r="287">
      <c r="H287" s="182"/>
      <c r="N287" s="182"/>
      <c r="O287" s="293"/>
      <c r="P287" s="293"/>
    </row>
    <row r="288">
      <c r="H288" s="182"/>
      <c r="N288" s="182"/>
      <c r="O288" s="293"/>
      <c r="P288" s="293"/>
    </row>
    <row r="289">
      <c r="H289" s="182"/>
      <c r="N289" s="182"/>
      <c r="O289" s="293"/>
      <c r="P289" s="293"/>
    </row>
    <row r="290">
      <c r="H290" s="182"/>
      <c r="N290" s="182"/>
      <c r="O290" s="293"/>
      <c r="P290" s="293"/>
    </row>
    <row r="291">
      <c r="H291" s="182"/>
      <c r="N291" s="182"/>
      <c r="O291" s="293"/>
      <c r="P291" s="293"/>
    </row>
    <row r="292">
      <c r="H292" s="182"/>
      <c r="N292" s="182"/>
      <c r="O292" s="293"/>
      <c r="P292" s="293"/>
    </row>
    <row r="293">
      <c r="H293" s="182"/>
      <c r="N293" s="182"/>
      <c r="O293" s="293"/>
      <c r="P293" s="293"/>
    </row>
    <row r="294">
      <c r="H294" s="182"/>
      <c r="N294" s="182"/>
      <c r="O294" s="293"/>
      <c r="P294" s="293"/>
    </row>
    <row r="295">
      <c r="H295" s="182"/>
      <c r="N295" s="182"/>
      <c r="O295" s="293"/>
      <c r="P295" s="293"/>
    </row>
    <row r="296">
      <c r="H296" s="182"/>
      <c r="N296" s="182"/>
      <c r="O296" s="293"/>
      <c r="P296" s="293"/>
    </row>
    <row r="297">
      <c r="H297" s="182"/>
      <c r="N297" s="182"/>
      <c r="O297" s="293"/>
      <c r="P297" s="293"/>
    </row>
    <row r="298">
      <c r="H298" s="182"/>
      <c r="N298" s="182"/>
      <c r="O298" s="293"/>
      <c r="P298" s="293"/>
    </row>
    <row r="299">
      <c r="H299" s="182"/>
      <c r="N299" s="182"/>
      <c r="O299" s="293"/>
      <c r="P299" s="293"/>
    </row>
    <row r="300">
      <c r="H300" s="182"/>
      <c r="N300" s="182"/>
      <c r="O300" s="293"/>
      <c r="P300" s="293"/>
    </row>
    <row r="301">
      <c r="H301" s="182"/>
      <c r="N301" s="182"/>
      <c r="O301" s="293"/>
      <c r="P301" s="293"/>
    </row>
    <row r="302">
      <c r="H302" s="182"/>
      <c r="N302" s="182"/>
      <c r="O302" s="293"/>
      <c r="P302" s="293"/>
    </row>
    <row r="303">
      <c r="H303" s="182"/>
      <c r="N303" s="182"/>
      <c r="O303" s="293"/>
      <c r="P303" s="293"/>
    </row>
    <row r="304">
      <c r="H304" s="182"/>
      <c r="N304" s="182"/>
      <c r="O304" s="293"/>
      <c r="P304" s="293"/>
    </row>
    <row r="305">
      <c r="H305" s="182"/>
      <c r="N305" s="182"/>
      <c r="O305" s="293"/>
      <c r="P305" s="293"/>
    </row>
    <row r="306">
      <c r="H306" s="182"/>
      <c r="N306" s="182"/>
      <c r="O306" s="293"/>
      <c r="P306" s="293"/>
    </row>
    <row r="307">
      <c r="H307" s="182"/>
      <c r="N307" s="182"/>
      <c r="O307" s="293"/>
      <c r="P307" s="293"/>
    </row>
    <row r="308">
      <c r="H308" s="182"/>
      <c r="N308" s="182"/>
      <c r="O308" s="293"/>
      <c r="P308" s="293"/>
    </row>
    <row r="309">
      <c r="H309" s="182"/>
      <c r="N309" s="182"/>
      <c r="O309" s="293"/>
      <c r="P309" s="293"/>
    </row>
    <row r="310">
      <c r="H310" s="182"/>
      <c r="N310" s="182"/>
      <c r="O310" s="293"/>
      <c r="P310" s="293"/>
    </row>
    <row r="311">
      <c r="H311" s="182"/>
      <c r="N311" s="182"/>
      <c r="O311" s="293"/>
      <c r="P311" s="293"/>
    </row>
    <row r="312">
      <c r="H312" s="182"/>
      <c r="N312" s="182"/>
      <c r="O312" s="293"/>
      <c r="P312" s="293"/>
    </row>
    <row r="313">
      <c r="H313" s="182"/>
      <c r="N313" s="182"/>
      <c r="O313" s="293"/>
      <c r="P313" s="293"/>
    </row>
    <row r="314">
      <c r="H314" s="182"/>
      <c r="N314" s="182"/>
      <c r="O314" s="293"/>
      <c r="P314" s="293"/>
    </row>
    <row r="315">
      <c r="H315" s="182"/>
      <c r="N315" s="182"/>
      <c r="O315" s="293"/>
      <c r="P315" s="293"/>
    </row>
    <row r="316">
      <c r="H316" s="182"/>
      <c r="N316" s="182"/>
      <c r="O316" s="293"/>
      <c r="P316" s="293"/>
    </row>
    <row r="317">
      <c r="H317" s="182"/>
      <c r="N317" s="182"/>
      <c r="O317" s="293"/>
      <c r="P317" s="293"/>
    </row>
    <row r="318">
      <c r="H318" s="182"/>
      <c r="N318" s="182"/>
      <c r="O318" s="293"/>
      <c r="P318" s="293"/>
    </row>
    <row r="319">
      <c r="H319" s="182"/>
      <c r="N319" s="182"/>
      <c r="O319" s="293"/>
      <c r="P319" s="293"/>
    </row>
    <row r="320">
      <c r="H320" s="182"/>
      <c r="N320" s="182"/>
      <c r="O320" s="293"/>
      <c r="P320" s="293"/>
    </row>
    <row r="321">
      <c r="H321" s="182"/>
      <c r="N321" s="182"/>
      <c r="O321" s="293"/>
      <c r="P321" s="293"/>
    </row>
    <row r="322">
      <c r="H322" s="182"/>
      <c r="N322" s="182"/>
      <c r="O322" s="293"/>
      <c r="P322" s="293"/>
    </row>
    <row r="323">
      <c r="H323" s="182"/>
      <c r="N323" s="182"/>
      <c r="O323" s="293"/>
      <c r="P323" s="293"/>
    </row>
    <row r="324">
      <c r="H324" s="182"/>
      <c r="N324" s="182"/>
      <c r="O324" s="293"/>
      <c r="P324" s="293"/>
    </row>
    <row r="325">
      <c r="H325" s="182"/>
      <c r="N325" s="182"/>
      <c r="O325" s="293"/>
      <c r="P325" s="293"/>
    </row>
    <row r="326">
      <c r="H326" s="182"/>
      <c r="N326" s="182"/>
      <c r="O326" s="293"/>
      <c r="P326" s="293"/>
    </row>
    <row r="327">
      <c r="H327" s="182"/>
      <c r="N327" s="182"/>
      <c r="O327" s="293"/>
      <c r="P327" s="293"/>
    </row>
    <row r="328">
      <c r="H328" s="182"/>
      <c r="N328" s="182"/>
      <c r="O328" s="293"/>
      <c r="P328" s="293"/>
    </row>
    <row r="329">
      <c r="H329" s="182"/>
      <c r="N329" s="182"/>
      <c r="O329" s="293"/>
      <c r="P329" s="293"/>
    </row>
    <row r="330">
      <c r="H330" s="182"/>
      <c r="N330" s="182"/>
      <c r="O330" s="293"/>
      <c r="P330" s="293"/>
    </row>
    <row r="331">
      <c r="H331" s="182"/>
      <c r="N331" s="182"/>
      <c r="O331" s="293"/>
      <c r="P331" s="293"/>
    </row>
    <row r="332">
      <c r="H332" s="182"/>
      <c r="N332" s="182"/>
      <c r="O332" s="293"/>
      <c r="P332" s="293"/>
    </row>
    <row r="333">
      <c r="H333" s="182"/>
      <c r="N333" s="182"/>
      <c r="O333" s="293"/>
      <c r="P333" s="293"/>
    </row>
    <row r="334">
      <c r="H334" s="182"/>
      <c r="N334" s="182"/>
      <c r="O334" s="293"/>
      <c r="P334" s="293"/>
    </row>
    <row r="335">
      <c r="H335" s="182"/>
      <c r="N335" s="182"/>
      <c r="O335" s="293"/>
      <c r="P335" s="293"/>
    </row>
    <row r="336">
      <c r="H336" s="182"/>
      <c r="N336" s="182"/>
      <c r="O336" s="293"/>
      <c r="P336" s="293"/>
    </row>
    <row r="337">
      <c r="H337" s="182"/>
      <c r="N337" s="182"/>
      <c r="O337" s="293"/>
      <c r="P337" s="293"/>
    </row>
    <row r="338">
      <c r="H338" s="182"/>
      <c r="N338" s="182"/>
      <c r="O338" s="293"/>
      <c r="P338" s="293"/>
    </row>
    <row r="339">
      <c r="H339" s="182"/>
      <c r="N339" s="182"/>
      <c r="O339" s="293"/>
      <c r="P339" s="293"/>
    </row>
    <row r="340">
      <c r="H340" s="182"/>
      <c r="N340" s="182"/>
      <c r="O340" s="293"/>
      <c r="P340" s="293"/>
    </row>
    <row r="341">
      <c r="H341" s="182"/>
      <c r="N341" s="182"/>
      <c r="O341" s="293"/>
      <c r="P341" s="293"/>
    </row>
    <row r="342">
      <c r="H342" s="182"/>
      <c r="N342" s="182"/>
      <c r="O342" s="293"/>
      <c r="P342" s="293"/>
    </row>
    <row r="343">
      <c r="H343" s="182"/>
      <c r="N343" s="182"/>
      <c r="O343" s="293"/>
      <c r="P343" s="293"/>
    </row>
    <row r="344">
      <c r="H344" s="182"/>
      <c r="N344" s="182"/>
      <c r="O344" s="293"/>
      <c r="P344" s="293"/>
    </row>
    <row r="345">
      <c r="H345" s="182"/>
      <c r="N345" s="182"/>
      <c r="O345" s="293"/>
      <c r="P345" s="293"/>
    </row>
    <row r="346">
      <c r="H346" s="182"/>
      <c r="N346" s="182"/>
      <c r="O346" s="293"/>
      <c r="P346" s="293"/>
    </row>
    <row r="347">
      <c r="H347" s="182"/>
      <c r="N347" s="182"/>
      <c r="O347" s="293"/>
      <c r="P347" s="293"/>
    </row>
    <row r="348">
      <c r="H348" s="182"/>
      <c r="N348" s="182"/>
      <c r="O348" s="293"/>
      <c r="P348" s="293"/>
    </row>
    <row r="349">
      <c r="H349" s="182"/>
      <c r="N349" s="182"/>
      <c r="O349" s="293"/>
      <c r="P349" s="293"/>
    </row>
    <row r="350">
      <c r="H350" s="182"/>
      <c r="N350" s="182"/>
      <c r="O350" s="293"/>
      <c r="P350" s="293"/>
    </row>
    <row r="351">
      <c r="H351" s="182"/>
      <c r="N351" s="182"/>
      <c r="O351" s="293"/>
      <c r="P351" s="293"/>
    </row>
    <row r="352">
      <c r="H352" s="182"/>
      <c r="N352" s="182"/>
      <c r="O352" s="293"/>
      <c r="P352" s="293"/>
    </row>
    <row r="353">
      <c r="H353" s="182"/>
      <c r="N353" s="182"/>
      <c r="O353" s="293"/>
      <c r="P353" s="293"/>
    </row>
    <row r="354">
      <c r="H354" s="182"/>
      <c r="N354" s="182"/>
      <c r="O354" s="293"/>
      <c r="P354" s="293"/>
    </row>
    <row r="355">
      <c r="H355" s="182"/>
      <c r="N355" s="182"/>
      <c r="O355" s="293"/>
      <c r="P355" s="293"/>
    </row>
    <row r="356">
      <c r="H356" s="182"/>
      <c r="N356" s="182"/>
      <c r="O356" s="293"/>
      <c r="P356" s="293"/>
    </row>
    <row r="357">
      <c r="H357" s="182"/>
      <c r="N357" s="182"/>
      <c r="O357" s="293"/>
      <c r="P357" s="293"/>
    </row>
    <row r="358">
      <c r="H358" s="182"/>
      <c r="N358" s="182"/>
      <c r="O358" s="293"/>
      <c r="P358" s="293"/>
    </row>
    <row r="359">
      <c r="H359" s="182"/>
      <c r="N359" s="182"/>
      <c r="O359" s="293"/>
      <c r="P359" s="293"/>
    </row>
    <row r="360">
      <c r="H360" s="182"/>
      <c r="N360" s="182"/>
      <c r="O360" s="293"/>
      <c r="P360" s="293"/>
    </row>
    <row r="361">
      <c r="H361" s="182"/>
      <c r="N361" s="182"/>
      <c r="O361" s="293"/>
      <c r="P361" s="293"/>
    </row>
    <row r="362">
      <c r="H362" s="182"/>
      <c r="N362" s="182"/>
      <c r="O362" s="293"/>
      <c r="P362" s="293"/>
    </row>
    <row r="363">
      <c r="H363" s="182"/>
      <c r="N363" s="182"/>
      <c r="O363" s="293"/>
      <c r="P363" s="293"/>
    </row>
    <row r="364">
      <c r="H364" s="182"/>
      <c r="N364" s="182"/>
      <c r="O364" s="293"/>
      <c r="P364" s="293"/>
    </row>
    <row r="365">
      <c r="H365" s="182"/>
      <c r="N365" s="182"/>
      <c r="O365" s="293"/>
      <c r="P365" s="293"/>
    </row>
    <row r="366">
      <c r="H366" s="182"/>
      <c r="N366" s="182"/>
      <c r="O366" s="293"/>
      <c r="P366" s="293"/>
    </row>
    <row r="367">
      <c r="H367" s="182"/>
      <c r="N367" s="182"/>
      <c r="O367" s="293"/>
      <c r="P367" s="293"/>
    </row>
    <row r="368">
      <c r="H368" s="182"/>
      <c r="N368" s="182"/>
      <c r="O368" s="293"/>
      <c r="P368" s="293"/>
    </row>
    <row r="369">
      <c r="H369" s="182"/>
      <c r="N369" s="182"/>
      <c r="O369" s="293"/>
      <c r="P369" s="293"/>
    </row>
    <row r="370">
      <c r="H370" s="182"/>
      <c r="N370" s="182"/>
      <c r="O370" s="293"/>
      <c r="P370" s="293"/>
    </row>
    <row r="371">
      <c r="H371" s="182"/>
      <c r="N371" s="182"/>
      <c r="O371" s="293"/>
      <c r="P371" s="293"/>
    </row>
    <row r="372">
      <c r="H372" s="182"/>
      <c r="N372" s="182"/>
      <c r="O372" s="293"/>
      <c r="P372" s="293"/>
    </row>
    <row r="373">
      <c r="H373" s="182"/>
      <c r="N373" s="182"/>
      <c r="O373" s="293"/>
      <c r="P373" s="293"/>
    </row>
    <row r="374">
      <c r="H374" s="182"/>
      <c r="N374" s="182"/>
      <c r="O374" s="293"/>
      <c r="P374" s="293"/>
    </row>
    <row r="375">
      <c r="H375" s="182"/>
      <c r="N375" s="182"/>
      <c r="O375" s="293"/>
      <c r="P375" s="293"/>
    </row>
    <row r="376">
      <c r="H376" s="182"/>
      <c r="N376" s="182"/>
      <c r="O376" s="293"/>
      <c r="P376" s="293"/>
    </row>
    <row r="377">
      <c r="H377" s="182"/>
      <c r="N377" s="182"/>
      <c r="O377" s="293"/>
      <c r="P377" s="293"/>
    </row>
    <row r="378">
      <c r="H378" s="182"/>
      <c r="N378" s="182"/>
      <c r="O378" s="293"/>
      <c r="P378" s="293"/>
    </row>
    <row r="379">
      <c r="H379" s="182"/>
      <c r="N379" s="182"/>
      <c r="O379" s="293"/>
      <c r="P379" s="293"/>
    </row>
    <row r="380">
      <c r="H380" s="182"/>
      <c r="N380" s="182"/>
      <c r="O380" s="293"/>
      <c r="P380" s="293"/>
    </row>
    <row r="381">
      <c r="H381" s="182"/>
      <c r="N381" s="182"/>
      <c r="O381" s="293"/>
      <c r="P381" s="293"/>
    </row>
    <row r="382">
      <c r="H382" s="182"/>
      <c r="N382" s="182"/>
      <c r="O382" s="293"/>
      <c r="P382" s="293"/>
    </row>
    <row r="383">
      <c r="H383" s="182"/>
      <c r="N383" s="182"/>
      <c r="O383" s="293"/>
      <c r="P383" s="293"/>
    </row>
    <row r="384">
      <c r="H384" s="182"/>
      <c r="N384" s="182"/>
      <c r="O384" s="293"/>
      <c r="P384" s="293"/>
    </row>
    <row r="385">
      <c r="H385" s="182"/>
      <c r="N385" s="182"/>
      <c r="O385" s="293"/>
      <c r="P385" s="293"/>
    </row>
    <row r="386">
      <c r="H386" s="182"/>
      <c r="N386" s="182"/>
      <c r="O386" s="293"/>
      <c r="P386" s="293"/>
    </row>
    <row r="387">
      <c r="H387" s="182"/>
      <c r="N387" s="182"/>
      <c r="O387" s="293"/>
      <c r="P387" s="293"/>
    </row>
    <row r="388">
      <c r="H388" s="182"/>
      <c r="N388" s="182"/>
      <c r="O388" s="293"/>
      <c r="P388" s="293"/>
    </row>
    <row r="389">
      <c r="H389" s="182"/>
      <c r="N389" s="182"/>
      <c r="O389" s="293"/>
      <c r="P389" s="293"/>
    </row>
    <row r="390">
      <c r="H390" s="182"/>
      <c r="N390" s="182"/>
      <c r="O390" s="293"/>
      <c r="P390" s="293"/>
    </row>
    <row r="391">
      <c r="H391" s="182"/>
      <c r="N391" s="182"/>
      <c r="O391" s="293"/>
      <c r="P391" s="293"/>
    </row>
    <row r="392">
      <c r="H392" s="182"/>
      <c r="N392" s="182"/>
      <c r="O392" s="293"/>
      <c r="P392" s="293"/>
    </row>
    <row r="393">
      <c r="H393" s="182"/>
      <c r="N393" s="182"/>
      <c r="O393" s="293"/>
      <c r="P393" s="293"/>
    </row>
    <row r="394">
      <c r="H394" s="182"/>
      <c r="N394" s="182"/>
      <c r="O394" s="293"/>
      <c r="P394" s="293"/>
    </row>
    <row r="395">
      <c r="H395" s="182"/>
      <c r="N395" s="182"/>
      <c r="O395" s="293"/>
      <c r="P395" s="293"/>
    </row>
    <row r="396">
      <c r="H396" s="182"/>
      <c r="N396" s="182"/>
      <c r="O396" s="293"/>
      <c r="P396" s="293"/>
    </row>
    <row r="397">
      <c r="H397" s="182"/>
      <c r="N397" s="182"/>
      <c r="O397" s="293"/>
      <c r="P397" s="293"/>
    </row>
    <row r="398">
      <c r="H398" s="182"/>
      <c r="N398" s="182"/>
      <c r="O398" s="293"/>
      <c r="P398" s="293"/>
    </row>
    <row r="399">
      <c r="H399" s="182"/>
      <c r="N399" s="182"/>
      <c r="O399" s="293"/>
      <c r="P399" s="293"/>
    </row>
    <row r="400">
      <c r="H400" s="182"/>
      <c r="N400" s="182"/>
      <c r="O400" s="293"/>
      <c r="P400" s="293"/>
    </row>
    <row r="401">
      <c r="H401" s="182"/>
      <c r="N401" s="182"/>
      <c r="O401" s="293"/>
      <c r="P401" s="293"/>
    </row>
    <row r="402">
      <c r="H402" s="182"/>
      <c r="N402" s="182"/>
      <c r="O402" s="293"/>
      <c r="P402" s="293"/>
    </row>
    <row r="403">
      <c r="H403" s="182"/>
      <c r="N403" s="182"/>
      <c r="O403" s="293"/>
      <c r="P403" s="293"/>
    </row>
    <row r="404">
      <c r="H404" s="182"/>
      <c r="N404" s="182"/>
      <c r="O404" s="293"/>
      <c r="P404" s="293"/>
    </row>
    <row r="405">
      <c r="H405" s="182"/>
      <c r="N405" s="182"/>
      <c r="O405" s="293"/>
      <c r="P405" s="293"/>
    </row>
    <row r="406">
      <c r="H406" s="182"/>
      <c r="N406" s="182"/>
      <c r="O406" s="293"/>
      <c r="P406" s="293"/>
    </row>
    <row r="407">
      <c r="H407" s="182"/>
      <c r="N407" s="182"/>
      <c r="O407" s="293"/>
      <c r="P407" s="293"/>
    </row>
    <row r="408">
      <c r="H408" s="182"/>
      <c r="N408" s="182"/>
      <c r="O408" s="293"/>
      <c r="P408" s="293"/>
    </row>
    <row r="409">
      <c r="H409" s="182"/>
      <c r="N409" s="182"/>
      <c r="O409" s="293"/>
      <c r="P409" s="293"/>
    </row>
    <row r="410">
      <c r="H410" s="182"/>
      <c r="N410" s="182"/>
      <c r="O410" s="293"/>
      <c r="P410" s="293"/>
    </row>
    <row r="411">
      <c r="H411" s="182"/>
      <c r="N411" s="182"/>
      <c r="O411" s="293"/>
      <c r="P411" s="293"/>
    </row>
    <row r="412">
      <c r="H412" s="182"/>
      <c r="N412" s="182"/>
      <c r="O412" s="293"/>
      <c r="P412" s="293"/>
    </row>
    <row r="413">
      <c r="H413" s="182"/>
      <c r="N413" s="182"/>
      <c r="O413" s="293"/>
      <c r="P413" s="293"/>
    </row>
    <row r="414">
      <c r="H414" s="182"/>
      <c r="N414" s="182"/>
      <c r="O414" s="293"/>
      <c r="P414" s="293"/>
    </row>
    <row r="415">
      <c r="H415" s="182"/>
      <c r="N415" s="182"/>
      <c r="O415" s="293"/>
      <c r="P415" s="293"/>
    </row>
    <row r="416">
      <c r="H416" s="182"/>
      <c r="N416" s="182"/>
      <c r="O416" s="293"/>
      <c r="P416" s="293"/>
    </row>
    <row r="417">
      <c r="H417" s="182"/>
      <c r="N417" s="182"/>
      <c r="O417" s="293"/>
      <c r="P417" s="293"/>
    </row>
    <row r="418">
      <c r="H418" s="182"/>
      <c r="N418" s="182"/>
      <c r="O418" s="293"/>
      <c r="P418" s="293"/>
    </row>
    <row r="419">
      <c r="H419" s="182"/>
      <c r="N419" s="182"/>
      <c r="O419" s="293"/>
      <c r="P419" s="293"/>
    </row>
    <row r="420">
      <c r="H420" s="182"/>
      <c r="N420" s="182"/>
      <c r="O420" s="293"/>
      <c r="P420" s="293"/>
    </row>
    <row r="421">
      <c r="H421" s="182"/>
      <c r="N421" s="182"/>
      <c r="O421" s="293"/>
      <c r="P421" s="293"/>
    </row>
    <row r="422">
      <c r="H422" s="182"/>
      <c r="N422" s="182"/>
      <c r="O422" s="293"/>
      <c r="P422" s="293"/>
    </row>
    <row r="423">
      <c r="H423" s="182"/>
      <c r="N423" s="182"/>
      <c r="O423" s="293"/>
      <c r="P423" s="293"/>
    </row>
    <row r="424">
      <c r="H424" s="182"/>
      <c r="N424" s="182"/>
      <c r="O424" s="293"/>
      <c r="P424" s="293"/>
    </row>
    <row r="425">
      <c r="H425" s="182"/>
      <c r="N425" s="182"/>
      <c r="O425" s="293"/>
      <c r="P425" s="293"/>
    </row>
    <row r="426">
      <c r="H426" s="182"/>
      <c r="N426" s="182"/>
      <c r="O426" s="293"/>
      <c r="P426" s="293"/>
    </row>
    <row r="427">
      <c r="H427" s="182"/>
      <c r="N427" s="182"/>
      <c r="O427" s="293"/>
      <c r="P427" s="293"/>
    </row>
    <row r="428">
      <c r="H428" s="182"/>
      <c r="N428" s="182"/>
      <c r="O428" s="293"/>
      <c r="P428" s="293"/>
    </row>
    <row r="429">
      <c r="H429" s="182"/>
      <c r="N429" s="182"/>
      <c r="O429" s="293"/>
      <c r="P429" s="293"/>
    </row>
    <row r="430">
      <c r="H430" s="182"/>
      <c r="N430" s="182"/>
      <c r="O430" s="293"/>
      <c r="P430" s="293"/>
    </row>
    <row r="431">
      <c r="H431" s="182"/>
      <c r="N431" s="182"/>
      <c r="O431" s="293"/>
      <c r="P431" s="293"/>
    </row>
    <row r="432">
      <c r="H432" s="182"/>
      <c r="N432" s="182"/>
      <c r="O432" s="293"/>
      <c r="P432" s="293"/>
    </row>
    <row r="433">
      <c r="H433" s="182"/>
      <c r="N433" s="182"/>
      <c r="O433" s="293"/>
      <c r="P433" s="293"/>
    </row>
    <row r="434">
      <c r="H434" s="182"/>
      <c r="N434" s="182"/>
      <c r="O434" s="293"/>
      <c r="P434" s="293"/>
    </row>
    <row r="435">
      <c r="H435" s="182"/>
      <c r="N435" s="182"/>
      <c r="O435" s="293"/>
      <c r="P435" s="293"/>
    </row>
    <row r="436">
      <c r="H436" s="182"/>
      <c r="N436" s="182"/>
      <c r="O436" s="293"/>
      <c r="P436" s="293"/>
    </row>
    <row r="437">
      <c r="H437" s="182"/>
      <c r="N437" s="182"/>
      <c r="O437" s="293"/>
      <c r="P437" s="293"/>
    </row>
    <row r="438">
      <c r="H438" s="182"/>
      <c r="N438" s="182"/>
      <c r="O438" s="293"/>
      <c r="P438" s="293"/>
    </row>
    <row r="439">
      <c r="H439" s="182"/>
      <c r="N439" s="182"/>
      <c r="O439" s="293"/>
      <c r="P439" s="293"/>
    </row>
    <row r="440">
      <c r="H440" s="182"/>
      <c r="N440" s="182"/>
      <c r="O440" s="293"/>
      <c r="P440" s="293"/>
    </row>
    <row r="441">
      <c r="H441" s="182"/>
      <c r="N441" s="182"/>
      <c r="O441" s="293"/>
      <c r="P441" s="293"/>
    </row>
    <row r="442">
      <c r="H442" s="182"/>
      <c r="N442" s="182"/>
      <c r="O442" s="293"/>
      <c r="P442" s="293"/>
    </row>
    <row r="443">
      <c r="H443" s="182"/>
      <c r="N443" s="182"/>
      <c r="O443" s="293"/>
      <c r="P443" s="293"/>
    </row>
    <row r="444">
      <c r="H444" s="182"/>
      <c r="N444" s="182"/>
      <c r="O444" s="293"/>
      <c r="P444" s="293"/>
    </row>
    <row r="445">
      <c r="H445" s="182"/>
      <c r="N445" s="182"/>
      <c r="O445" s="293"/>
      <c r="P445" s="293"/>
    </row>
    <row r="446">
      <c r="H446" s="182"/>
      <c r="N446" s="182"/>
      <c r="O446" s="293"/>
      <c r="P446" s="293"/>
    </row>
    <row r="447">
      <c r="H447" s="182"/>
      <c r="N447" s="182"/>
      <c r="O447" s="293"/>
      <c r="P447" s="293"/>
    </row>
    <row r="448">
      <c r="H448" s="182"/>
      <c r="N448" s="182"/>
      <c r="O448" s="293"/>
      <c r="P448" s="293"/>
    </row>
    <row r="449">
      <c r="H449" s="182"/>
      <c r="N449" s="182"/>
      <c r="O449" s="293"/>
      <c r="P449" s="293"/>
    </row>
    <row r="450">
      <c r="H450" s="182"/>
      <c r="N450" s="182"/>
      <c r="O450" s="293"/>
      <c r="P450" s="293"/>
    </row>
    <row r="451">
      <c r="H451" s="182"/>
      <c r="N451" s="182"/>
      <c r="O451" s="293"/>
      <c r="P451" s="293"/>
    </row>
    <row r="452">
      <c r="H452" s="182"/>
      <c r="N452" s="182"/>
      <c r="O452" s="293"/>
      <c r="P452" s="293"/>
    </row>
    <row r="453">
      <c r="H453" s="182"/>
      <c r="N453" s="182"/>
      <c r="O453" s="293"/>
      <c r="P453" s="293"/>
    </row>
    <row r="454">
      <c r="H454" s="182"/>
      <c r="N454" s="182"/>
      <c r="O454" s="293"/>
      <c r="P454" s="293"/>
    </row>
    <row r="455">
      <c r="H455" s="182"/>
      <c r="N455" s="182"/>
      <c r="O455" s="293"/>
      <c r="P455" s="293"/>
    </row>
    <row r="456">
      <c r="H456" s="182"/>
      <c r="N456" s="182"/>
      <c r="O456" s="293"/>
      <c r="P456" s="293"/>
    </row>
    <row r="457">
      <c r="H457" s="182"/>
      <c r="N457" s="182"/>
      <c r="O457" s="293"/>
      <c r="P457" s="293"/>
    </row>
    <row r="458">
      <c r="H458" s="182"/>
      <c r="N458" s="182"/>
      <c r="O458" s="293"/>
      <c r="P458" s="293"/>
    </row>
    <row r="459">
      <c r="H459" s="182"/>
      <c r="N459" s="182"/>
      <c r="O459" s="293"/>
      <c r="P459" s="293"/>
    </row>
    <row r="460">
      <c r="H460" s="182"/>
      <c r="N460" s="182"/>
      <c r="O460" s="293"/>
      <c r="P460" s="293"/>
    </row>
    <row r="461">
      <c r="H461" s="182"/>
      <c r="N461" s="182"/>
      <c r="O461" s="293"/>
      <c r="P461" s="293"/>
    </row>
    <row r="462">
      <c r="H462" s="182"/>
      <c r="N462" s="182"/>
      <c r="O462" s="293"/>
      <c r="P462" s="293"/>
    </row>
    <row r="463">
      <c r="H463" s="182"/>
      <c r="N463" s="182"/>
      <c r="O463" s="293"/>
      <c r="P463" s="293"/>
    </row>
    <row r="464">
      <c r="H464" s="182"/>
      <c r="N464" s="182"/>
      <c r="O464" s="293"/>
      <c r="P464" s="293"/>
    </row>
    <row r="465">
      <c r="H465" s="182"/>
      <c r="N465" s="182"/>
      <c r="O465" s="293"/>
      <c r="P465" s="293"/>
    </row>
    <row r="466">
      <c r="H466" s="182"/>
      <c r="N466" s="182"/>
      <c r="O466" s="293"/>
      <c r="P466" s="293"/>
    </row>
    <row r="467">
      <c r="H467" s="182"/>
      <c r="N467" s="182"/>
      <c r="O467" s="293"/>
      <c r="P467" s="293"/>
    </row>
    <row r="468">
      <c r="H468" s="182"/>
      <c r="N468" s="182"/>
      <c r="O468" s="293"/>
      <c r="P468" s="293"/>
    </row>
    <row r="469">
      <c r="H469" s="182"/>
      <c r="N469" s="182"/>
      <c r="O469" s="293"/>
      <c r="P469" s="293"/>
    </row>
    <row r="470">
      <c r="H470" s="182"/>
      <c r="N470" s="182"/>
      <c r="O470" s="293"/>
      <c r="P470" s="293"/>
    </row>
    <row r="471">
      <c r="H471" s="182"/>
      <c r="N471" s="182"/>
      <c r="O471" s="293"/>
      <c r="P471" s="293"/>
    </row>
    <row r="472">
      <c r="H472" s="182"/>
      <c r="N472" s="182"/>
      <c r="O472" s="293"/>
      <c r="P472" s="293"/>
    </row>
    <row r="473">
      <c r="H473" s="182"/>
      <c r="N473" s="182"/>
      <c r="O473" s="293"/>
      <c r="P473" s="293"/>
    </row>
    <row r="474">
      <c r="H474" s="182"/>
      <c r="N474" s="182"/>
      <c r="O474" s="293"/>
      <c r="P474" s="293"/>
    </row>
    <row r="475">
      <c r="H475" s="182"/>
      <c r="N475" s="182"/>
      <c r="O475" s="293"/>
      <c r="P475" s="293"/>
    </row>
    <row r="476">
      <c r="H476" s="182"/>
      <c r="N476" s="182"/>
      <c r="O476" s="293"/>
      <c r="P476" s="293"/>
    </row>
    <row r="477">
      <c r="H477" s="182"/>
      <c r="N477" s="182"/>
      <c r="O477" s="293"/>
      <c r="P477" s="293"/>
    </row>
    <row r="478">
      <c r="H478" s="182"/>
      <c r="N478" s="182"/>
      <c r="O478" s="293"/>
      <c r="P478" s="293"/>
    </row>
    <row r="479">
      <c r="H479" s="182"/>
      <c r="N479" s="182"/>
      <c r="O479" s="293"/>
      <c r="P479" s="293"/>
    </row>
    <row r="480">
      <c r="H480" s="182"/>
      <c r="N480" s="182"/>
      <c r="O480" s="293"/>
      <c r="P480" s="293"/>
    </row>
    <row r="481">
      <c r="H481" s="182"/>
      <c r="N481" s="182"/>
      <c r="O481" s="293"/>
      <c r="P481" s="293"/>
    </row>
    <row r="482">
      <c r="H482" s="182"/>
      <c r="N482" s="182"/>
      <c r="O482" s="293"/>
      <c r="P482" s="293"/>
    </row>
    <row r="483">
      <c r="H483" s="182"/>
      <c r="N483" s="182"/>
      <c r="O483" s="293"/>
      <c r="P483" s="293"/>
    </row>
    <row r="484">
      <c r="H484" s="182"/>
      <c r="N484" s="182"/>
      <c r="O484" s="293"/>
      <c r="P484" s="293"/>
    </row>
    <row r="485">
      <c r="H485" s="182"/>
      <c r="N485" s="182"/>
      <c r="O485" s="293"/>
      <c r="P485" s="293"/>
    </row>
    <row r="486">
      <c r="H486" s="182"/>
      <c r="N486" s="182"/>
      <c r="O486" s="293"/>
      <c r="P486" s="293"/>
    </row>
    <row r="487">
      <c r="H487" s="182"/>
      <c r="N487" s="182"/>
      <c r="O487" s="293"/>
      <c r="P487" s="293"/>
    </row>
    <row r="488">
      <c r="H488" s="182"/>
      <c r="N488" s="182"/>
      <c r="O488" s="293"/>
      <c r="P488" s="293"/>
    </row>
    <row r="489">
      <c r="H489" s="182"/>
      <c r="N489" s="182"/>
      <c r="O489" s="293"/>
      <c r="P489" s="293"/>
    </row>
    <row r="490">
      <c r="H490" s="182"/>
      <c r="N490" s="182"/>
      <c r="O490" s="293"/>
      <c r="P490" s="293"/>
    </row>
    <row r="491">
      <c r="H491" s="182"/>
      <c r="N491" s="182"/>
      <c r="O491" s="293"/>
      <c r="P491" s="293"/>
    </row>
    <row r="492">
      <c r="H492" s="182"/>
      <c r="N492" s="182"/>
      <c r="O492" s="293"/>
      <c r="P492" s="293"/>
    </row>
    <row r="493">
      <c r="H493" s="182"/>
      <c r="N493" s="182"/>
      <c r="O493" s="293"/>
      <c r="P493" s="293"/>
    </row>
    <row r="494">
      <c r="H494" s="182"/>
      <c r="N494" s="182"/>
      <c r="O494" s="293"/>
      <c r="P494" s="293"/>
    </row>
    <row r="495">
      <c r="H495" s="182"/>
      <c r="N495" s="182"/>
      <c r="O495" s="293"/>
      <c r="P495" s="293"/>
    </row>
    <row r="496">
      <c r="H496" s="182"/>
      <c r="N496" s="182"/>
      <c r="O496" s="293"/>
      <c r="P496" s="293"/>
    </row>
    <row r="497">
      <c r="H497" s="182"/>
      <c r="N497" s="182"/>
      <c r="O497" s="293"/>
      <c r="P497" s="293"/>
    </row>
    <row r="498">
      <c r="H498" s="182"/>
      <c r="N498" s="182"/>
      <c r="O498" s="293"/>
      <c r="P498" s="293"/>
    </row>
    <row r="499">
      <c r="H499" s="182"/>
      <c r="N499" s="182"/>
      <c r="O499" s="293"/>
      <c r="P499" s="293"/>
    </row>
    <row r="500">
      <c r="H500" s="182"/>
      <c r="N500" s="182"/>
      <c r="O500" s="293"/>
      <c r="P500" s="293"/>
    </row>
    <row r="501">
      <c r="H501" s="182"/>
      <c r="N501" s="182"/>
      <c r="O501" s="293"/>
      <c r="P501" s="293"/>
    </row>
    <row r="502">
      <c r="H502" s="182"/>
      <c r="N502" s="182"/>
      <c r="O502" s="293"/>
      <c r="P502" s="293"/>
    </row>
    <row r="503">
      <c r="H503" s="182"/>
      <c r="N503" s="182"/>
      <c r="O503" s="293"/>
      <c r="P503" s="293"/>
    </row>
    <row r="504">
      <c r="H504" s="182"/>
      <c r="N504" s="182"/>
      <c r="O504" s="293"/>
      <c r="P504" s="293"/>
    </row>
    <row r="505">
      <c r="H505" s="182"/>
      <c r="N505" s="182"/>
      <c r="O505" s="293"/>
      <c r="P505" s="293"/>
    </row>
    <row r="506">
      <c r="H506" s="182"/>
      <c r="N506" s="182"/>
      <c r="O506" s="293"/>
      <c r="P506" s="293"/>
    </row>
    <row r="507">
      <c r="H507" s="182"/>
      <c r="N507" s="182"/>
      <c r="O507" s="293"/>
      <c r="P507" s="293"/>
    </row>
    <row r="508">
      <c r="H508" s="182"/>
      <c r="N508" s="182"/>
      <c r="O508" s="293"/>
      <c r="P508" s="293"/>
    </row>
    <row r="509">
      <c r="H509" s="182"/>
      <c r="N509" s="182"/>
      <c r="O509" s="293"/>
      <c r="P509" s="293"/>
    </row>
    <row r="510">
      <c r="H510" s="182"/>
      <c r="N510" s="182"/>
      <c r="O510" s="293"/>
      <c r="P510" s="293"/>
    </row>
    <row r="511">
      <c r="H511" s="182"/>
      <c r="N511" s="182"/>
      <c r="O511" s="293"/>
      <c r="P511" s="293"/>
    </row>
    <row r="512">
      <c r="H512" s="182"/>
      <c r="N512" s="182"/>
      <c r="O512" s="293"/>
      <c r="P512" s="293"/>
    </row>
    <row r="513">
      <c r="H513" s="182"/>
      <c r="N513" s="182"/>
      <c r="O513" s="293"/>
      <c r="P513" s="293"/>
    </row>
    <row r="514">
      <c r="H514" s="182"/>
      <c r="N514" s="182"/>
      <c r="O514" s="293"/>
      <c r="P514" s="293"/>
    </row>
    <row r="515">
      <c r="H515" s="182"/>
      <c r="N515" s="182"/>
      <c r="O515" s="293"/>
      <c r="P515" s="293"/>
    </row>
    <row r="516">
      <c r="H516" s="182"/>
      <c r="N516" s="182"/>
      <c r="O516" s="293"/>
      <c r="P516" s="293"/>
    </row>
    <row r="517">
      <c r="H517" s="182"/>
      <c r="N517" s="182"/>
      <c r="O517" s="293"/>
      <c r="P517" s="293"/>
    </row>
    <row r="518">
      <c r="H518" s="182"/>
      <c r="N518" s="182"/>
      <c r="O518" s="293"/>
      <c r="P518" s="293"/>
    </row>
    <row r="519">
      <c r="H519" s="182"/>
      <c r="N519" s="182"/>
      <c r="O519" s="293"/>
      <c r="P519" s="293"/>
    </row>
    <row r="520">
      <c r="H520" s="182"/>
      <c r="N520" s="182"/>
      <c r="O520" s="293"/>
      <c r="P520" s="293"/>
    </row>
    <row r="521">
      <c r="H521" s="182"/>
      <c r="N521" s="182"/>
      <c r="O521" s="293"/>
      <c r="P521" s="293"/>
    </row>
    <row r="522">
      <c r="H522" s="182"/>
      <c r="N522" s="182"/>
      <c r="O522" s="293"/>
      <c r="P522" s="293"/>
    </row>
    <row r="523">
      <c r="H523" s="182"/>
      <c r="N523" s="182"/>
      <c r="O523" s="293"/>
      <c r="P523" s="293"/>
    </row>
    <row r="524">
      <c r="H524" s="182"/>
      <c r="N524" s="182"/>
      <c r="O524" s="293"/>
      <c r="P524" s="293"/>
    </row>
    <row r="525">
      <c r="H525" s="182"/>
      <c r="N525" s="182"/>
      <c r="O525" s="293"/>
      <c r="P525" s="293"/>
    </row>
    <row r="526">
      <c r="H526" s="182"/>
      <c r="N526" s="182"/>
      <c r="O526" s="293"/>
      <c r="P526" s="293"/>
    </row>
    <row r="527">
      <c r="H527" s="182"/>
      <c r="N527" s="182"/>
      <c r="O527" s="293"/>
      <c r="P527" s="293"/>
    </row>
    <row r="528">
      <c r="H528" s="182"/>
      <c r="N528" s="182"/>
      <c r="O528" s="293"/>
      <c r="P528" s="293"/>
    </row>
    <row r="529">
      <c r="H529" s="182"/>
      <c r="N529" s="182"/>
      <c r="O529" s="293"/>
      <c r="P529" s="293"/>
    </row>
    <row r="530">
      <c r="H530" s="182"/>
      <c r="N530" s="182"/>
      <c r="O530" s="293"/>
      <c r="P530" s="293"/>
    </row>
    <row r="531">
      <c r="H531" s="182"/>
      <c r="N531" s="182"/>
      <c r="O531" s="293"/>
      <c r="P531" s="293"/>
    </row>
    <row r="532">
      <c r="H532" s="182"/>
      <c r="N532" s="182"/>
      <c r="O532" s="293"/>
      <c r="P532" s="293"/>
    </row>
    <row r="533">
      <c r="H533" s="182"/>
      <c r="N533" s="182"/>
      <c r="O533" s="293"/>
      <c r="P533" s="293"/>
    </row>
    <row r="534">
      <c r="H534" s="182"/>
      <c r="N534" s="182"/>
      <c r="O534" s="293"/>
      <c r="P534" s="293"/>
    </row>
    <row r="535">
      <c r="H535" s="182"/>
      <c r="N535" s="182"/>
      <c r="O535" s="293"/>
      <c r="P535" s="293"/>
    </row>
    <row r="536">
      <c r="H536" s="182"/>
      <c r="N536" s="182"/>
      <c r="O536" s="293"/>
      <c r="P536" s="293"/>
    </row>
    <row r="537">
      <c r="H537" s="182"/>
      <c r="N537" s="182"/>
      <c r="O537" s="293"/>
      <c r="P537" s="293"/>
    </row>
    <row r="538">
      <c r="H538" s="182"/>
      <c r="N538" s="182"/>
      <c r="O538" s="293"/>
      <c r="P538" s="293"/>
    </row>
    <row r="539">
      <c r="H539" s="182"/>
      <c r="N539" s="182"/>
      <c r="O539" s="293"/>
      <c r="P539" s="293"/>
    </row>
    <row r="540">
      <c r="H540" s="182"/>
      <c r="N540" s="182"/>
      <c r="O540" s="293"/>
      <c r="P540" s="293"/>
    </row>
    <row r="541">
      <c r="H541" s="182"/>
      <c r="N541" s="182"/>
      <c r="O541" s="293"/>
      <c r="P541" s="293"/>
    </row>
    <row r="542">
      <c r="H542" s="182"/>
      <c r="N542" s="182"/>
      <c r="O542" s="293"/>
      <c r="P542" s="293"/>
    </row>
    <row r="543">
      <c r="H543" s="182"/>
      <c r="N543" s="182"/>
      <c r="O543" s="293"/>
      <c r="P543" s="293"/>
    </row>
    <row r="544">
      <c r="H544" s="182"/>
      <c r="N544" s="182"/>
      <c r="O544" s="293"/>
      <c r="P544" s="293"/>
    </row>
    <row r="545">
      <c r="H545" s="182"/>
      <c r="N545" s="182"/>
      <c r="O545" s="293"/>
      <c r="P545" s="293"/>
    </row>
    <row r="546">
      <c r="H546" s="182"/>
      <c r="N546" s="182"/>
      <c r="O546" s="293"/>
      <c r="P546" s="293"/>
    </row>
    <row r="547">
      <c r="H547" s="182"/>
      <c r="N547" s="182"/>
      <c r="O547" s="293"/>
      <c r="P547" s="293"/>
    </row>
    <row r="548">
      <c r="H548" s="182"/>
      <c r="N548" s="182"/>
      <c r="O548" s="293"/>
      <c r="P548" s="293"/>
    </row>
    <row r="549">
      <c r="H549" s="182"/>
      <c r="N549" s="182"/>
      <c r="O549" s="293"/>
      <c r="P549" s="293"/>
    </row>
    <row r="550">
      <c r="H550" s="182"/>
      <c r="N550" s="182"/>
      <c r="O550" s="293"/>
      <c r="P550" s="293"/>
    </row>
    <row r="551">
      <c r="H551" s="182"/>
      <c r="N551" s="182"/>
      <c r="O551" s="293"/>
      <c r="P551" s="293"/>
    </row>
    <row r="552">
      <c r="H552" s="182"/>
      <c r="N552" s="182"/>
      <c r="O552" s="293"/>
      <c r="P552" s="293"/>
    </row>
    <row r="553">
      <c r="H553" s="182"/>
      <c r="N553" s="182"/>
      <c r="O553" s="293"/>
      <c r="P553" s="293"/>
    </row>
    <row r="554">
      <c r="H554" s="182"/>
      <c r="N554" s="182"/>
      <c r="O554" s="293"/>
      <c r="P554" s="293"/>
    </row>
    <row r="555">
      <c r="H555" s="182"/>
      <c r="N555" s="182"/>
      <c r="O555" s="293"/>
      <c r="P555" s="293"/>
    </row>
    <row r="556">
      <c r="H556" s="182"/>
      <c r="N556" s="182"/>
      <c r="O556" s="293"/>
      <c r="P556" s="293"/>
    </row>
    <row r="557">
      <c r="H557" s="182"/>
      <c r="N557" s="182"/>
      <c r="O557" s="293"/>
      <c r="P557" s="293"/>
    </row>
    <row r="558">
      <c r="H558" s="182"/>
      <c r="N558" s="182"/>
      <c r="O558" s="293"/>
      <c r="P558" s="293"/>
    </row>
    <row r="559">
      <c r="H559" s="182"/>
      <c r="N559" s="182"/>
      <c r="O559" s="293"/>
      <c r="P559" s="293"/>
    </row>
    <row r="560">
      <c r="H560" s="182"/>
      <c r="N560" s="182"/>
      <c r="O560" s="293"/>
      <c r="P560" s="293"/>
    </row>
    <row r="561">
      <c r="H561" s="182"/>
      <c r="N561" s="182"/>
      <c r="O561" s="293"/>
      <c r="P561" s="293"/>
    </row>
    <row r="562">
      <c r="H562" s="182"/>
      <c r="N562" s="182"/>
      <c r="O562" s="293"/>
      <c r="P562" s="293"/>
    </row>
    <row r="563">
      <c r="H563" s="182"/>
      <c r="N563" s="182"/>
      <c r="O563" s="293"/>
      <c r="P563" s="293"/>
    </row>
    <row r="564">
      <c r="H564" s="182"/>
      <c r="N564" s="182"/>
      <c r="O564" s="293"/>
      <c r="P564" s="293"/>
    </row>
    <row r="565">
      <c r="H565" s="182"/>
      <c r="N565" s="182"/>
      <c r="O565" s="293"/>
      <c r="P565" s="293"/>
    </row>
    <row r="566">
      <c r="H566" s="182"/>
      <c r="N566" s="182"/>
      <c r="O566" s="293"/>
      <c r="P566" s="293"/>
    </row>
    <row r="567">
      <c r="H567" s="182"/>
      <c r="N567" s="182"/>
      <c r="O567" s="293"/>
      <c r="P567" s="293"/>
    </row>
    <row r="568">
      <c r="H568" s="182"/>
      <c r="N568" s="182"/>
      <c r="O568" s="293"/>
      <c r="P568" s="293"/>
    </row>
    <row r="569">
      <c r="H569" s="182"/>
      <c r="N569" s="182"/>
      <c r="O569" s="293"/>
      <c r="P569" s="293"/>
    </row>
    <row r="570">
      <c r="H570" s="182"/>
      <c r="N570" s="182"/>
      <c r="O570" s="293"/>
      <c r="P570" s="293"/>
    </row>
    <row r="571">
      <c r="H571" s="182"/>
      <c r="N571" s="182"/>
      <c r="O571" s="293"/>
      <c r="P571" s="293"/>
    </row>
    <row r="572">
      <c r="H572" s="182"/>
      <c r="N572" s="182"/>
      <c r="O572" s="293"/>
      <c r="P572" s="293"/>
    </row>
    <row r="573">
      <c r="H573" s="182"/>
      <c r="N573" s="182"/>
      <c r="O573" s="293"/>
      <c r="P573" s="293"/>
    </row>
    <row r="574">
      <c r="H574" s="182"/>
      <c r="N574" s="182"/>
      <c r="O574" s="293"/>
      <c r="P574" s="293"/>
    </row>
    <row r="575">
      <c r="H575" s="182"/>
      <c r="N575" s="182"/>
      <c r="O575" s="293"/>
      <c r="P575" s="293"/>
    </row>
    <row r="576">
      <c r="H576" s="182"/>
      <c r="N576" s="182"/>
      <c r="O576" s="293"/>
      <c r="P576" s="293"/>
    </row>
    <row r="577">
      <c r="H577" s="182"/>
      <c r="N577" s="182"/>
      <c r="O577" s="293"/>
      <c r="P577" s="293"/>
    </row>
    <row r="578">
      <c r="H578" s="182"/>
      <c r="N578" s="182"/>
      <c r="O578" s="293"/>
      <c r="P578" s="293"/>
    </row>
    <row r="579">
      <c r="H579" s="182"/>
      <c r="N579" s="182"/>
      <c r="O579" s="293"/>
      <c r="P579" s="293"/>
    </row>
    <row r="580">
      <c r="H580" s="182"/>
      <c r="N580" s="182"/>
      <c r="O580" s="293"/>
      <c r="P580" s="293"/>
    </row>
    <row r="581">
      <c r="H581" s="182"/>
      <c r="N581" s="182"/>
      <c r="O581" s="293"/>
      <c r="P581" s="293"/>
    </row>
    <row r="582">
      <c r="H582" s="182"/>
      <c r="N582" s="182"/>
      <c r="O582" s="293"/>
      <c r="P582" s="293"/>
    </row>
    <row r="583">
      <c r="H583" s="182"/>
      <c r="N583" s="182"/>
      <c r="O583" s="293"/>
      <c r="P583" s="293"/>
    </row>
    <row r="584">
      <c r="H584" s="182"/>
      <c r="N584" s="182"/>
      <c r="O584" s="293"/>
      <c r="P584" s="293"/>
    </row>
    <row r="585">
      <c r="H585" s="182"/>
      <c r="N585" s="182"/>
      <c r="O585" s="293"/>
      <c r="P585" s="293"/>
    </row>
    <row r="586">
      <c r="H586" s="182"/>
      <c r="N586" s="182"/>
      <c r="O586" s="293"/>
      <c r="P586" s="293"/>
    </row>
    <row r="587">
      <c r="H587" s="182"/>
      <c r="N587" s="182"/>
      <c r="O587" s="293"/>
      <c r="P587" s="293"/>
    </row>
    <row r="588">
      <c r="H588" s="182"/>
      <c r="N588" s="182"/>
      <c r="O588" s="293"/>
      <c r="P588" s="293"/>
    </row>
    <row r="589">
      <c r="H589" s="182"/>
      <c r="N589" s="182"/>
      <c r="O589" s="293"/>
      <c r="P589" s="293"/>
    </row>
    <row r="590">
      <c r="H590" s="182"/>
      <c r="N590" s="182"/>
      <c r="O590" s="293"/>
      <c r="P590" s="293"/>
    </row>
    <row r="591">
      <c r="H591" s="182"/>
      <c r="N591" s="182"/>
      <c r="O591" s="293"/>
      <c r="P591" s="293"/>
    </row>
    <row r="592">
      <c r="H592" s="182"/>
      <c r="N592" s="182"/>
      <c r="O592" s="293"/>
      <c r="P592" s="293"/>
    </row>
    <row r="593">
      <c r="H593" s="182"/>
      <c r="N593" s="182"/>
      <c r="O593" s="293"/>
      <c r="P593" s="293"/>
    </row>
    <row r="594">
      <c r="H594" s="182"/>
      <c r="N594" s="182"/>
      <c r="O594" s="293"/>
      <c r="P594" s="293"/>
    </row>
    <row r="595">
      <c r="H595" s="182"/>
      <c r="N595" s="182"/>
      <c r="O595" s="293"/>
      <c r="P595" s="293"/>
    </row>
    <row r="596">
      <c r="H596" s="182"/>
      <c r="N596" s="182"/>
      <c r="O596" s="293"/>
      <c r="P596" s="293"/>
    </row>
    <row r="597">
      <c r="H597" s="182"/>
      <c r="N597" s="182"/>
      <c r="O597" s="293"/>
      <c r="P597" s="293"/>
    </row>
    <row r="598">
      <c r="H598" s="182"/>
      <c r="N598" s="182"/>
      <c r="O598" s="293"/>
      <c r="P598" s="293"/>
    </row>
    <row r="599">
      <c r="H599" s="182"/>
      <c r="N599" s="182"/>
      <c r="O599" s="293"/>
      <c r="P599" s="293"/>
    </row>
    <row r="600">
      <c r="H600" s="182"/>
      <c r="N600" s="182"/>
      <c r="O600" s="293"/>
      <c r="P600" s="293"/>
    </row>
    <row r="601">
      <c r="H601" s="182"/>
      <c r="N601" s="182"/>
      <c r="O601" s="293"/>
      <c r="P601" s="293"/>
    </row>
    <row r="602">
      <c r="H602" s="182"/>
      <c r="N602" s="182"/>
      <c r="O602" s="293"/>
      <c r="P602" s="293"/>
    </row>
    <row r="603">
      <c r="H603" s="182"/>
      <c r="N603" s="182"/>
      <c r="O603" s="293"/>
      <c r="P603" s="293"/>
    </row>
    <row r="604">
      <c r="H604" s="182"/>
      <c r="N604" s="182"/>
      <c r="O604" s="293"/>
      <c r="P604" s="293"/>
    </row>
    <row r="605">
      <c r="H605" s="182"/>
      <c r="N605" s="182"/>
      <c r="O605" s="293"/>
      <c r="P605" s="293"/>
    </row>
    <row r="606">
      <c r="H606" s="182"/>
      <c r="N606" s="182"/>
      <c r="O606" s="293"/>
      <c r="P606" s="293"/>
    </row>
    <row r="607">
      <c r="H607" s="182"/>
      <c r="N607" s="182"/>
      <c r="O607" s="293"/>
      <c r="P607" s="293"/>
    </row>
    <row r="608">
      <c r="H608" s="182"/>
      <c r="N608" s="182"/>
      <c r="O608" s="293"/>
      <c r="P608" s="293"/>
    </row>
    <row r="609">
      <c r="H609" s="182"/>
      <c r="N609" s="182"/>
      <c r="O609" s="293"/>
      <c r="P609" s="293"/>
    </row>
    <row r="610">
      <c r="H610" s="182"/>
      <c r="N610" s="182"/>
      <c r="O610" s="293"/>
      <c r="P610" s="293"/>
    </row>
    <row r="611">
      <c r="H611" s="182"/>
      <c r="N611" s="182"/>
      <c r="O611" s="293"/>
      <c r="P611" s="293"/>
    </row>
    <row r="612">
      <c r="H612" s="182"/>
      <c r="N612" s="182"/>
      <c r="O612" s="293"/>
      <c r="P612" s="293"/>
    </row>
    <row r="613">
      <c r="H613" s="182"/>
      <c r="N613" s="182"/>
      <c r="O613" s="293"/>
      <c r="P613" s="293"/>
    </row>
    <row r="614">
      <c r="H614" s="182"/>
      <c r="N614" s="182"/>
      <c r="O614" s="293"/>
      <c r="P614" s="293"/>
    </row>
    <row r="615">
      <c r="H615" s="182"/>
      <c r="N615" s="182"/>
      <c r="O615" s="293"/>
      <c r="P615" s="293"/>
    </row>
    <row r="616">
      <c r="H616" s="182"/>
      <c r="N616" s="182"/>
      <c r="O616" s="293"/>
      <c r="P616" s="293"/>
    </row>
    <row r="617">
      <c r="H617" s="182"/>
      <c r="N617" s="182"/>
      <c r="O617" s="293"/>
      <c r="P617" s="293"/>
    </row>
    <row r="618">
      <c r="H618" s="182"/>
      <c r="N618" s="182"/>
      <c r="O618" s="293"/>
      <c r="P618" s="293"/>
    </row>
    <row r="619">
      <c r="H619" s="182"/>
      <c r="N619" s="182"/>
      <c r="O619" s="293"/>
      <c r="P619" s="293"/>
    </row>
    <row r="620">
      <c r="H620" s="182"/>
      <c r="N620" s="182"/>
      <c r="O620" s="293"/>
      <c r="P620" s="293"/>
    </row>
    <row r="621">
      <c r="H621" s="182"/>
      <c r="N621" s="182"/>
      <c r="O621" s="293"/>
      <c r="P621" s="293"/>
    </row>
    <row r="622">
      <c r="H622" s="182"/>
      <c r="N622" s="182"/>
      <c r="O622" s="293"/>
      <c r="P622" s="293"/>
    </row>
    <row r="623">
      <c r="H623" s="182"/>
      <c r="N623" s="182"/>
      <c r="O623" s="293"/>
      <c r="P623" s="293"/>
    </row>
    <row r="624">
      <c r="H624" s="182"/>
      <c r="N624" s="182"/>
      <c r="O624" s="293"/>
      <c r="P624" s="293"/>
    </row>
    <row r="625">
      <c r="H625" s="182"/>
      <c r="N625" s="182"/>
      <c r="O625" s="293"/>
      <c r="P625" s="293"/>
    </row>
    <row r="626">
      <c r="H626" s="182"/>
      <c r="N626" s="182"/>
      <c r="O626" s="293"/>
      <c r="P626" s="293"/>
    </row>
    <row r="627">
      <c r="H627" s="182"/>
      <c r="N627" s="182"/>
      <c r="O627" s="293"/>
      <c r="P627" s="293"/>
    </row>
    <row r="628">
      <c r="H628" s="182"/>
      <c r="N628" s="182"/>
      <c r="O628" s="293"/>
      <c r="P628" s="293"/>
    </row>
    <row r="629">
      <c r="H629" s="182"/>
      <c r="N629" s="182"/>
      <c r="O629" s="293"/>
      <c r="P629" s="293"/>
    </row>
    <row r="630">
      <c r="H630" s="182"/>
      <c r="N630" s="182"/>
      <c r="O630" s="293"/>
      <c r="P630" s="293"/>
    </row>
    <row r="631">
      <c r="H631" s="182"/>
      <c r="N631" s="182"/>
      <c r="O631" s="293"/>
      <c r="P631" s="293"/>
    </row>
    <row r="632">
      <c r="H632" s="182"/>
      <c r="N632" s="182"/>
      <c r="O632" s="293"/>
      <c r="P632" s="293"/>
    </row>
    <row r="633">
      <c r="H633" s="182"/>
      <c r="N633" s="182"/>
      <c r="O633" s="293"/>
      <c r="P633" s="293"/>
    </row>
    <row r="634">
      <c r="H634" s="182"/>
      <c r="N634" s="182"/>
      <c r="O634" s="293"/>
      <c r="P634" s="293"/>
    </row>
    <row r="635">
      <c r="H635" s="182"/>
      <c r="N635" s="182"/>
      <c r="O635" s="293"/>
      <c r="P635" s="293"/>
    </row>
    <row r="636">
      <c r="H636" s="182"/>
      <c r="N636" s="182"/>
      <c r="O636" s="293"/>
      <c r="P636" s="293"/>
    </row>
    <row r="637">
      <c r="H637" s="182"/>
      <c r="N637" s="182"/>
      <c r="O637" s="293"/>
      <c r="P637" s="293"/>
    </row>
    <row r="638">
      <c r="H638" s="182"/>
      <c r="N638" s="182"/>
      <c r="O638" s="293"/>
      <c r="P638" s="293"/>
    </row>
    <row r="639">
      <c r="H639" s="182"/>
      <c r="N639" s="182"/>
      <c r="O639" s="293"/>
      <c r="P639" s="293"/>
    </row>
    <row r="640">
      <c r="H640" s="182"/>
      <c r="N640" s="182"/>
      <c r="O640" s="293"/>
      <c r="P640" s="293"/>
    </row>
    <row r="641">
      <c r="H641" s="182"/>
      <c r="N641" s="182"/>
      <c r="O641" s="293"/>
      <c r="P641" s="293"/>
    </row>
    <row r="642">
      <c r="H642" s="182"/>
      <c r="N642" s="182"/>
      <c r="O642" s="293"/>
      <c r="P642" s="293"/>
    </row>
    <row r="643">
      <c r="H643" s="182"/>
      <c r="N643" s="182"/>
      <c r="O643" s="293"/>
      <c r="P643" s="293"/>
    </row>
    <row r="644">
      <c r="H644" s="182"/>
      <c r="N644" s="182"/>
      <c r="O644" s="293"/>
      <c r="P644" s="293"/>
    </row>
    <row r="645">
      <c r="H645" s="182"/>
      <c r="N645" s="182"/>
      <c r="O645" s="293"/>
      <c r="P645" s="293"/>
    </row>
    <row r="646">
      <c r="H646" s="182"/>
      <c r="N646" s="182"/>
      <c r="O646" s="293"/>
      <c r="P646" s="293"/>
    </row>
    <row r="647">
      <c r="H647" s="182"/>
      <c r="N647" s="182"/>
      <c r="O647" s="293"/>
      <c r="P647" s="293"/>
    </row>
    <row r="648">
      <c r="H648" s="182"/>
      <c r="N648" s="182"/>
      <c r="O648" s="293"/>
      <c r="P648" s="293"/>
    </row>
    <row r="649">
      <c r="H649" s="182"/>
      <c r="N649" s="182"/>
      <c r="O649" s="293"/>
      <c r="P649" s="293"/>
    </row>
    <row r="650">
      <c r="H650" s="182"/>
      <c r="N650" s="182"/>
      <c r="O650" s="293"/>
      <c r="P650" s="293"/>
    </row>
    <row r="651">
      <c r="H651" s="182"/>
      <c r="N651" s="182"/>
      <c r="O651" s="293"/>
      <c r="P651" s="293"/>
    </row>
    <row r="652">
      <c r="H652" s="182"/>
      <c r="N652" s="182"/>
      <c r="O652" s="293"/>
      <c r="P652" s="293"/>
    </row>
    <row r="653">
      <c r="H653" s="182"/>
      <c r="N653" s="182"/>
      <c r="O653" s="293"/>
      <c r="P653" s="293"/>
    </row>
    <row r="654">
      <c r="H654" s="182"/>
      <c r="N654" s="182"/>
      <c r="O654" s="293"/>
      <c r="P654" s="293"/>
    </row>
    <row r="655">
      <c r="H655" s="182"/>
      <c r="N655" s="182"/>
      <c r="O655" s="293"/>
      <c r="P655" s="293"/>
    </row>
    <row r="656">
      <c r="H656" s="182"/>
      <c r="N656" s="182"/>
      <c r="O656" s="293"/>
      <c r="P656" s="293"/>
    </row>
    <row r="657">
      <c r="H657" s="182"/>
      <c r="N657" s="182"/>
      <c r="O657" s="293"/>
      <c r="P657" s="293"/>
    </row>
    <row r="658">
      <c r="H658" s="182"/>
      <c r="N658" s="182"/>
      <c r="O658" s="293"/>
      <c r="P658" s="293"/>
    </row>
    <row r="659">
      <c r="H659" s="182"/>
      <c r="N659" s="182"/>
      <c r="O659" s="293"/>
      <c r="P659" s="293"/>
    </row>
    <row r="660">
      <c r="H660" s="182"/>
      <c r="N660" s="182"/>
      <c r="O660" s="293"/>
      <c r="P660" s="293"/>
    </row>
    <row r="661">
      <c r="H661" s="182"/>
      <c r="N661" s="182"/>
      <c r="O661" s="293"/>
      <c r="P661" s="293"/>
    </row>
    <row r="662">
      <c r="H662" s="182"/>
      <c r="N662" s="182"/>
      <c r="O662" s="293"/>
      <c r="P662" s="293"/>
    </row>
    <row r="663">
      <c r="H663" s="182"/>
      <c r="N663" s="182"/>
      <c r="O663" s="293"/>
      <c r="P663" s="293"/>
    </row>
    <row r="664">
      <c r="H664" s="182"/>
      <c r="N664" s="182"/>
      <c r="O664" s="293"/>
      <c r="P664" s="293"/>
    </row>
    <row r="665">
      <c r="H665" s="182"/>
      <c r="N665" s="182"/>
      <c r="O665" s="293"/>
      <c r="P665" s="293"/>
    </row>
    <row r="666">
      <c r="H666" s="182"/>
      <c r="N666" s="182"/>
      <c r="O666" s="293"/>
      <c r="P666" s="293"/>
    </row>
    <row r="667">
      <c r="H667" s="182"/>
      <c r="N667" s="182"/>
      <c r="O667" s="293"/>
      <c r="P667" s="293"/>
    </row>
    <row r="668">
      <c r="H668" s="182"/>
      <c r="N668" s="182"/>
      <c r="O668" s="293"/>
      <c r="P668" s="293"/>
    </row>
    <row r="669">
      <c r="H669" s="182"/>
      <c r="N669" s="182"/>
      <c r="O669" s="293"/>
      <c r="P669" s="293"/>
    </row>
    <row r="670">
      <c r="H670" s="182"/>
      <c r="N670" s="182"/>
      <c r="O670" s="293"/>
      <c r="P670" s="293"/>
    </row>
    <row r="671">
      <c r="H671" s="182"/>
      <c r="N671" s="182"/>
      <c r="O671" s="293"/>
      <c r="P671" s="293"/>
    </row>
    <row r="672">
      <c r="H672" s="182"/>
      <c r="N672" s="182"/>
      <c r="O672" s="293"/>
      <c r="P672" s="293"/>
    </row>
    <row r="673">
      <c r="H673" s="182"/>
      <c r="N673" s="182"/>
      <c r="O673" s="293"/>
      <c r="P673" s="293"/>
    </row>
    <row r="674">
      <c r="H674" s="182"/>
      <c r="N674" s="182"/>
      <c r="O674" s="293"/>
      <c r="P674" s="293"/>
    </row>
    <row r="675">
      <c r="H675" s="182"/>
      <c r="N675" s="182"/>
      <c r="O675" s="293"/>
      <c r="P675" s="293"/>
    </row>
    <row r="676">
      <c r="H676" s="182"/>
      <c r="N676" s="182"/>
      <c r="O676" s="293"/>
      <c r="P676" s="293"/>
    </row>
    <row r="677">
      <c r="H677" s="182"/>
      <c r="N677" s="182"/>
      <c r="O677" s="293"/>
      <c r="P677" s="293"/>
    </row>
    <row r="678">
      <c r="H678" s="182"/>
      <c r="N678" s="182"/>
      <c r="O678" s="293"/>
      <c r="P678" s="293"/>
    </row>
    <row r="679">
      <c r="H679" s="182"/>
      <c r="N679" s="182"/>
      <c r="O679" s="293"/>
      <c r="P679" s="293"/>
    </row>
    <row r="680">
      <c r="H680" s="182"/>
      <c r="N680" s="182"/>
      <c r="O680" s="293"/>
      <c r="P680" s="293"/>
    </row>
    <row r="681">
      <c r="H681" s="182"/>
      <c r="N681" s="182"/>
      <c r="O681" s="293"/>
      <c r="P681" s="293"/>
    </row>
    <row r="682">
      <c r="H682" s="182"/>
      <c r="N682" s="182"/>
      <c r="O682" s="293"/>
      <c r="P682" s="293"/>
    </row>
    <row r="683">
      <c r="H683" s="182"/>
      <c r="N683" s="182"/>
      <c r="O683" s="293"/>
      <c r="P683" s="293"/>
    </row>
    <row r="684">
      <c r="H684" s="182"/>
      <c r="N684" s="182"/>
      <c r="O684" s="293"/>
      <c r="P684" s="293"/>
    </row>
    <row r="685">
      <c r="H685" s="182"/>
      <c r="N685" s="182"/>
      <c r="O685" s="293"/>
      <c r="P685" s="293"/>
    </row>
    <row r="686">
      <c r="H686" s="182"/>
      <c r="N686" s="182"/>
      <c r="O686" s="293"/>
      <c r="P686" s="293"/>
    </row>
    <row r="687">
      <c r="H687" s="182"/>
      <c r="N687" s="182"/>
      <c r="O687" s="293"/>
      <c r="P687" s="293"/>
    </row>
    <row r="688">
      <c r="H688" s="182"/>
      <c r="N688" s="182"/>
      <c r="O688" s="293"/>
      <c r="P688" s="293"/>
    </row>
    <row r="689">
      <c r="H689" s="182"/>
      <c r="N689" s="182"/>
      <c r="O689" s="293"/>
      <c r="P689" s="293"/>
    </row>
    <row r="690">
      <c r="H690" s="182"/>
      <c r="N690" s="182"/>
      <c r="O690" s="293"/>
      <c r="P690" s="293"/>
    </row>
    <row r="691">
      <c r="H691" s="182"/>
      <c r="N691" s="182"/>
      <c r="O691" s="293"/>
      <c r="P691" s="293"/>
    </row>
    <row r="692">
      <c r="H692" s="182"/>
      <c r="N692" s="182"/>
      <c r="O692" s="293"/>
      <c r="P692" s="293"/>
    </row>
    <row r="693">
      <c r="H693" s="182"/>
      <c r="N693" s="182"/>
      <c r="O693" s="293"/>
      <c r="P693" s="293"/>
    </row>
    <row r="694">
      <c r="H694" s="182"/>
      <c r="N694" s="182"/>
      <c r="O694" s="293"/>
      <c r="P694" s="293"/>
    </row>
    <row r="695">
      <c r="H695" s="182"/>
      <c r="N695" s="182"/>
      <c r="O695" s="293"/>
      <c r="P695" s="293"/>
    </row>
    <row r="696">
      <c r="H696" s="182"/>
      <c r="N696" s="182"/>
      <c r="O696" s="293"/>
      <c r="P696" s="293"/>
    </row>
    <row r="697">
      <c r="H697" s="182"/>
      <c r="N697" s="182"/>
      <c r="O697" s="293"/>
      <c r="P697" s="293"/>
    </row>
    <row r="698">
      <c r="H698" s="182"/>
      <c r="N698" s="182"/>
      <c r="O698" s="293"/>
      <c r="P698" s="293"/>
    </row>
    <row r="699">
      <c r="H699" s="182"/>
      <c r="N699" s="182"/>
      <c r="O699" s="293"/>
      <c r="P699" s="293"/>
    </row>
    <row r="700">
      <c r="H700" s="182"/>
      <c r="N700" s="182"/>
      <c r="O700" s="293"/>
      <c r="P700" s="293"/>
    </row>
    <row r="701">
      <c r="H701" s="182"/>
      <c r="N701" s="182"/>
      <c r="O701" s="293"/>
      <c r="P701" s="293"/>
    </row>
    <row r="702">
      <c r="H702" s="182"/>
      <c r="N702" s="182"/>
      <c r="O702" s="293"/>
      <c r="P702" s="293"/>
    </row>
    <row r="703">
      <c r="H703" s="182"/>
      <c r="N703" s="182"/>
      <c r="O703" s="293"/>
      <c r="P703" s="293"/>
    </row>
    <row r="704">
      <c r="H704" s="182"/>
      <c r="N704" s="182"/>
      <c r="O704" s="293"/>
      <c r="P704" s="293"/>
    </row>
    <row r="705">
      <c r="H705" s="182"/>
      <c r="N705" s="182"/>
      <c r="O705" s="293"/>
      <c r="P705" s="293"/>
    </row>
    <row r="706">
      <c r="H706" s="182"/>
      <c r="N706" s="182"/>
      <c r="O706" s="293"/>
      <c r="P706" s="293"/>
    </row>
    <row r="707">
      <c r="H707" s="182"/>
      <c r="N707" s="182"/>
      <c r="O707" s="293"/>
      <c r="P707" s="293"/>
    </row>
    <row r="708">
      <c r="H708" s="182"/>
      <c r="N708" s="182"/>
      <c r="O708" s="293"/>
      <c r="P708" s="293"/>
    </row>
    <row r="709">
      <c r="H709" s="182"/>
      <c r="N709" s="182"/>
      <c r="O709" s="293"/>
      <c r="P709" s="293"/>
    </row>
    <row r="710">
      <c r="H710" s="182"/>
      <c r="N710" s="182"/>
      <c r="O710" s="293"/>
      <c r="P710" s="293"/>
    </row>
    <row r="711">
      <c r="H711" s="182"/>
      <c r="N711" s="182"/>
      <c r="O711" s="293"/>
      <c r="P711" s="293"/>
    </row>
    <row r="712">
      <c r="H712" s="182"/>
      <c r="N712" s="182"/>
      <c r="O712" s="293"/>
      <c r="P712" s="293"/>
    </row>
    <row r="713">
      <c r="H713" s="182"/>
      <c r="N713" s="182"/>
      <c r="O713" s="293"/>
      <c r="P713" s="293"/>
    </row>
    <row r="714">
      <c r="H714" s="182"/>
      <c r="N714" s="182"/>
      <c r="O714" s="293"/>
      <c r="P714" s="293"/>
    </row>
    <row r="715">
      <c r="H715" s="182"/>
      <c r="N715" s="182"/>
      <c r="O715" s="293"/>
      <c r="P715" s="293"/>
    </row>
    <row r="716">
      <c r="H716" s="182"/>
      <c r="N716" s="182"/>
      <c r="O716" s="293"/>
      <c r="P716" s="293"/>
    </row>
    <row r="717">
      <c r="H717" s="182"/>
      <c r="N717" s="182"/>
      <c r="O717" s="293"/>
      <c r="P717" s="293"/>
    </row>
    <row r="718">
      <c r="H718" s="182"/>
      <c r="N718" s="182"/>
      <c r="O718" s="293"/>
      <c r="P718" s="293"/>
    </row>
    <row r="719">
      <c r="H719" s="182"/>
      <c r="N719" s="182"/>
      <c r="O719" s="293"/>
      <c r="P719" s="293"/>
    </row>
    <row r="720">
      <c r="H720" s="182"/>
      <c r="N720" s="182"/>
      <c r="O720" s="293"/>
      <c r="P720" s="293"/>
    </row>
    <row r="721">
      <c r="H721" s="182"/>
      <c r="N721" s="182"/>
      <c r="O721" s="293"/>
      <c r="P721" s="293"/>
    </row>
    <row r="722">
      <c r="H722" s="182"/>
      <c r="N722" s="182"/>
      <c r="O722" s="293"/>
      <c r="P722" s="293"/>
    </row>
    <row r="723">
      <c r="H723" s="182"/>
      <c r="N723" s="182"/>
      <c r="O723" s="293"/>
      <c r="P723" s="293"/>
    </row>
    <row r="724">
      <c r="H724" s="182"/>
      <c r="N724" s="182"/>
      <c r="O724" s="293"/>
      <c r="P724" s="293"/>
    </row>
    <row r="725">
      <c r="H725" s="182"/>
      <c r="N725" s="182"/>
      <c r="O725" s="293"/>
      <c r="P725" s="293"/>
    </row>
    <row r="726">
      <c r="H726" s="182"/>
      <c r="N726" s="182"/>
      <c r="O726" s="293"/>
      <c r="P726" s="293"/>
    </row>
    <row r="727">
      <c r="H727" s="182"/>
      <c r="N727" s="182"/>
      <c r="O727" s="293"/>
      <c r="P727" s="293"/>
    </row>
    <row r="728">
      <c r="H728" s="182"/>
      <c r="N728" s="182"/>
      <c r="O728" s="293"/>
      <c r="P728" s="293"/>
    </row>
    <row r="729">
      <c r="H729" s="182"/>
      <c r="N729" s="182"/>
      <c r="O729" s="293"/>
      <c r="P729" s="293"/>
    </row>
    <row r="730">
      <c r="H730" s="182"/>
      <c r="N730" s="182"/>
      <c r="O730" s="293"/>
      <c r="P730" s="293"/>
    </row>
    <row r="731">
      <c r="H731" s="182"/>
      <c r="N731" s="182"/>
      <c r="O731" s="293"/>
      <c r="P731" s="293"/>
    </row>
    <row r="732">
      <c r="H732" s="182"/>
      <c r="N732" s="182"/>
      <c r="O732" s="293"/>
      <c r="P732" s="293"/>
    </row>
    <row r="733">
      <c r="H733" s="182"/>
      <c r="N733" s="182"/>
      <c r="O733" s="293"/>
      <c r="P733" s="293"/>
    </row>
    <row r="734">
      <c r="H734" s="182"/>
      <c r="N734" s="182"/>
      <c r="O734" s="293"/>
      <c r="P734" s="293"/>
    </row>
    <row r="735">
      <c r="H735" s="182"/>
      <c r="N735" s="182"/>
      <c r="O735" s="293"/>
      <c r="P735" s="293"/>
    </row>
    <row r="736">
      <c r="H736" s="182"/>
      <c r="N736" s="182"/>
      <c r="O736" s="293"/>
      <c r="P736" s="293"/>
    </row>
    <row r="737">
      <c r="H737" s="182"/>
      <c r="N737" s="182"/>
      <c r="O737" s="293"/>
      <c r="P737" s="293"/>
    </row>
    <row r="738">
      <c r="H738" s="182"/>
      <c r="N738" s="182"/>
      <c r="O738" s="293"/>
      <c r="P738" s="293"/>
    </row>
    <row r="739">
      <c r="H739" s="182"/>
      <c r="N739" s="182"/>
      <c r="O739" s="293"/>
      <c r="P739" s="293"/>
    </row>
    <row r="740">
      <c r="H740" s="182"/>
      <c r="N740" s="182"/>
      <c r="O740" s="293"/>
      <c r="P740" s="293"/>
    </row>
    <row r="741">
      <c r="H741" s="182"/>
      <c r="N741" s="182"/>
      <c r="O741" s="293"/>
      <c r="P741" s="293"/>
    </row>
    <row r="742">
      <c r="H742" s="182"/>
      <c r="N742" s="182"/>
      <c r="O742" s="293"/>
      <c r="P742" s="293"/>
    </row>
    <row r="743">
      <c r="H743" s="182"/>
      <c r="N743" s="182"/>
      <c r="O743" s="293"/>
      <c r="P743" s="293"/>
    </row>
    <row r="744">
      <c r="H744" s="182"/>
      <c r="N744" s="182"/>
      <c r="O744" s="293"/>
      <c r="P744" s="293"/>
    </row>
    <row r="745">
      <c r="H745" s="182"/>
      <c r="N745" s="182"/>
      <c r="O745" s="293"/>
      <c r="P745" s="293"/>
    </row>
    <row r="746">
      <c r="H746" s="182"/>
      <c r="N746" s="182"/>
      <c r="O746" s="293"/>
      <c r="P746" s="293"/>
    </row>
    <row r="747">
      <c r="H747" s="182"/>
      <c r="N747" s="182"/>
      <c r="O747" s="293"/>
      <c r="P747" s="293"/>
    </row>
    <row r="748">
      <c r="H748" s="182"/>
      <c r="N748" s="182"/>
      <c r="O748" s="293"/>
      <c r="P748" s="293"/>
    </row>
    <row r="749">
      <c r="H749" s="182"/>
      <c r="N749" s="182"/>
      <c r="O749" s="293"/>
      <c r="P749" s="293"/>
    </row>
    <row r="750">
      <c r="H750" s="182"/>
      <c r="N750" s="182"/>
      <c r="O750" s="293"/>
      <c r="P750" s="293"/>
    </row>
    <row r="751">
      <c r="H751" s="182"/>
      <c r="N751" s="182"/>
      <c r="O751" s="293"/>
      <c r="P751" s="293"/>
    </row>
    <row r="752">
      <c r="H752" s="182"/>
      <c r="N752" s="182"/>
      <c r="O752" s="293"/>
      <c r="P752" s="293"/>
    </row>
    <row r="753">
      <c r="H753" s="182"/>
      <c r="N753" s="182"/>
      <c r="O753" s="293"/>
      <c r="P753" s="293"/>
    </row>
    <row r="754">
      <c r="H754" s="182"/>
      <c r="N754" s="182"/>
      <c r="O754" s="293"/>
      <c r="P754" s="293"/>
    </row>
    <row r="755">
      <c r="H755" s="182"/>
      <c r="N755" s="182"/>
      <c r="O755" s="293"/>
      <c r="P755" s="293"/>
    </row>
    <row r="756">
      <c r="H756" s="182"/>
      <c r="N756" s="182"/>
      <c r="O756" s="293"/>
      <c r="P756" s="293"/>
    </row>
    <row r="757">
      <c r="H757" s="182"/>
      <c r="N757" s="182"/>
      <c r="O757" s="293"/>
      <c r="P757" s="293"/>
    </row>
    <row r="758">
      <c r="H758" s="182"/>
      <c r="N758" s="182"/>
      <c r="O758" s="293"/>
      <c r="P758" s="293"/>
    </row>
    <row r="759">
      <c r="H759" s="182"/>
      <c r="N759" s="182"/>
      <c r="O759" s="293"/>
      <c r="P759" s="293"/>
    </row>
    <row r="760">
      <c r="H760" s="182"/>
      <c r="N760" s="182"/>
      <c r="O760" s="293"/>
      <c r="P760" s="293"/>
    </row>
    <row r="761">
      <c r="H761" s="182"/>
      <c r="N761" s="182"/>
      <c r="O761" s="293"/>
      <c r="P761" s="293"/>
    </row>
    <row r="762">
      <c r="H762" s="182"/>
      <c r="N762" s="182"/>
      <c r="O762" s="293"/>
      <c r="P762" s="293"/>
    </row>
    <row r="763">
      <c r="H763" s="182"/>
      <c r="N763" s="182"/>
      <c r="O763" s="293"/>
      <c r="P763" s="293"/>
    </row>
    <row r="764">
      <c r="H764" s="182"/>
      <c r="N764" s="182"/>
      <c r="O764" s="293"/>
      <c r="P764" s="293"/>
    </row>
    <row r="765">
      <c r="H765" s="182"/>
      <c r="N765" s="182"/>
      <c r="O765" s="293"/>
      <c r="P765" s="293"/>
    </row>
    <row r="766">
      <c r="H766" s="182"/>
      <c r="N766" s="182"/>
      <c r="O766" s="293"/>
      <c r="P766" s="293"/>
    </row>
    <row r="767">
      <c r="H767" s="182"/>
      <c r="N767" s="182"/>
      <c r="O767" s="293"/>
      <c r="P767" s="293"/>
    </row>
    <row r="768">
      <c r="H768" s="182"/>
      <c r="N768" s="182"/>
      <c r="O768" s="293"/>
      <c r="P768" s="293"/>
    </row>
    <row r="769">
      <c r="H769" s="182"/>
      <c r="N769" s="182"/>
      <c r="O769" s="293"/>
      <c r="P769" s="293"/>
    </row>
    <row r="770">
      <c r="H770" s="182"/>
      <c r="N770" s="182"/>
      <c r="O770" s="293"/>
      <c r="P770" s="293"/>
    </row>
    <row r="771">
      <c r="H771" s="182"/>
      <c r="N771" s="182"/>
      <c r="O771" s="293"/>
      <c r="P771" s="293"/>
    </row>
    <row r="772">
      <c r="H772" s="182"/>
      <c r="N772" s="182"/>
      <c r="O772" s="293"/>
      <c r="P772" s="293"/>
    </row>
    <row r="773">
      <c r="H773" s="182"/>
      <c r="N773" s="182"/>
      <c r="O773" s="293"/>
      <c r="P773" s="293"/>
    </row>
    <row r="774">
      <c r="H774" s="182"/>
      <c r="N774" s="182"/>
      <c r="O774" s="293"/>
      <c r="P774" s="293"/>
    </row>
    <row r="775">
      <c r="H775" s="182"/>
      <c r="N775" s="182"/>
      <c r="O775" s="293"/>
      <c r="P775" s="293"/>
    </row>
    <row r="776">
      <c r="H776" s="182"/>
      <c r="N776" s="182"/>
      <c r="O776" s="293"/>
      <c r="P776" s="293"/>
    </row>
    <row r="777">
      <c r="H777" s="182"/>
      <c r="N777" s="182"/>
      <c r="O777" s="293"/>
      <c r="P777" s="293"/>
    </row>
    <row r="778">
      <c r="H778" s="182"/>
      <c r="N778" s="182"/>
      <c r="O778" s="293"/>
      <c r="P778" s="293"/>
    </row>
    <row r="779">
      <c r="H779" s="182"/>
      <c r="N779" s="182"/>
      <c r="O779" s="293"/>
      <c r="P779" s="293"/>
    </row>
    <row r="780">
      <c r="H780" s="182"/>
      <c r="N780" s="182"/>
      <c r="O780" s="293"/>
      <c r="P780" s="293"/>
    </row>
    <row r="781">
      <c r="H781" s="182"/>
      <c r="N781" s="182"/>
      <c r="O781" s="293"/>
      <c r="P781" s="293"/>
    </row>
    <row r="782">
      <c r="H782" s="182"/>
      <c r="N782" s="182"/>
      <c r="O782" s="293"/>
      <c r="P782" s="293"/>
    </row>
    <row r="783">
      <c r="H783" s="182"/>
      <c r="N783" s="182"/>
      <c r="O783" s="293"/>
      <c r="P783" s="293"/>
    </row>
    <row r="784">
      <c r="H784" s="182"/>
      <c r="N784" s="182"/>
      <c r="O784" s="293"/>
      <c r="P784" s="293"/>
    </row>
    <row r="785">
      <c r="H785" s="182"/>
      <c r="N785" s="182"/>
      <c r="O785" s="293"/>
      <c r="P785" s="293"/>
    </row>
    <row r="786">
      <c r="H786" s="182"/>
      <c r="N786" s="182"/>
      <c r="O786" s="293"/>
      <c r="P786" s="293"/>
    </row>
    <row r="787">
      <c r="H787" s="182"/>
      <c r="N787" s="182"/>
      <c r="O787" s="293"/>
      <c r="P787" s="293"/>
    </row>
    <row r="788">
      <c r="H788" s="182"/>
      <c r="N788" s="182"/>
      <c r="O788" s="293"/>
      <c r="P788" s="293"/>
    </row>
    <row r="789">
      <c r="H789" s="182"/>
      <c r="N789" s="182"/>
      <c r="O789" s="293"/>
      <c r="P789" s="293"/>
    </row>
    <row r="790">
      <c r="H790" s="182"/>
      <c r="N790" s="182"/>
      <c r="O790" s="293"/>
      <c r="P790" s="293"/>
    </row>
    <row r="791">
      <c r="H791" s="182"/>
      <c r="N791" s="182"/>
      <c r="O791" s="293"/>
      <c r="P791" s="293"/>
    </row>
    <row r="792">
      <c r="H792" s="182"/>
      <c r="N792" s="182"/>
      <c r="O792" s="293"/>
      <c r="P792" s="293"/>
    </row>
    <row r="793">
      <c r="H793" s="182"/>
      <c r="N793" s="182"/>
      <c r="O793" s="293"/>
      <c r="P793" s="293"/>
    </row>
    <row r="794">
      <c r="H794" s="182"/>
      <c r="N794" s="182"/>
      <c r="O794" s="293"/>
      <c r="P794" s="293"/>
    </row>
    <row r="795">
      <c r="H795" s="182"/>
      <c r="N795" s="182"/>
      <c r="O795" s="293"/>
      <c r="P795" s="293"/>
    </row>
    <row r="796">
      <c r="H796" s="182"/>
      <c r="N796" s="182"/>
      <c r="O796" s="293"/>
      <c r="P796" s="293"/>
    </row>
    <row r="797">
      <c r="H797" s="182"/>
      <c r="N797" s="182"/>
      <c r="O797" s="293"/>
      <c r="P797" s="293"/>
    </row>
    <row r="798">
      <c r="H798" s="182"/>
      <c r="N798" s="182"/>
      <c r="O798" s="293"/>
      <c r="P798" s="293"/>
    </row>
    <row r="799">
      <c r="H799" s="182"/>
      <c r="N799" s="182"/>
      <c r="O799" s="293"/>
      <c r="P799" s="293"/>
    </row>
    <row r="800">
      <c r="H800" s="182"/>
      <c r="N800" s="182"/>
      <c r="O800" s="293"/>
      <c r="P800" s="293"/>
    </row>
    <row r="801">
      <c r="H801" s="182"/>
      <c r="N801" s="182"/>
      <c r="O801" s="293"/>
      <c r="P801" s="293"/>
    </row>
    <row r="802">
      <c r="H802" s="182"/>
      <c r="N802" s="182"/>
      <c r="O802" s="293"/>
      <c r="P802" s="293"/>
    </row>
    <row r="803">
      <c r="H803" s="182"/>
      <c r="N803" s="182"/>
      <c r="O803" s="293"/>
      <c r="P803" s="293"/>
    </row>
    <row r="804">
      <c r="H804" s="182"/>
      <c r="N804" s="182"/>
      <c r="O804" s="293"/>
      <c r="P804" s="293"/>
    </row>
    <row r="805">
      <c r="H805" s="182"/>
      <c r="N805" s="182"/>
      <c r="O805" s="293"/>
      <c r="P805" s="293"/>
    </row>
    <row r="806">
      <c r="H806" s="182"/>
      <c r="N806" s="182"/>
      <c r="O806" s="293"/>
      <c r="P806" s="293"/>
    </row>
    <row r="807">
      <c r="H807" s="182"/>
      <c r="N807" s="182"/>
      <c r="O807" s="293"/>
      <c r="P807" s="293"/>
    </row>
    <row r="808">
      <c r="H808" s="182"/>
      <c r="N808" s="182"/>
      <c r="O808" s="293"/>
      <c r="P808" s="293"/>
    </row>
    <row r="809">
      <c r="H809" s="182"/>
      <c r="N809" s="182"/>
      <c r="O809" s="293"/>
      <c r="P809" s="293"/>
    </row>
    <row r="810">
      <c r="H810" s="182"/>
      <c r="N810" s="182"/>
      <c r="O810" s="293"/>
      <c r="P810" s="293"/>
    </row>
    <row r="811">
      <c r="H811" s="182"/>
      <c r="N811" s="182"/>
      <c r="O811" s="293"/>
      <c r="P811" s="293"/>
    </row>
    <row r="812">
      <c r="H812" s="182"/>
      <c r="N812" s="182"/>
      <c r="O812" s="293"/>
      <c r="P812" s="293"/>
    </row>
    <row r="813">
      <c r="H813" s="182"/>
      <c r="N813" s="182"/>
      <c r="O813" s="293"/>
      <c r="P813" s="293"/>
    </row>
    <row r="814">
      <c r="H814" s="182"/>
      <c r="N814" s="182"/>
      <c r="O814" s="293"/>
      <c r="P814" s="293"/>
    </row>
    <row r="815">
      <c r="H815" s="182"/>
      <c r="N815" s="182"/>
      <c r="O815" s="293"/>
      <c r="P815" s="293"/>
    </row>
    <row r="816">
      <c r="H816" s="182"/>
      <c r="N816" s="182"/>
      <c r="O816" s="293"/>
      <c r="P816" s="293"/>
    </row>
    <row r="817">
      <c r="H817" s="182"/>
      <c r="N817" s="182"/>
      <c r="O817" s="293"/>
      <c r="P817" s="293"/>
    </row>
    <row r="818">
      <c r="H818" s="182"/>
      <c r="N818" s="182"/>
      <c r="O818" s="293"/>
      <c r="P818" s="293"/>
    </row>
    <row r="819">
      <c r="H819" s="182"/>
      <c r="N819" s="182"/>
      <c r="O819" s="293"/>
      <c r="P819" s="293"/>
    </row>
    <row r="820">
      <c r="H820" s="182"/>
      <c r="N820" s="182"/>
      <c r="O820" s="293"/>
      <c r="P820" s="293"/>
    </row>
    <row r="821">
      <c r="H821" s="182"/>
      <c r="N821" s="182"/>
      <c r="O821" s="293"/>
      <c r="P821" s="293"/>
    </row>
    <row r="822">
      <c r="H822" s="182"/>
      <c r="N822" s="182"/>
      <c r="O822" s="293"/>
      <c r="P822" s="293"/>
    </row>
    <row r="823">
      <c r="H823" s="182"/>
      <c r="N823" s="182"/>
      <c r="O823" s="293"/>
      <c r="P823" s="293"/>
    </row>
    <row r="824">
      <c r="H824" s="182"/>
      <c r="N824" s="182"/>
      <c r="O824" s="293"/>
      <c r="P824" s="293"/>
    </row>
    <row r="825">
      <c r="H825" s="182"/>
      <c r="N825" s="182"/>
      <c r="O825" s="293"/>
      <c r="P825" s="293"/>
    </row>
    <row r="826">
      <c r="H826" s="182"/>
      <c r="N826" s="182"/>
      <c r="O826" s="293"/>
      <c r="P826" s="293"/>
    </row>
    <row r="827">
      <c r="H827" s="182"/>
      <c r="N827" s="182"/>
      <c r="O827" s="293"/>
      <c r="P827" s="293"/>
    </row>
    <row r="828">
      <c r="H828" s="182"/>
      <c r="N828" s="182"/>
      <c r="O828" s="293"/>
      <c r="P828" s="293"/>
    </row>
    <row r="829">
      <c r="H829" s="182"/>
      <c r="N829" s="182"/>
      <c r="O829" s="293"/>
      <c r="P829" s="293"/>
    </row>
    <row r="830">
      <c r="H830" s="182"/>
      <c r="N830" s="182"/>
      <c r="O830" s="293"/>
      <c r="P830" s="293"/>
    </row>
    <row r="831">
      <c r="H831" s="182"/>
      <c r="N831" s="182"/>
      <c r="O831" s="293"/>
      <c r="P831" s="293"/>
    </row>
    <row r="832">
      <c r="H832" s="182"/>
      <c r="N832" s="182"/>
      <c r="O832" s="293"/>
      <c r="P832" s="293"/>
    </row>
    <row r="833">
      <c r="H833" s="182"/>
      <c r="N833" s="182"/>
      <c r="O833" s="293"/>
      <c r="P833" s="293"/>
    </row>
    <row r="834">
      <c r="H834" s="182"/>
      <c r="N834" s="182"/>
      <c r="O834" s="293"/>
      <c r="P834" s="293"/>
    </row>
    <row r="835">
      <c r="H835" s="182"/>
      <c r="N835" s="182"/>
      <c r="O835" s="293"/>
      <c r="P835" s="293"/>
    </row>
    <row r="836">
      <c r="H836" s="182"/>
      <c r="N836" s="182"/>
      <c r="O836" s="293"/>
      <c r="P836" s="293"/>
    </row>
    <row r="837">
      <c r="H837" s="182"/>
      <c r="N837" s="182"/>
      <c r="O837" s="293"/>
      <c r="P837" s="293"/>
    </row>
    <row r="838">
      <c r="H838" s="182"/>
      <c r="N838" s="182"/>
      <c r="O838" s="293"/>
      <c r="P838" s="293"/>
    </row>
    <row r="839">
      <c r="H839" s="182"/>
      <c r="N839" s="182"/>
      <c r="O839" s="293"/>
      <c r="P839" s="293"/>
    </row>
    <row r="840">
      <c r="H840" s="182"/>
      <c r="N840" s="182"/>
      <c r="O840" s="293"/>
      <c r="P840" s="293"/>
    </row>
    <row r="841">
      <c r="H841" s="182"/>
      <c r="N841" s="182"/>
      <c r="O841" s="293"/>
      <c r="P841" s="293"/>
    </row>
    <row r="842">
      <c r="H842" s="182"/>
      <c r="N842" s="182"/>
      <c r="O842" s="293"/>
      <c r="P842" s="293"/>
    </row>
    <row r="843">
      <c r="H843" s="182"/>
      <c r="N843" s="182"/>
      <c r="O843" s="293"/>
      <c r="P843" s="293"/>
    </row>
    <row r="844">
      <c r="H844" s="182"/>
      <c r="N844" s="182"/>
      <c r="O844" s="293"/>
      <c r="P844" s="293"/>
    </row>
    <row r="845">
      <c r="H845" s="182"/>
      <c r="N845" s="182"/>
      <c r="O845" s="293"/>
      <c r="P845" s="293"/>
    </row>
    <row r="846">
      <c r="H846" s="182"/>
      <c r="N846" s="182"/>
      <c r="O846" s="293"/>
      <c r="P846" s="293"/>
    </row>
    <row r="847">
      <c r="H847" s="182"/>
      <c r="N847" s="182"/>
      <c r="O847" s="293"/>
      <c r="P847" s="293"/>
    </row>
    <row r="848">
      <c r="H848" s="182"/>
      <c r="N848" s="182"/>
      <c r="O848" s="293"/>
      <c r="P848" s="293"/>
    </row>
    <row r="849">
      <c r="H849" s="182"/>
      <c r="N849" s="182"/>
      <c r="O849" s="293"/>
      <c r="P849" s="293"/>
    </row>
    <row r="850">
      <c r="H850" s="182"/>
      <c r="N850" s="182"/>
      <c r="O850" s="293"/>
      <c r="P850" s="293"/>
    </row>
    <row r="851">
      <c r="H851" s="182"/>
      <c r="N851" s="182"/>
      <c r="O851" s="293"/>
      <c r="P851" s="293"/>
    </row>
    <row r="852">
      <c r="H852" s="182"/>
      <c r="N852" s="182"/>
      <c r="O852" s="293"/>
      <c r="P852" s="293"/>
    </row>
    <row r="853">
      <c r="H853" s="182"/>
      <c r="N853" s="182"/>
      <c r="O853" s="293"/>
      <c r="P853" s="293"/>
    </row>
    <row r="854">
      <c r="H854" s="182"/>
      <c r="N854" s="182"/>
      <c r="O854" s="293"/>
      <c r="P854" s="293"/>
    </row>
    <row r="855">
      <c r="H855" s="182"/>
      <c r="N855" s="182"/>
      <c r="O855" s="293"/>
      <c r="P855" s="293"/>
    </row>
    <row r="856">
      <c r="H856" s="182"/>
      <c r="N856" s="182"/>
      <c r="O856" s="293"/>
      <c r="P856" s="293"/>
    </row>
    <row r="857">
      <c r="H857" s="182"/>
      <c r="N857" s="182"/>
      <c r="O857" s="293"/>
      <c r="P857" s="293"/>
    </row>
    <row r="858">
      <c r="H858" s="182"/>
      <c r="N858" s="182"/>
      <c r="O858" s="293"/>
      <c r="P858" s="293"/>
    </row>
    <row r="859">
      <c r="H859" s="182"/>
      <c r="N859" s="182"/>
      <c r="O859" s="293"/>
      <c r="P859" s="293"/>
    </row>
    <row r="860">
      <c r="H860" s="182"/>
      <c r="N860" s="182"/>
      <c r="O860" s="293"/>
      <c r="P860" s="293"/>
    </row>
    <row r="861">
      <c r="H861" s="182"/>
      <c r="N861" s="182"/>
      <c r="O861" s="293"/>
      <c r="P861" s="293"/>
    </row>
    <row r="862">
      <c r="H862" s="182"/>
      <c r="N862" s="182"/>
      <c r="O862" s="293"/>
      <c r="P862" s="293"/>
    </row>
    <row r="863">
      <c r="H863" s="182"/>
      <c r="N863" s="182"/>
      <c r="O863" s="293"/>
      <c r="P863" s="293"/>
    </row>
    <row r="864">
      <c r="H864" s="182"/>
      <c r="N864" s="182"/>
      <c r="O864" s="293"/>
      <c r="P864" s="293"/>
    </row>
    <row r="865">
      <c r="H865" s="182"/>
      <c r="N865" s="182"/>
      <c r="O865" s="293"/>
      <c r="P865" s="293"/>
    </row>
    <row r="866">
      <c r="H866" s="182"/>
      <c r="N866" s="182"/>
      <c r="O866" s="293"/>
      <c r="P866" s="293"/>
    </row>
    <row r="867">
      <c r="H867" s="182"/>
      <c r="N867" s="182"/>
      <c r="O867" s="293"/>
      <c r="P867" s="293"/>
    </row>
    <row r="868">
      <c r="H868" s="182"/>
      <c r="N868" s="182"/>
      <c r="O868" s="293"/>
      <c r="P868" s="293"/>
    </row>
    <row r="869">
      <c r="H869" s="182"/>
      <c r="N869" s="182"/>
      <c r="O869" s="293"/>
      <c r="P869" s="293"/>
    </row>
    <row r="870">
      <c r="H870" s="182"/>
      <c r="N870" s="182"/>
      <c r="O870" s="293"/>
      <c r="P870" s="293"/>
    </row>
    <row r="871">
      <c r="H871" s="182"/>
      <c r="N871" s="182"/>
      <c r="O871" s="293"/>
      <c r="P871" s="293"/>
    </row>
    <row r="872">
      <c r="H872" s="182"/>
      <c r="N872" s="182"/>
      <c r="O872" s="293"/>
      <c r="P872" s="293"/>
    </row>
    <row r="873">
      <c r="H873" s="182"/>
      <c r="N873" s="182"/>
      <c r="O873" s="293"/>
      <c r="P873" s="293"/>
    </row>
    <row r="874">
      <c r="H874" s="182"/>
      <c r="N874" s="182"/>
      <c r="O874" s="293"/>
      <c r="P874" s="293"/>
    </row>
    <row r="875">
      <c r="H875" s="182"/>
      <c r="N875" s="182"/>
      <c r="O875" s="293"/>
      <c r="P875" s="293"/>
    </row>
    <row r="876">
      <c r="H876" s="182"/>
      <c r="N876" s="182"/>
      <c r="O876" s="293"/>
      <c r="P876" s="293"/>
    </row>
    <row r="877">
      <c r="H877" s="182"/>
      <c r="N877" s="182"/>
      <c r="O877" s="293"/>
      <c r="P877" s="293"/>
    </row>
    <row r="878">
      <c r="H878" s="182"/>
      <c r="N878" s="182"/>
      <c r="O878" s="293"/>
      <c r="P878" s="293"/>
    </row>
    <row r="879">
      <c r="H879" s="182"/>
      <c r="N879" s="182"/>
      <c r="O879" s="293"/>
      <c r="P879" s="293"/>
    </row>
    <row r="880">
      <c r="H880" s="182"/>
      <c r="N880" s="182"/>
      <c r="O880" s="293"/>
      <c r="P880" s="293"/>
    </row>
    <row r="881">
      <c r="H881" s="182"/>
      <c r="N881" s="182"/>
      <c r="O881" s="293"/>
      <c r="P881" s="293"/>
    </row>
    <row r="882">
      <c r="H882" s="182"/>
      <c r="N882" s="182"/>
      <c r="O882" s="293"/>
      <c r="P882" s="293"/>
    </row>
    <row r="883">
      <c r="H883" s="182"/>
      <c r="N883" s="182"/>
      <c r="O883" s="293"/>
      <c r="P883" s="293"/>
    </row>
    <row r="884">
      <c r="H884" s="182"/>
      <c r="N884" s="182"/>
      <c r="O884" s="293"/>
      <c r="P884" s="293"/>
    </row>
    <row r="885">
      <c r="H885" s="182"/>
      <c r="N885" s="182"/>
      <c r="O885" s="293"/>
      <c r="P885" s="293"/>
    </row>
    <row r="886">
      <c r="H886" s="182"/>
      <c r="N886" s="182"/>
      <c r="O886" s="293"/>
      <c r="P886" s="293"/>
    </row>
    <row r="887">
      <c r="H887" s="182"/>
      <c r="N887" s="182"/>
      <c r="O887" s="293"/>
      <c r="P887" s="293"/>
    </row>
    <row r="888">
      <c r="H888" s="182"/>
      <c r="N888" s="182"/>
      <c r="O888" s="293"/>
      <c r="P888" s="293"/>
    </row>
    <row r="889">
      <c r="H889" s="182"/>
      <c r="N889" s="182"/>
      <c r="O889" s="293"/>
      <c r="P889" s="293"/>
    </row>
    <row r="890">
      <c r="H890" s="182"/>
      <c r="N890" s="182"/>
      <c r="O890" s="293"/>
      <c r="P890" s="293"/>
    </row>
    <row r="891">
      <c r="H891" s="182"/>
      <c r="N891" s="182"/>
      <c r="O891" s="293"/>
      <c r="P891" s="293"/>
    </row>
    <row r="892">
      <c r="H892" s="182"/>
      <c r="N892" s="182"/>
      <c r="O892" s="293"/>
      <c r="P892" s="293"/>
    </row>
    <row r="893">
      <c r="H893" s="182"/>
      <c r="N893" s="182"/>
      <c r="O893" s="293"/>
      <c r="P893" s="293"/>
    </row>
    <row r="894">
      <c r="H894" s="182"/>
      <c r="N894" s="182"/>
      <c r="O894" s="293"/>
      <c r="P894" s="293"/>
    </row>
    <row r="895">
      <c r="H895" s="182"/>
      <c r="N895" s="182"/>
      <c r="O895" s="293"/>
      <c r="P895" s="293"/>
    </row>
    <row r="896">
      <c r="H896" s="182"/>
      <c r="N896" s="182"/>
      <c r="O896" s="293"/>
      <c r="P896" s="293"/>
    </row>
    <row r="897">
      <c r="H897" s="182"/>
      <c r="N897" s="182"/>
      <c r="O897" s="293"/>
      <c r="P897" s="293"/>
    </row>
    <row r="898">
      <c r="H898" s="182"/>
      <c r="N898" s="182"/>
      <c r="O898" s="293"/>
      <c r="P898" s="293"/>
    </row>
    <row r="899">
      <c r="H899" s="182"/>
      <c r="N899" s="182"/>
      <c r="O899" s="293"/>
      <c r="P899" s="293"/>
    </row>
    <row r="900">
      <c r="H900" s="182"/>
      <c r="N900" s="182"/>
      <c r="O900" s="293"/>
      <c r="P900" s="293"/>
    </row>
    <row r="901">
      <c r="H901" s="182"/>
      <c r="N901" s="182"/>
      <c r="O901" s="293"/>
      <c r="P901" s="293"/>
    </row>
    <row r="902">
      <c r="H902" s="182"/>
      <c r="N902" s="182"/>
      <c r="O902" s="293"/>
      <c r="P902" s="293"/>
    </row>
    <row r="903">
      <c r="H903" s="182"/>
      <c r="N903" s="182"/>
      <c r="O903" s="293"/>
      <c r="P903" s="293"/>
    </row>
    <row r="904">
      <c r="H904" s="182"/>
      <c r="N904" s="182"/>
      <c r="O904" s="293"/>
      <c r="P904" s="293"/>
    </row>
    <row r="905">
      <c r="H905" s="182"/>
      <c r="N905" s="182"/>
      <c r="O905" s="293"/>
      <c r="P905" s="293"/>
    </row>
    <row r="906">
      <c r="H906" s="182"/>
      <c r="N906" s="182"/>
      <c r="O906" s="293"/>
      <c r="P906" s="293"/>
    </row>
    <row r="907">
      <c r="H907" s="182"/>
      <c r="N907" s="182"/>
      <c r="O907" s="293"/>
      <c r="P907" s="293"/>
    </row>
    <row r="908">
      <c r="H908" s="182"/>
      <c r="N908" s="182"/>
      <c r="O908" s="293"/>
      <c r="P908" s="293"/>
    </row>
    <row r="909">
      <c r="H909" s="182"/>
      <c r="N909" s="182"/>
      <c r="O909" s="293"/>
      <c r="P909" s="293"/>
    </row>
    <row r="910">
      <c r="H910" s="182"/>
      <c r="N910" s="182"/>
      <c r="O910" s="293"/>
      <c r="P910" s="293"/>
    </row>
    <row r="911">
      <c r="H911" s="182"/>
      <c r="N911" s="182"/>
      <c r="O911" s="293"/>
      <c r="P911" s="293"/>
    </row>
    <row r="912">
      <c r="H912" s="182"/>
      <c r="N912" s="182"/>
      <c r="O912" s="293"/>
      <c r="P912" s="293"/>
    </row>
    <row r="913">
      <c r="H913" s="182"/>
      <c r="N913" s="182"/>
      <c r="O913" s="293"/>
      <c r="P913" s="293"/>
    </row>
    <row r="914">
      <c r="H914" s="182"/>
      <c r="N914" s="182"/>
      <c r="O914" s="293"/>
      <c r="P914" s="293"/>
    </row>
    <row r="915">
      <c r="H915" s="182"/>
      <c r="N915" s="182"/>
      <c r="O915" s="293"/>
      <c r="P915" s="293"/>
    </row>
    <row r="916">
      <c r="H916" s="182"/>
      <c r="N916" s="182"/>
      <c r="O916" s="293"/>
      <c r="P916" s="293"/>
    </row>
    <row r="917">
      <c r="H917" s="182"/>
      <c r="N917" s="182"/>
      <c r="O917" s="293"/>
      <c r="P917" s="293"/>
    </row>
    <row r="918">
      <c r="H918" s="182"/>
      <c r="N918" s="182"/>
      <c r="O918" s="293"/>
      <c r="P918" s="293"/>
    </row>
    <row r="919">
      <c r="H919" s="182"/>
      <c r="N919" s="182"/>
      <c r="O919" s="293"/>
      <c r="P919" s="293"/>
    </row>
    <row r="920">
      <c r="H920" s="182"/>
      <c r="N920" s="182"/>
      <c r="O920" s="293"/>
      <c r="P920" s="293"/>
    </row>
    <row r="921">
      <c r="H921" s="182"/>
      <c r="N921" s="182"/>
      <c r="O921" s="293"/>
      <c r="P921" s="293"/>
    </row>
    <row r="922">
      <c r="H922" s="182"/>
      <c r="N922" s="182"/>
      <c r="O922" s="293"/>
      <c r="P922" s="293"/>
    </row>
    <row r="923">
      <c r="H923" s="182"/>
      <c r="N923" s="182"/>
      <c r="O923" s="293"/>
      <c r="P923" s="293"/>
    </row>
    <row r="924">
      <c r="H924" s="182"/>
      <c r="N924" s="182"/>
      <c r="O924" s="293"/>
      <c r="P924" s="293"/>
    </row>
    <row r="925">
      <c r="H925" s="182"/>
      <c r="N925" s="182"/>
      <c r="O925" s="293"/>
      <c r="P925" s="293"/>
    </row>
    <row r="926">
      <c r="H926" s="182"/>
      <c r="N926" s="182"/>
      <c r="O926" s="293"/>
      <c r="P926" s="293"/>
    </row>
    <row r="927">
      <c r="H927" s="182"/>
      <c r="N927" s="182"/>
      <c r="O927" s="293"/>
      <c r="P927" s="293"/>
    </row>
    <row r="928">
      <c r="H928" s="182"/>
      <c r="N928" s="182"/>
      <c r="O928" s="293"/>
      <c r="P928" s="293"/>
    </row>
    <row r="929">
      <c r="H929" s="182"/>
      <c r="N929" s="182"/>
      <c r="O929" s="293"/>
      <c r="P929" s="293"/>
    </row>
    <row r="930">
      <c r="H930" s="182"/>
      <c r="N930" s="182"/>
      <c r="O930" s="293"/>
      <c r="P930" s="293"/>
    </row>
    <row r="931">
      <c r="H931" s="182"/>
      <c r="N931" s="182"/>
      <c r="O931" s="293"/>
      <c r="P931" s="293"/>
    </row>
    <row r="932">
      <c r="H932" s="182"/>
      <c r="N932" s="182"/>
      <c r="O932" s="293"/>
      <c r="P932" s="293"/>
    </row>
    <row r="933">
      <c r="H933" s="182"/>
      <c r="N933" s="182"/>
      <c r="O933" s="293"/>
      <c r="P933" s="293"/>
    </row>
    <row r="934">
      <c r="H934" s="182"/>
      <c r="N934" s="182"/>
      <c r="O934" s="293"/>
      <c r="P934" s="293"/>
    </row>
    <row r="935">
      <c r="H935" s="182"/>
      <c r="N935" s="182"/>
      <c r="O935" s="293"/>
      <c r="P935" s="293"/>
    </row>
    <row r="936">
      <c r="H936" s="182"/>
      <c r="N936" s="182"/>
      <c r="O936" s="293"/>
      <c r="P936" s="293"/>
    </row>
    <row r="937">
      <c r="H937" s="182"/>
      <c r="N937" s="182"/>
      <c r="O937" s="293"/>
      <c r="P937" s="293"/>
    </row>
    <row r="938">
      <c r="H938" s="182"/>
      <c r="N938" s="182"/>
      <c r="O938" s="293"/>
      <c r="P938" s="293"/>
    </row>
    <row r="939">
      <c r="H939" s="182"/>
      <c r="N939" s="182"/>
      <c r="O939" s="293"/>
      <c r="P939" s="293"/>
    </row>
    <row r="940">
      <c r="H940" s="182"/>
      <c r="N940" s="182"/>
      <c r="O940" s="293"/>
      <c r="P940" s="293"/>
    </row>
    <row r="941">
      <c r="H941" s="182"/>
      <c r="N941" s="182"/>
      <c r="O941" s="293"/>
      <c r="P941" s="293"/>
    </row>
    <row r="942">
      <c r="H942" s="182"/>
      <c r="N942" s="182"/>
      <c r="O942" s="293"/>
      <c r="P942" s="293"/>
    </row>
    <row r="943">
      <c r="H943" s="182"/>
      <c r="N943" s="182"/>
      <c r="O943" s="293"/>
      <c r="P943" s="293"/>
    </row>
    <row r="944">
      <c r="H944" s="182"/>
      <c r="N944" s="182"/>
      <c r="O944" s="293"/>
      <c r="P944" s="293"/>
    </row>
    <row r="945">
      <c r="H945" s="182"/>
      <c r="N945" s="182"/>
      <c r="O945" s="293"/>
      <c r="P945" s="293"/>
    </row>
    <row r="946">
      <c r="H946" s="182"/>
      <c r="N946" s="182"/>
      <c r="O946" s="293"/>
      <c r="P946" s="293"/>
    </row>
    <row r="947">
      <c r="H947" s="182"/>
      <c r="N947" s="182"/>
      <c r="O947" s="293"/>
      <c r="P947" s="293"/>
    </row>
    <row r="948">
      <c r="H948" s="182"/>
      <c r="N948" s="182"/>
      <c r="O948" s="293"/>
      <c r="P948" s="293"/>
    </row>
    <row r="949">
      <c r="H949" s="182"/>
      <c r="N949" s="182"/>
      <c r="O949" s="293"/>
      <c r="P949" s="293"/>
    </row>
    <row r="950">
      <c r="H950" s="182"/>
      <c r="N950" s="182"/>
      <c r="O950" s="293"/>
      <c r="P950" s="293"/>
    </row>
    <row r="951">
      <c r="H951" s="182"/>
      <c r="N951" s="182"/>
      <c r="O951" s="293"/>
      <c r="P951" s="293"/>
    </row>
    <row r="952">
      <c r="H952" s="182"/>
      <c r="N952" s="182"/>
      <c r="O952" s="293"/>
      <c r="P952" s="293"/>
    </row>
    <row r="953">
      <c r="H953" s="182"/>
      <c r="N953" s="182"/>
      <c r="O953" s="293"/>
      <c r="P953" s="293"/>
    </row>
    <row r="954">
      <c r="H954" s="182"/>
      <c r="N954" s="182"/>
      <c r="O954" s="293"/>
      <c r="P954" s="293"/>
    </row>
    <row r="955">
      <c r="H955" s="182"/>
      <c r="N955" s="182"/>
      <c r="O955" s="293"/>
      <c r="P955" s="293"/>
    </row>
    <row r="956">
      <c r="H956" s="182"/>
      <c r="N956" s="182"/>
      <c r="O956" s="293"/>
      <c r="P956" s="293"/>
    </row>
    <row r="957">
      <c r="H957" s="182"/>
      <c r="N957" s="182"/>
      <c r="O957" s="293"/>
      <c r="P957" s="293"/>
    </row>
    <row r="958">
      <c r="H958" s="182"/>
      <c r="N958" s="182"/>
      <c r="O958" s="293"/>
      <c r="P958" s="293"/>
    </row>
    <row r="959">
      <c r="H959" s="182"/>
      <c r="N959" s="182"/>
      <c r="O959" s="293"/>
      <c r="P959" s="293"/>
    </row>
    <row r="960">
      <c r="H960" s="182"/>
      <c r="N960" s="182"/>
      <c r="O960" s="293"/>
      <c r="P960" s="293"/>
    </row>
    <row r="961">
      <c r="H961" s="182"/>
      <c r="N961" s="182"/>
      <c r="O961" s="293"/>
      <c r="P961" s="293"/>
    </row>
    <row r="962">
      <c r="H962" s="182"/>
      <c r="N962" s="182"/>
      <c r="O962" s="293"/>
      <c r="P962" s="293"/>
    </row>
    <row r="963">
      <c r="H963" s="182"/>
      <c r="N963" s="182"/>
      <c r="O963" s="293"/>
      <c r="P963" s="293"/>
    </row>
    <row r="964">
      <c r="H964" s="182"/>
      <c r="N964" s="182"/>
      <c r="O964" s="293"/>
      <c r="P964" s="293"/>
    </row>
    <row r="965">
      <c r="H965" s="182"/>
      <c r="N965" s="182"/>
      <c r="O965" s="293"/>
      <c r="P965" s="293"/>
    </row>
    <row r="966">
      <c r="H966" s="182"/>
      <c r="N966" s="182"/>
      <c r="O966" s="293"/>
      <c r="P966" s="293"/>
    </row>
    <row r="967">
      <c r="H967" s="182"/>
      <c r="N967" s="182"/>
      <c r="O967" s="293"/>
      <c r="P967" s="293"/>
    </row>
    <row r="968">
      <c r="H968" s="182"/>
      <c r="N968" s="182"/>
      <c r="O968" s="293"/>
      <c r="P968" s="293"/>
    </row>
    <row r="969">
      <c r="H969" s="182"/>
      <c r="N969" s="182"/>
      <c r="O969" s="293"/>
      <c r="P969" s="293"/>
    </row>
    <row r="970">
      <c r="H970" s="182"/>
      <c r="N970" s="182"/>
      <c r="O970" s="293"/>
      <c r="P970" s="293"/>
    </row>
    <row r="971">
      <c r="H971" s="182"/>
      <c r="N971" s="182"/>
      <c r="O971" s="293"/>
      <c r="P971" s="293"/>
    </row>
    <row r="972">
      <c r="H972" s="182"/>
      <c r="N972" s="182"/>
      <c r="O972" s="293"/>
      <c r="P972" s="293"/>
    </row>
    <row r="973">
      <c r="H973" s="182"/>
      <c r="N973" s="182"/>
      <c r="O973" s="293"/>
      <c r="P973" s="293"/>
    </row>
    <row r="974">
      <c r="H974" s="182"/>
      <c r="N974" s="182"/>
      <c r="O974" s="293"/>
      <c r="P974" s="293"/>
    </row>
    <row r="975">
      <c r="H975" s="182"/>
      <c r="N975" s="182"/>
      <c r="O975" s="293"/>
      <c r="P975" s="293"/>
    </row>
    <row r="976">
      <c r="H976" s="182"/>
      <c r="N976" s="182"/>
      <c r="O976" s="293"/>
      <c r="P976" s="293"/>
    </row>
    <row r="977">
      <c r="H977" s="182"/>
      <c r="N977" s="182"/>
      <c r="O977" s="293"/>
      <c r="P977" s="293"/>
    </row>
    <row r="978">
      <c r="H978" s="182"/>
      <c r="N978" s="182"/>
      <c r="O978" s="293"/>
      <c r="P978" s="293"/>
    </row>
    <row r="979">
      <c r="H979" s="182"/>
      <c r="N979" s="182"/>
      <c r="O979" s="293"/>
      <c r="P979" s="293"/>
    </row>
    <row r="980">
      <c r="H980" s="182"/>
      <c r="N980" s="182"/>
      <c r="O980" s="293"/>
      <c r="P980" s="293"/>
    </row>
    <row r="981">
      <c r="H981" s="182"/>
      <c r="N981" s="182"/>
      <c r="O981" s="293"/>
      <c r="P981" s="293"/>
    </row>
    <row r="982">
      <c r="H982" s="182"/>
      <c r="N982" s="182"/>
      <c r="O982" s="293"/>
      <c r="P982" s="293"/>
    </row>
    <row r="983">
      <c r="H983" s="182"/>
      <c r="N983" s="182"/>
      <c r="O983" s="293"/>
      <c r="P983" s="293"/>
    </row>
    <row r="984">
      <c r="H984" s="182"/>
      <c r="N984" s="182"/>
      <c r="O984" s="293"/>
      <c r="P984" s="293"/>
    </row>
    <row r="985">
      <c r="H985" s="182"/>
      <c r="N985" s="182"/>
      <c r="O985" s="293"/>
      <c r="P985" s="293"/>
    </row>
    <row r="986">
      <c r="H986" s="182"/>
      <c r="N986" s="182"/>
      <c r="O986" s="293"/>
      <c r="P986" s="293"/>
    </row>
    <row r="987">
      <c r="H987" s="182"/>
      <c r="N987" s="182"/>
      <c r="O987" s="293"/>
      <c r="P987" s="293"/>
    </row>
    <row r="988">
      <c r="H988" s="182"/>
      <c r="N988" s="182"/>
      <c r="O988" s="293"/>
      <c r="P988" s="293"/>
    </row>
    <row r="989">
      <c r="H989" s="182"/>
      <c r="N989" s="182"/>
      <c r="O989" s="293"/>
      <c r="P989" s="293"/>
    </row>
    <row r="990">
      <c r="H990" s="182"/>
      <c r="N990" s="182"/>
      <c r="O990" s="293"/>
      <c r="P990" s="293"/>
    </row>
    <row r="991">
      <c r="H991" s="182"/>
      <c r="N991" s="182"/>
      <c r="O991" s="293"/>
      <c r="P991" s="293"/>
    </row>
    <row r="992">
      <c r="H992" s="182"/>
      <c r="N992" s="182"/>
      <c r="O992" s="293"/>
      <c r="P992" s="293"/>
    </row>
    <row r="993">
      <c r="H993" s="182"/>
      <c r="N993" s="182"/>
      <c r="O993" s="293"/>
      <c r="P993" s="293"/>
    </row>
    <row r="994">
      <c r="H994" s="182"/>
      <c r="N994" s="182"/>
      <c r="O994" s="293"/>
      <c r="P994" s="293"/>
    </row>
    <row r="995">
      <c r="H995" s="182"/>
      <c r="N995" s="182"/>
      <c r="O995" s="293"/>
      <c r="P995" s="293"/>
    </row>
    <row r="996">
      <c r="H996" s="182"/>
      <c r="N996" s="182"/>
      <c r="O996" s="293"/>
      <c r="P996" s="293"/>
    </row>
    <row r="997">
      <c r="H997" s="182"/>
      <c r="N997" s="182"/>
      <c r="O997" s="293"/>
      <c r="P997" s="293"/>
    </row>
    <row r="998">
      <c r="H998" s="182"/>
      <c r="N998" s="182"/>
      <c r="O998" s="293"/>
      <c r="P998" s="293"/>
    </row>
    <row r="999">
      <c r="H999" s="182"/>
      <c r="N999" s="182"/>
      <c r="O999" s="293"/>
      <c r="P999" s="293"/>
    </row>
    <row r="1000">
      <c r="H1000" s="182"/>
      <c r="N1000" s="182"/>
      <c r="O1000" s="293"/>
      <c r="P1000" s="293"/>
    </row>
  </sheetData>
  <mergeCells count="479">
    <mergeCell ref="D3:D4"/>
    <mergeCell ref="B5:I5"/>
    <mergeCell ref="B6:B10"/>
    <mergeCell ref="C6:C10"/>
    <mergeCell ref="D6:D10"/>
    <mergeCell ref="J6:J10"/>
    <mergeCell ref="B11:I11"/>
    <mergeCell ref="B17:I17"/>
    <mergeCell ref="A6:A10"/>
    <mergeCell ref="A12:A16"/>
    <mergeCell ref="B12:B16"/>
    <mergeCell ref="C12:C16"/>
    <mergeCell ref="D12:D16"/>
    <mergeCell ref="B18:B37"/>
    <mergeCell ref="B38:I38"/>
    <mergeCell ref="E3:G3"/>
    <mergeCell ref="H3:H4"/>
    <mergeCell ref="M3:M4"/>
    <mergeCell ref="N3:N4"/>
    <mergeCell ref="P3:P5"/>
    <mergeCell ref="A1:O1"/>
    <mergeCell ref="A2:I2"/>
    <mergeCell ref="L2:M2"/>
    <mergeCell ref="A3:A4"/>
    <mergeCell ref="B3:B4"/>
    <mergeCell ref="C3:C4"/>
    <mergeCell ref="O3:O4"/>
    <mergeCell ref="K6:K10"/>
    <mergeCell ref="L6:L10"/>
    <mergeCell ref="M6:M10"/>
    <mergeCell ref="N6:N10"/>
    <mergeCell ref="O6:O10"/>
    <mergeCell ref="P6:P10"/>
    <mergeCell ref="O12:O16"/>
    <mergeCell ref="P12:P16"/>
    <mergeCell ref="B44:I44"/>
    <mergeCell ref="B50:I50"/>
    <mergeCell ref="J39:J43"/>
    <mergeCell ref="K39:K43"/>
    <mergeCell ref="L39:L43"/>
    <mergeCell ref="M39:M43"/>
    <mergeCell ref="N39:N43"/>
    <mergeCell ref="O39:O43"/>
    <mergeCell ref="P39:P43"/>
    <mergeCell ref="C45:C49"/>
    <mergeCell ref="D45:D49"/>
    <mergeCell ref="J45:J49"/>
    <mergeCell ref="K45:K49"/>
    <mergeCell ref="L45:L49"/>
    <mergeCell ref="M45:M49"/>
    <mergeCell ref="N45:N49"/>
    <mergeCell ref="O51:O55"/>
    <mergeCell ref="P51:P55"/>
    <mergeCell ref="O45:O49"/>
    <mergeCell ref="P45:P49"/>
    <mergeCell ref="J51:J55"/>
    <mergeCell ref="K51:K55"/>
    <mergeCell ref="L51:L55"/>
    <mergeCell ref="M51:M55"/>
    <mergeCell ref="N51:N55"/>
    <mergeCell ref="J56:J60"/>
    <mergeCell ref="K56:K60"/>
    <mergeCell ref="L56:L60"/>
    <mergeCell ref="M56:M60"/>
    <mergeCell ref="N56:N60"/>
    <mergeCell ref="O56:O60"/>
    <mergeCell ref="P56:P60"/>
    <mergeCell ref="K61:K65"/>
    <mergeCell ref="L61:L65"/>
    <mergeCell ref="M61:M65"/>
    <mergeCell ref="N61:N65"/>
    <mergeCell ref="O61:O65"/>
    <mergeCell ref="P61:P65"/>
    <mergeCell ref="B66:I66"/>
    <mergeCell ref="B72:I72"/>
    <mergeCell ref="J61:J65"/>
    <mergeCell ref="K67:K71"/>
    <mergeCell ref="L67:L71"/>
    <mergeCell ref="M67:M71"/>
    <mergeCell ref="N67:N71"/>
    <mergeCell ref="O67:O71"/>
    <mergeCell ref="P67:P71"/>
    <mergeCell ref="J78:J82"/>
    <mergeCell ref="B83:I83"/>
    <mergeCell ref="B99:I99"/>
    <mergeCell ref="J67:J71"/>
    <mergeCell ref="K73:K77"/>
    <mergeCell ref="L73:L77"/>
    <mergeCell ref="M73:M77"/>
    <mergeCell ref="N73:N77"/>
    <mergeCell ref="O73:O77"/>
    <mergeCell ref="P73:P77"/>
    <mergeCell ref="J73:J77"/>
    <mergeCell ref="K78:K82"/>
    <mergeCell ref="L78:L82"/>
    <mergeCell ref="M78:M82"/>
    <mergeCell ref="N78:N82"/>
    <mergeCell ref="O78:O82"/>
    <mergeCell ref="P79:P82"/>
    <mergeCell ref="J84:J88"/>
    <mergeCell ref="K84:K88"/>
    <mergeCell ref="L84:L88"/>
    <mergeCell ref="M84:M88"/>
    <mergeCell ref="N84:N88"/>
    <mergeCell ref="O84:O88"/>
    <mergeCell ref="P84:P88"/>
    <mergeCell ref="J89:J93"/>
    <mergeCell ref="K89:K93"/>
    <mergeCell ref="L89:L93"/>
    <mergeCell ref="M89:M93"/>
    <mergeCell ref="N89:N93"/>
    <mergeCell ref="O89:O93"/>
    <mergeCell ref="P89:P93"/>
    <mergeCell ref="J94:J98"/>
    <mergeCell ref="K94:K98"/>
    <mergeCell ref="L94:L98"/>
    <mergeCell ref="M94:M98"/>
    <mergeCell ref="N94:N98"/>
    <mergeCell ref="O94:O98"/>
    <mergeCell ref="P94:P98"/>
    <mergeCell ref="J100:J104"/>
    <mergeCell ref="K100:K104"/>
    <mergeCell ref="L100:L104"/>
    <mergeCell ref="M100:M104"/>
    <mergeCell ref="N100:N104"/>
    <mergeCell ref="O100:O104"/>
    <mergeCell ref="P100:P104"/>
    <mergeCell ref="J115:J119"/>
    <mergeCell ref="K115:K119"/>
    <mergeCell ref="L115:L119"/>
    <mergeCell ref="M115:M119"/>
    <mergeCell ref="N115:N119"/>
    <mergeCell ref="O115:O119"/>
    <mergeCell ref="P115:P119"/>
    <mergeCell ref="A51:A65"/>
    <mergeCell ref="A67:A71"/>
    <mergeCell ref="A73:A82"/>
    <mergeCell ref="B73:B82"/>
    <mergeCell ref="A84:A98"/>
    <mergeCell ref="B84:B98"/>
    <mergeCell ref="B100:B124"/>
    <mergeCell ref="A100:A124"/>
    <mergeCell ref="A126:A130"/>
    <mergeCell ref="A132:A136"/>
    <mergeCell ref="A138:A142"/>
    <mergeCell ref="A144:A148"/>
    <mergeCell ref="A150:A154"/>
    <mergeCell ref="A156:A160"/>
    <mergeCell ref="B180:B184"/>
    <mergeCell ref="B186:B190"/>
    <mergeCell ref="B192:B211"/>
    <mergeCell ref="B213:B217"/>
    <mergeCell ref="B219:B233"/>
    <mergeCell ref="B235:B244"/>
    <mergeCell ref="B138:B142"/>
    <mergeCell ref="B144:B148"/>
    <mergeCell ref="B150:B154"/>
    <mergeCell ref="B156:B160"/>
    <mergeCell ref="B162:B166"/>
    <mergeCell ref="B168:B172"/>
    <mergeCell ref="B174:B178"/>
    <mergeCell ref="A219:A233"/>
    <mergeCell ref="A235:A244"/>
    <mergeCell ref="A162:A166"/>
    <mergeCell ref="A168:A172"/>
    <mergeCell ref="A174:A178"/>
    <mergeCell ref="A180:A184"/>
    <mergeCell ref="A186:A190"/>
    <mergeCell ref="A192:A211"/>
    <mergeCell ref="A213:A217"/>
    <mergeCell ref="C168:C172"/>
    <mergeCell ref="D168:D172"/>
    <mergeCell ref="C174:C178"/>
    <mergeCell ref="D174:D178"/>
    <mergeCell ref="C180:C184"/>
    <mergeCell ref="D180:D184"/>
    <mergeCell ref="D186:D190"/>
    <mergeCell ref="C186:C190"/>
    <mergeCell ref="C192:C196"/>
    <mergeCell ref="D192:D196"/>
    <mergeCell ref="C197:C201"/>
    <mergeCell ref="D197:D201"/>
    <mergeCell ref="C202:C206"/>
    <mergeCell ref="D202:D206"/>
    <mergeCell ref="C224:C228"/>
    <mergeCell ref="C229:C233"/>
    <mergeCell ref="C235:C239"/>
    <mergeCell ref="C240:C244"/>
    <mergeCell ref="D229:D233"/>
    <mergeCell ref="D235:D239"/>
    <mergeCell ref="D240:D244"/>
    <mergeCell ref="C207:C211"/>
    <mergeCell ref="D207:D211"/>
    <mergeCell ref="C213:C217"/>
    <mergeCell ref="D213:D217"/>
    <mergeCell ref="C219:C223"/>
    <mergeCell ref="D219:D223"/>
    <mergeCell ref="D224:D228"/>
    <mergeCell ref="A18:A37"/>
    <mergeCell ref="A39:A43"/>
    <mergeCell ref="B39:B43"/>
    <mergeCell ref="C39:C43"/>
    <mergeCell ref="D39:D43"/>
    <mergeCell ref="A45:A49"/>
    <mergeCell ref="B45:B49"/>
    <mergeCell ref="B51:B65"/>
    <mergeCell ref="C51:C55"/>
    <mergeCell ref="D51:D55"/>
    <mergeCell ref="C56:C60"/>
    <mergeCell ref="D56:D60"/>
    <mergeCell ref="C61:C65"/>
    <mergeCell ref="D61:D65"/>
    <mergeCell ref="B67:B71"/>
    <mergeCell ref="C67:C71"/>
    <mergeCell ref="D67:D71"/>
    <mergeCell ref="C73:C77"/>
    <mergeCell ref="D73:D77"/>
    <mergeCell ref="C78:C82"/>
    <mergeCell ref="D78:D82"/>
    <mergeCell ref="C84:C88"/>
    <mergeCell ref="D84:D88"/>
    <mergeCell ref="C89:C93"/>
    <mergeCell ref="D89:D93"/>
    <mergeCell ref="C94:C98"/>
    <mergeCell ref="D94:D98"/>
    <mergeCell ref="D100:D104"/>
    <mergeCell ref="B126:B130"/>
    <mergeCell ref="B132:B136"/>
    <mergeCell ref="C100:C104"/>
    <mergeCell ref="C105:C109"/>
    <mergeCell ref="C110:C114"/>
    <mergeCell ref="C115:C119"/>
    <mergeCell ref="C120:C124"/>
    <mergeCell ref="C126:C130"/>
    <mergeCell ref="C132:C136"/>
    <mergeCell ref="C138:C142"/>
    <mergeCell ref="C144:C148"/>
    <mergeCell ref="C150:C154"/>
    <mergeCell ref="C156:C160"/>
    <mergeCell ref="D156:D160"/>
    <mergeCell ref="C162:C166"/>
    <mergeCell ref="D162:D166"/>
    <mergeCell ref="J144:J148"/>
    <mergeCell ref="K150:K154"/>
    <mergeCell ref="L150:L154"/>
    <mergeCell ref="M150:M154"/>
    <mergeCell ref="N150:N154"/>
    <mergeCell ref="O150:O154"/>
    <mergeCell ref="P150:P154"/>
    <mergeCell ref="J150:J154"/>
    <mergeCell ref="K156:K160"/>
    <mergeCell ref="L156:L160"/>
    <mergeCell ref="M156:M160"/>
    <mergeCell ref="N156:N160"/>
    <mergeCell ref="O156:O160"/>
    <mergeCell ref="P156:P160"/>
    <mergeCell ref="J156:J160"/>
    <mergeCell ref="K162:K166"/>
    <mergeCell ref="L162:L166"/>
    <mergeCell ref="M162:M166"/>
    <mergeCell ref="N162:N166"/>
    <mergeCell ref="O162:O166"/>
    <mergeCell ref="P162:P166"/>
    <mergeCell ref="J162:J166"/>
    <mergeCell ref="K168:K172"/>
    <mergeCell ref="L168:L172"/>
    <mergeCell ref="M168:M172"/>
    <mergeCell ref="N168:N172"/>
    <mergeCell ref="O168:O172"/>
    <mergeCell ref="P168:P172"/>
    <mergeCell ref="J105:J109"/>
    <mergeCell ref="K105:K109"/>
    <mergeCell ref="L105:L109"/>
    <mergeCell ref="M105:M109"/>
    <mergeCell ref="N105:N109"/>
    <mergeCell ref="O105:O109"/>
    <mergeCell ref="P105:P109"/>
    <mergeCell ref="J110:J114"/>
    <mergeCell ref="K110:K114"/>
    <mergeCell ref="L110:L114"/>
    <mergeCell ref="M110:M114"/>
    <mergeCell ref="N110:N114"/>
    <mergeCell ref="O110:O114"/>
    <mergeCell ref="P110:P114"/>
    <mergeCell ref="J120:J124"/>
    <mergeCell ref="K126:K130"/>
    <mergeCell ref="L126:L130"/>
    <mergeCell ref="M126:M130"/>
    <mergeCell ref="N126:N130"/>
    <mergeCell ref="O126:O130"/>
    <mergeCell ref="P126:P130"/>
    <mergeCell ref="K120:K124"/>
    <mergeCell ref="L120:L124"/>
    <mergeCell ref="M120:M124"/>
    <mergeCell ref="N120:N124"/>
    <mergeCell ref="O120:O124"/>
    <mergeCell ref="P120:P124"/>
    <mergeCell ref="B125:I125"/>
    <mergeCell ref="J126:J130"/>
    <mergeCell ref="K132:K136"/>
    <mergeCell ref="L132:L136"/>
    <mergeCell ref="M132:M136"/>
    <mergeCell ref="N132:N136"/>
    <mergeCell ref="O132:O136"/>
    <mergeCell ref="P132:P136"/>
    <mergeCell ref="B173:I173"/>
    <mergeCell ref="B179:I179"/>
    <mergeCell ref="B185:I185"/>
    <mergeCell ref="B191:I191"/>
    <mergeCell ref="B212:I212"/>
    <mergeCell ref="B218:I218"/>
    <mergeCell ref="B131:I131"/>
    <mergeCell ref="B137:I137"/>
    <mergeCell ref="B143:I143"/>
    <mergeCell ref="B149:I149"/>
    <mergeCell ref="B155:I155"/>
    <mergeCell ref="B161:I161"/>
    <mergeCell ref="B167:I167"/>
    <mergeCell ref="J202:J206"/>
    <mergeCell ref="K207:K211"/>
    <mergeCell ref="L207:L211"/>
    <mergeCell ref="M207:M211"/>
    <mergeCell ref="N207:N211"/>
    <mergeCell ref="O207:O211"/>
    <mergeCell ref="P208:P211"/>
    <mergeCell ref="J207:J211"/>
    <mergeCell ref="K213:K217"/>
    <mergeCell ref="L213:L217"/>
    <mergeCell ref="M213:M217"/>
    <mergeCell ref="N213:N217"/>
    <mergeCell ref="O213:O217"/>
    <mergeCell ref="P213:P217"/>
    <mergeCell ref="J213:J217"/>
    <mergeCell ref="K219:K223"/>
    <mergeCell ref="L219:L223"/>
    <mergeCell ref="M219:M223"/>
    <mergeCell ref="N219:N223"/>
    <mergeCell ref="O219:O223"/>
    <mergeCell ref="P219:P223"/>
    <mergeCell ref="J219:J223"/>
    <mergeCell ref="K224:K228"/>
    <mergeCell ref="L224:L228"/>
    <mergeCell ref="M224:M228"/>
    <mergeCell ref="N224:N228"/>
    <mergeCell ref="O224:O228"/>
    <mergeCell ref="P224:P228"/>
    <mergeCell ref="B234:I234"/>
    <mergeCell ref="J224:J228"/>
    <mergeCell ref="K229:K233"/>
    <mergeCell ref="L229:L233"/>
    <mergeCell ref="M229:M233"/>
    <mergeCell ref="N229:N233"/>
    <mergeCell ref="O229:O233"/>
    <mergeCell ref="P229:P233"/>
    <mergeCell ref="J229:J233"/>
    <mergeCell ref="K235:K239"/>
    <mergeCell ref="L235:L239"/>
    <mergeCell ref="M235:M239"/>
    <mergeCell ref="N235:N239"/>
    <mergeCell ref="O235:O239"/>
    <mergeCell ref="P235:P239"/>
    <mergeCell ref="J168:J172"/>
    <mergeCell ref="K174:K178"/>
    <mergeCell ref="L174:L178"/>
    <mergeCell ref="M174:M178"/>
    <mergeCell ref="N174:N178"/>
    <mergeCell ref="O174:O178"/>
    <mergeCell ref="P174:P178"/>
    <mergeCell ref="J174:J178"/>
    <mergeCell ref="K180:K184"/>
    <mergeCell ref="L180:L184"/>
    <mergeCell ref="M180:M184"/>
    <mergeCell ref="N180:N184"/>
    <mergeCell ref="O180:O184"/>
    <mergeCell ref="P180:P184"/>
    <mergeCell ref="J180:J184"/>
    <mergeCell ref="K186:K190"/>
    <mergeCell ref="L186:L190"/>
    <mergeCell ref="M186:M190"/>
    <mergeCell ref="N186:N190"/>
    <mergeCell ref="O186:O190"/>
    <mergeCell ref="P186:P190"/>
    <mergeCell ref="J186:J190"/>
    <mergeCell ref="K192:K196"/>
    <mergeCell ref="L192:L196"/>
    <mergeCell ref="M192:M196"/>
    <mergeCell ref="N192:N196"/>
    <mergeCell ref="O192:O196"/>
    <mergeCell ref="P192:P196"/>
    <mergeCell ref="J192:J196"/>
    <mergeCell ref="K197:K201"/>
    <mergeCell ref="L197:L201"/>
    <mergeCell ref="M197:M201"/>
    <mergeCell ref="N197:N201"/>
    <mergeCell ref="O197:O201"/>
    <mergeCell ref="P197:P201"/>
    <mergeCell ref="J197:J201"/>
    <mergeCell ref="K202:K206"/>
    <mergeCell ref="L202:L206"/>
    <mergeCell ref="M202:M206"/>
    <mergeCell ref="N202:N206"/>
    <mergeCell ref="O202:O206"/>
    <mergeCell ref="P202:P206"/>
    <mergeCell ref="J235:J239"/>
    <mergeCell ref="J240:J244"/>
    <mergeCell ref="K240:K244"/>
    <mergeCell ref="L240:L244"/>
    <mergeCell ref="M240:M244"/>
    <mergeCell ref="N240:N244"/>
    <mergeCell ref="O240:O244"/>
    <mergeCell ref="P240:P244"/>
    <mergeCell ref="K3:K4"/>
    <mergeCell ref="L3:L4"/>
    <mergeCell ref="I3:I4"/>
    <mergeCell ref="J3:J4"/>
    <mergeCell ref="J12:J16"/>
    <mergeCell ref="K12:K16"/>
    <mergeCell ref="L12:L16"/>
    <mergeCell ref="M12:M16"/>
    <mergeCell ref="N12:N16"/>
    <mergeCell ref="O18:O22"/>
    <mergeCell ref="P18:P22"/>
    <mergeCell ref="C18:C22"/>
    <mergeCell ref="D18:D22"/>
    <mergeCell ref="J18:J22"/>
    <mergeCell ref="K18:K22"/>
    <mergeCell ref="L18:L22"/>
    <mergeCell ref="M18:M22"/>
    <mergeCell ref="N18:N22"/>
    <mergeCell ref="O23:O27"/>
    <mergeCell ref="P24:P27"/>
    <mergeCell ref="C23:C27"/>
    <mergeCell ref="D23:D27"/>
    <mergeCell ref="J23:J27"/>
    <mergeCell ref="K23:K27"/>
    <mergeCell ref="L23:L27"/>
    <mergeCell ref="M23:M27"/>
    <mergeCell ref="N23:N27"/>
    <mergeCell ref="O28:O32"/>
    <mergeCell ref="P28:P32"/>
    <mergeCell ref="C28:C32"/>
    <mergeCell ref="D28:D32"/>
    <mergeCell ref="J28:J32"/>
    <mergeCell ref="K28:K32"/>
    <mergeCell ref="L28:L32"/>
    <mergeCell ref="M28:M32"/>
    <mergeCell ref="N28:N32"/>
    <mergeCell ref="O33:O37"/>
    <mergeCell ref="P33:P37"/>
    <mergeCell ref="C33:C37"/>
    <mergeCell ref="D33:D37"/>
    <mergeCell ref="J33:J37"/>
    <mergeCell ref="K33:K37"/>
    <mergeCell ref="L33:L37"/>
    <mergeCell ref="M33:M37"/>
    <mergeCell ref="N33:N37"/>
    <mergeCell ref="D144:D148"/>
    <mergeCell ref="D150:D154"/>
    <mergeCell ref="D105:D109"/>
    <mergeCell ref="D110:D114"/>
    <mergeCell ref="D115:D119"/>
    <mergeCell ref="D120:D124"/>
    <mergeCell ref="D126:D130"/>
    <mergeCell ref="D132:D136"/>
    <mergeCell ref="D138:D142"/>
    <mergeCell ref="J132:J136"/>
    <mergeCell ref="K138:K142"/>
    <mergeCell ref="L138:L142"/>
    <mergeCell ref="M138:M142"/>
    <mergeCell ref="N138:N142"/>
    <mergeCell ref="O138:O142"/>
    <mergeCell ref="P138:P142"/>
    <mergeCell ref="J138:J142"/>
    <mergeCell ref="K144:K148"/>
    <mergeCell ref="L144:L148"/>
    <mergeCell ref="M144:M148"/>
    <mergeCell ref="N144:N148"/>
    <mergeCell ref="O144:O148"/>
    <mergeCell ref="P144:P148"/>
  </mergeCells>
  <conditionalFormatting sqref="M5:M244">
    <cfRule type="containsText" dxfId="7" priority="1" operator="containsText" text="T">
      <formula>NOT(ISERROR(SEARCH(("T"),(M5))))</formula>
    </cfRule>
  </conditionalFormatting>
  <dataValidations>
    <dataValidation type="list" allowBlank="1" showErrorMessage="1" sqref="L6 N6 L12 N12 L18 N18 L23 N23 L28 N28 L33 N33 L39 N39 L45 N45 L51 N51 L56 N56 L61 N61 L67 N67 L73 N73 L78 N78 L84 N84 L89 N89 L94 N94 L100 N100 L105 N105 L110 N110 L115 N115 L120 N120 L126 N126 L132 N132 L138 N138 L144 N144 L150 N150 L156 N156 L162 N162 L168 N168 L174 N174 L180 N180 L186 N186 L192 N192 L197 N197 L202 N202 L207 N207 L213 N213 L219 N219 L224 N224 L229 N229 L235 N235 L240 N240">
      <formula1>"1,2,3,4,5"</formula1>
    </dataValidation>
    <dataValidation type="list" allowBlank="1" showErrorMessage="1" sqref="M6 M12 M18 M23 M28 M33 M39 M45 M51 M56 M61 M67 M73 M78 M84 M89 M94 M100 M105 M110 M115 M120 M126 M132 M138 M144 M150 M156 M162 M168 M174 M180 M186 M192 M197 M202 M207 M213 M219 M224 M229 M235 M240">
      <formula1>"Y,T"</formula1>
    </dataValidation>
  </dataValidations>
  <hyperlinks>
    <hyperlink r:id="rId1" ref="P6"/>
    <hyperlink r:id="rId2" ref="P12"/>
    <hyperlink r:id="rId3" ref="P18"/>
    <hyperlink r:id="rId4" ref="P23"/>
    <hyperlink r:id="rId5" ref="P28"/>
    <hyperlink r:id="rId6" ref="P33"/>
    <hyperlink r:id="rId7" ref="P39"/>
    <hyperlink r:id="rId8" ref="P45"/>
    <hyperlink r:id="rId9" ref="P51"/>
    <hyperlink r:id="rId10" ref="P56"/>
    <hyperlink r:id="rId11" ref="P61"/>
    <hyperlink r:id="rId12" ref="P73"/>
    <hyperlink r:id="rId13" ref="P78"/>
    <hyperlink r:id="rId14" ref="P84"/>
    <hyperlink r:id="rId15" ref="P89"/>
    <hyperlink r:id="rId16" ref="P94"/>
    <hyperlink r:id="rId17" ref="P100"/>
    <hyperlink r:id="rId18" ref="P105"/>
    <hyperlink r:id="rId19" ref="P110"/>
    <hyperlink r:id="rId20" ref="P115"/>
    <hyperlink r:id="rId21" ref="P120"/>
    <hyperlink r:id="rId22" ref="P126"/>
    <hyperlink r:id="rId23" ref="P132"/>
    <hyperlink r:id="rId24" ref="P138"/>
    <hyperlink r:id="rId25" ref="P144"/>
    <hyperlink r:id="rId26" ref="P150"/>
    <hyperlink r:id="rId27" ref="P168"/>
    <hyperlink r:id="rId28" ref="P174"/>
    <hyperlink r:id="rId29" ref="P180"/>
    <hyperlink r:id="rId30" ref="P186"/>
    <hyperlink r:id="rId31" ref="P192"/>
    <hyperlink r:id="rId32" ref="P197"/>
    <hyperlink r:id="rId33" ref="P202"/>
    <hyperlink r:id="rId34" ref="P207"/>
    <hyperlink r:id="rId35" ref="P213"/>
    <hyperlink r:id="rId36" ref="P219"/>
    <hyperlink r:id="rId37" ref="P224"/>
    <hyperlink r:id="rId38" ref="P229"/>
    <hyperlink r:id="rId39" ref="P235"/>
    <hyperlink r:id="rId40" ref="P240"/>
  </hyperlinks>
  <printOptions/>
  <pageMargins bottom="0.75" footer="0.0" header="0.0" left="0.699305555555556" right="0.699305555555556" top="0.75"/>
  <pageSetup paperSize="9" orientation="portrait"/>
  <drawing r:id="rId4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56"/>
    <col customWidth="1" min="2" max="2" width="12.11"/>
    <col customWidth="1" min="3" max="3" width="6.22"/>
    <col customWidth="1" min="4" max="4" width="22.44"/>
    <col customWidth="1" min="5" max="6" width="6.44"/>
    <col customWidth="1" min="7" max="8" width="6.56"/>
    <col customWidth="1" min="9" max="9" width="75.56"/>
    <col customWidth="1" min="10" max="10" width="12.0"/>
    <col customWidth="1" min="11" max="11" width="68.33"/>
    <col customWidth="1" min="12" max="12" width="13.22"/>
    <col customWidth="1" min="13" max="13" width="17.22"/>
    <col customWidth="1" min="14" max="14" width="16.56"/>
    <col customWidth="1" min="15" max="15" width="17.44"/>
    <col customWidth="1" min="16" max="16" width="35.89"/>
    <col customWidth="1" min="17" max="26" width="9.0"/>
  </cols>
  <sheetData>
    <row r="1" ht="78.0" customHeight="1">
      <c r="A1" s="658" t="str">
        <f>'KKLEAD II'!A1:N1</f>
        <v>PENJAMINAN KUALITAS HASIL PENILAIAN MANDIRI MATURITAS PENYELENGGARAAN SPIP
PEMERINTAH DAERAH …
Periode Penilaian 01 Juli 20XX-1 sampai dengan 30 Juni 20XX</v>
      </c>
      <c r="P1" s="293"/>
    </row>
    <row r="2" ht="77.25" customHeight="1">
      <c r="A2" s="507" t="s">
        <v>2277</v>
      </c>
      <c r="J2" s="507"/>
      <c r="L2" s="507" t="s">
        <v>104</v>
      </c>
      <c r="N2" s="606" t="s">
        <v>105</v>
      </c>
      <c r="O2" s="507"/>
      <c r="P2" s="293"/>
    </row>
    <row r="3">
      <c r="A3" s="140" t="s">
        <v>106</v>
      </c>
      <c r="B3" s="140" t="s">
        <v>107</v>
      </c>
      <c r="C3" s="140" t="s">
        <v>108</v>
      </c>
      <c r="D3" s="140" t="s">
        <v>109</v>
      </c>
      <c r="E3" s="607" t="s">
        <v>110</v>
      </c>
      <c r="F3" s="62"/>
      <c r="G3" s="63"/>
      <c r="H3" s="141" t="s">
        <v>1624</v>
      </c>
      <c r="I3" s="140" t="s">
        <v>1625</v>
      </c>
      <c r="J3" s="140" t="s">
        <v>1626</v>
      </c>
      <c r="K3" s="140" t="s">
        <v>2278</v>
      </c>
      <c r="L3" s="140" t="s">
        <v>2279</v>
      </c>
      <c r="M3" s="611" t="s">
        <v>1629</v>
      </c>
      <c r="N3" s="611" t="s">
        <v>1631</v>
      </c>
      <c r="O3" s="611" t="s">
        <v>1632</v>
      </c>
      <c r="P3" s="612" t="s">
        <v>2022</v>
      </c>
    </row>
    <row r="4">
      <c r="A4" s="140"/>
      <c r="B4" s="140"/>
      <c r="C4" s="140"/>
      <c r="D4" s="140"/>
      <c r="E4" s="140" t="s">
        <v>119</v>
      </c>
      <c r="F4" s="140" t="s">
        <v>120</v>
      </c>
      <c r="G4" s="140" t="s">
        <v>58</v>
      </c>
      <c r="H4" s="140"/>
      <c r="I4" s="140"/>
      <c r="J4" s="140"/>
      <c r="K4" s="140"/>
      <c r="L4" s="140"/>
      <c r="M4" s="210"/>
      <c r="N4" s="210"/>
      <c r="O4" s="210"/>
      <c r="P4" s="536"/>
    </row>
    <row r="5">
      <c r="A5" s="144" t="s">
        <v>121</v>
      </c>
      <c r="B5" s="143" t="s">
        <v>122</v>
      </c>
      <c r="C5" s="62"/>
      <c r="D5" s="62"/>
      <c r="E5" s="62"/>
      <c r="F5" s="62"/>
      <c r="G5" s="62"/>
      <c r="H5" s="62"/>
      <c r="I5" s="63"/>
      <c r="J5" s="144"/>
      <c r="K5" s="699"/>
      <c r="L5" s="700">
        <v>3875.0</v>
      </c>
      <c r="M5" s="615"/>
      <c r="N5" s="701"/>
      <c r="O5" s="615"/>
      <c r="P5" s="210"/>
    </row>
    <row r="6" ht="99.0" customHeight="1">
      <c r="A6" s="702"/>
      <c r="B6" s="82"/>
      <c r="C6" s="82">
        <v>1.0</v>
      </c>
      <c r="D6" s="50" t="s">
        <v>2280</v>
      </c>
      <c r="E6" s="82" t="s">
        <v>119</v>
      </c>
      <c r="F6" s="150" t="s">
        <v>124</v>
      </c>
      <c r="G6" s="150" t="s">
        <v>124</v>
      </c>
      <c r="H6" s="703" t="s">
        <v>1636</v>
      </c>
      <c r="I6" s="620" t="s">
        <v>1637</v>
      </c>
      <c r="J6" s="623" t="s">
        <v>1638</v>
      </c>
      <c r="K6" s="704" t="s">
        <v>2281</v>
      </c>
      <c r="L6" s="562">
        <v>5.0</v>
      </c>
      <c r="M6" s="705" t="s">
        <v>301</v>
      </c>
      <c r="N6" s="706">
        <v>5.0</v>
      </c>
      <c r="O6" s="705"/>
      <c r="P6" s="707" t="s">
        <v>2282</v>
      </c>
    </row>
    <row r="7">
      <c r="A7" s="702"/>
      <c r="B7" s="82"/>
      <c r="C7" s="82"/>
      <c r="D7" s="50"/>
      <c r="E7" s="82" t="s">
        <v>119</v>
      </c>
      <c r="F7" s="150" t="s">
        <v>124</v>
      </c>
      <c r="G7" s="150" t="s">
        <v>124</v>
      </c>
      <c r="H7" s="708" t="s">
        <v>1643</v>
      </c>
      <c r="I7" s="627" t="s">
        <v>1644</v>
      </c>
      <c r="J7" s="709"/>
      <c r="K7" s="710"/>
      <c r="L7" s="711"/>
      <c r="M7" s="536"/>
      <c r="N7" s="536"/>
      <c r="O7" s="536"/>
      <c r="P7" s="536"/>
    </row>
    <row r="8">
      <c r="A8" s="702"/>
      <c r="B8" s="82"/>
      <c r="C8" s="82"/>
      <c r="D8" s="50"/>
      <c r="E8" s="82" t="s">
        <v>119</v>
      </c>
      <c r="F8" s="150" t="s">
        <v>124</v>
      </c>
      <c r="G8" s="150" t="s">
        <v>124</v>
      </c>
      <c r="H8" s="708" t="s">
        <v>1645</v>
      </c>
      <c r="I8" s="627" t="s">
        <v>1646</v>
      </c>
      <c r="J8" s="709"/>
      <c r="K8" s="710"/>
      <c r="L8" s="711"/>
      <c r="M8" s="536"/>
      <c r="N8" s="536"/>
      <c r="O8" s="536"/>
      <c r="P8" s="536"/>
    </row>
    <row r="9" ht="44.25" customHeight="1">
      <c r="A9" s="702"/>
      <c r="B9" s="82"/>
      <c r="C9" s="82"/>
      <c r="D9" s="50"/>
      <c r="E9" s="82" t="s">
        <v>119</v>
      </c>
      <c r="F9" s="150" t="s">
        <v>124</v>
      </c>
      <c r="G9" s="150" t="s">
        <v>124</v>
      </c>
      <c r="H9" s="708" t="s">
        <v>1638</v>
      </c>
      <c r="I9" s="627" t="s">
        <v>1647</v>
      </c>
      <c r="J9" s="709"/>
      <c r="K9" s="710"/>
      <c r="L9" s="711"/>
      <c r="M9" s="536"/>
      <c r="N9" s="536"/>
      <c r="O9" s="536"/>
      <c r="P9" s="536"/>
    </row>
    <row r="10" ht="119.25" customHeight="1">
      <c r="A10" s="702"/>
      <c r="B10" s="82"/>
      <c r="C10" s="82"/>
      <c r="D10" s="50"/>
      <c r="E10" s="82" t="s">
        <v>119</v>
      </c>
      <c r="F10" s="150" t="s">
        <v>124</v>
      </c>
      <c r="G10" s="150" t="s">
        <v>124</v>
      </c>
      <c r="H10" s="708" t="s">
        <v>1648</v>
      </c>
      <c r="I10" s="627" t="s">
        <v>1649</v>
      </c>
      <c r="J10" s="712"/>
      <c r="K10" s="713"/>
      <c r="L10" s="714"/>
      <c r="M10" s="210"/>
      <c r="N10" s="210"/>
      <c r="O10" s="210"/>
      <c r="P10" s="210"/>
    </row>
    <row r="11">
      <c r="A11" s="702"/>
      <c r="B11" s="82"/>
      <c r="C11" s="82">
        <v>2.0</v>
      </c>
      <c r="D11" s="50" t="s">
        <v>125</v>
      </c>
      <c r="E11" s="82" t="s">
        <v>119</v>
      </c>
      <c r="F11" s="150" t="s">
        <v>124</v>
      </c>
      <c r="G11" s="150" t="s">
        <v>58</v>
      </c>
      <c r="H11" s="708" t="s">
        <v>1636</v>
      </c>
      <c r="I11" s="627" t="s">
        <v>2283</v>
      </c>
      <c r="J11" s="715" t="s">
        <v>2284</v>
      </c>
      <c r="K11" s="716" t="s">
        <v>2285</v>
      </c>
      <c r="L11" s="562">
        <v>4.0</v>
      </c>
      <c r="M11" s="705" t="s">
        <v>301</v>
      </c>
      <c r="N11" s="706">
        <v>3.0</v>
      </c>
      <c r="O11" s="705"/>
      <c r="P11" s="677" t="s">
        <v>2286</v>
      </c>
    </row>
    <row r="12">
      <c r="A12" s="702"/>
      <c r="B12" s="82"/>
      <c r="C12" s="82"/>
      <c r="D12" s="50"/>
      <c r="E12" s="82" t="s">
        <v>119</v>
      </c>
      <c r="F12" s="150" t="s">
        <v>124</v>
      </c>
      <c r="G12" s="150" t="s">
        <v>58</v>
      </c>
      <c r="H12" s="717" t="s">
        <v>1643</v>
      </c>
      <c r="I12" s="627" t="s">
        <v>2287</v>
      </c>
      <c r="J12" s="715"/>
      <c r="K12" s="710"/>
      <c r="L12" s="711"/>
      <c r="M12" s="536"/>
      <c r="N12" s="536"/>
      <c r="O12" s="536"/>
      <c r="P12" s="536"/>
    </row>
    <row r="13">
      <c r="A13" s="702"/>
      <c r="B13" s="82"/>
      <c r="C13" s="82"/>
      <c r="D13" s="50"/>
      <c r="E13" s="82" t="s">
        <v>119</v>
      </c>
      <c r="F13" s="150" t="s">
        <v>124</v>
      </c>
      <c r="G13" s="150" t="s">
        <v>58</v>
      </c>
      <c r="H13" s="708" t="s">
        <v>1645</v>
      </c>
      <c r="I13" s="627" t="s">
        <v>2288</v>
      </c>
      <c r="J13" s="715"/>
      <c r="K13" s="710"/>
      <c r="L13" s="711"/>
      <c r="M13" s="536"/>
      <c r="N13" s="536"/>
      <c r="O13" s="536"/>
      <c r="P13" s="536"/>
    </row>
    <row r="14">
      <c r="A14" s="702"/>
      <c r="B14" s="82"/>
      <c r="C14" s="82"/>
      <c r="D14" s="50"/>
      <c r="E14" s="82" t="s">
        <v>119</v>
      </c>
      <c r="F14" s="150" t="s">
        <v>124</v>
      </c>
      <c r="G14" s="150" t="s">
        <v>58</v>
      </c>
      <c r="H14" s="708" t="s">
        <v>1638</v>
      </c>
      <c r="I14" s="627" t="s">
        <v>2289</v>
      </c>
      <c r="J14" s="715"/>
      <c r="K14" s="710"/>
      <c r="L14" s="711"/>
      <c r="M14" s="536"/>
      <c r="N14" s="536"/>
      <c r="O14" s="536"/>
      <c r="P14" s="536"/>
    </row>
    <row r="15">
      <c r="A15" s="702"/>
      <c r="B15" s="82"/>
      <c r="C15" s="82"/>
      <c r="D15" s="50"/>
      <c r="E15" s="82" t="s">
        <v>119</v>
      </c>
      <c r="F15" s="150" t="s">
        <v>124</v>
      </c>
      <c r="G15" s="150" t="s">
        <v>58</v>
      </c>
      <c r="H15" s="708" t="s">
        <v>1648</v>
      </c>
      <c r="I15" s="627" t="s">
        <v>2290</v>
      </c>
      <c r="J15" s="715"/>
      <c r="K15" s="713"/>
      <c r="L15" s="714"/>
      <c r="M15" s="210"/>
      <c r="N15" s="210"/>
      <c r="O15" s="210"/>
      <c r="P15" s="210"/>
    </row>
    <row r="16">
      <c r="A16" s="702"/>
      <c r="B16" s="82"/>
      <c r="C16" s="82">
        <v>3.0</v>
      </c>
      <c r="D16" s="50" t="s">
        <v>2291</v>
      </c>
      <c r="E16" s="82" t="s">
        <v>119</v>
      </c>
      <c r="F16" s="150" t="s">
        <v>124</v>
      </c>
      <c r="G16" s="150" t="s">
        <v>58</v>
      </c>
      <c r="H16" s="708" t="s">
        <v>1636</v>
      </c>
      <c r="I16" s="627" t="s">
        <v>2292</v>
      </c>
      <c r="J16" s="715" t="s">
        <v>2284</v>
      </c>
      <c r="K16" s="716" t="s">
        <v>2293</v>
      </c>
      <c r="L16" s="562">
        <v>4.0</v>
      </c>
      <c r="M16" s="705"/>
      <c r="N16" s="706">
        <v>3.0</v>
      </c>
      <c r="O16" s="705"/>
      <c r="P16" s="677" t="s">
        <v>2294</v>
      </c>
    </row>
    <row r="17">
      <c r="A17" s="702"/>
      <c r="B17" s="82"/>
      <c r="C17" s="82"/>
      <c r="D17" s="50"/>
      <c r="E17" s="82" t="s">
        <v>119</v>
      </c>
      <c r="F17" s="150" t="s">
        <v>124</v>
      </c>
      <c r="G17" s="150" t="s">
        <v>58</v>
      </c>
      <c r="H17" s="717" t="s">
        <v>1643</v>
      </c>
      <c r="I17" s="627" t="s">
        <v>2295</v>
      </c>
      <c r="J17" s="715"/>
      <c r="K17" s="710"/>
      <c r="L17" s="711"/>
      <c r="M17" s="536"/>
      <c r="N17" s="536"/>
      <c r="O17" s="536"/>
      <c r="P17" s="536"/>
    </row>
    <row r="18">
      <c r="A18" s="702"/>
      <c r="B18" s="82"/>
      <c r="C18" s="82"/>
      <c r="D18" s="50"/>
      <c r="E18" s="82" t="s">
        <v>119</v>
      </c>
      <c r="F18" s="150" t="s">
        <v>124</v>
      </c>
      <c r="G18" s="150" t="s">
        <v>58</v>
      </c>
      <c r="H18" s="708" t="s">
        <v>1645</v>
      </c>
      <c r="I18" s="627" t="s">
        <v>2296</v>
      </c>
      <c r="J18" s="715"/>
      <c r="K18" s="710"/>
      <c r="L18" s="711"/>
      <c r="M18" s="536"/>
      <c r="N18" s="536"/>
      <c r="O18" s="536"/>
      <c r="P18" s="536"/>
    </row>
    <row r="19">
      <c r="A19" s="702"/>
      <c r="B19" s="82"/>
      <c r="C19" s="82"/>
      <c r="D19" s="50"/>
      <c r="E19" s="82" t="s">
        <v>119</v>
      </c>
      <c r="F19" s="150" t="s">
        <v>124</v>
      </c>
      <c r="G19" s="150" t="s">
        <v>58</v>
      </c>
      <c r="H19" s="708" t="s">
        <v>1638</v>
      </c>
      <c r="I19" s="627" t="s">
        <v>2297</v>
      </c>
      <c r="J19" s="715"/>
      <c r="K19" s="710"/>
      <c r="L19" s="711"/>
      <c r="M19" s="536"/>
      <c r="N19" s="536"/>
      <c r="O19" s="536"/>
      <c r="P19" s="536"/>
    </row>
    <row r="20">
      <c r="A20" s="702"/>
      <c r="B20" s="82"/>
      <c r="C20" s="82"/>
      <c r="D20" s="50"/>
      <c r="E20" s="82" t="s">
        <v>119</v>
      </c>
      <c r="F20" s="150" t="s">
        <v>124</v>
      </c>
      <c r="G20" s="150" t="s">
        <v>58</v>
      </c>
      <c r="H20" s="708" t="s">
        <v>1648</v>
      </c>
      <c r="I20" s="627" t="s">
        <v>2298</v>
      </c>
      <c r="J20" s="715"/>
      <c r="K20" s="713"/>
      <c r="L20" s="714"/>
      <c r="M20" s="210"/>
      <c r="N20" s="210"/>
      <c r="O20" s="210"/>
      <c r="P20" s="210"/>
    </row>
    <row r="21" ht="15.75" customHeight="1">
      <c r="A21" s="702"/>
      <c r="B21" s="82"/>
      <c r="C21" s="82">
        <v>4.0</v>
      </c>
      <c r="D21" s="50" t="s">
        <v>2299</v>
      </c>
      <c r="E21" s="82" t="s">
        <v>119</v>
      </c>
      <c r="F21" s="150" t="s">
        <v>124</v>
      </c>
      <c r="G21" s="150" t="s">
        <v>58</v>
      </c>
      <c r="H21" s="708" t="s">
        <v>1636</v>
      </c>
      <c r="I21" s="627" t="s">
        <v>2300</v>
      </c>
      <c r="J21" s="715" t="s">
        <v>2284</v>
      </c>
      <c r="K21" s="716" t="s">
        <v>2301</v>
      </c>
      <c r="L21" s="562">
        <v>4.0</v>
      </c>
      <c r="M21" s="705"/>
      <c r="N21" s="706">
        <v>3.0</v>
      </c>
      <c r="O21" s="705"/>
      <c r="P21" s="677" t="s">
        <v>2302</v>
      </c>
    </row>
    <row r="22" ht="15.75" customHeight="1">
      <c r="A22" s="702"/>
      <c r="B22" s="82"/>
      <c r="C22" s="82"/>
      <c r="D22" s="50"/>
      <c r="E22" s="82" t="s">
        <v>119</v>
      </c>
      <c r="F22" s="150" t="s">
        <v>124</v>
      </c>
      <c r="G22" s="150" t="s">
        <v>58</v>
      </c>
      <c r="H22" s="708" t="s">
        <v>1643</v>
      </c>
      <c r="I22" s="627" t="s">
        <v>2303</v>
      </c>
      <c r="J22" s="715"/>
      <c r="K22" s="710"/>
      <c r="L22" s="711"/>
      <c r="M22" s="536"/>
      <c r="N22" s="536"/>
      <c r="O22" s="536"/>
      <c r="P22" s="536"/>
    </row>
    <row r="23" ht="15.75" customHeight="1">
      <c r="A23" s="702"/>
      <c r="B23" s="82"/>
      <c r="C23" s="82"/>
      <c r="D23" s="50"/>
      <c r="E23" s="82" t="s">
        <v>119</v>
      </c>
      <c r="F23" s="150" t="s">
        <v>124</v>
      </c>
      <c r="G23" s="150" t="s">
        <v>58</v>
      </c>
      <c r="H23" s="717" t="s">
        <v>1645</v>
      </c>
      <c r="I23" s="627" t="s">
        <v>2304</v>
      </c>
      <c r="J23" s="715"/>
      <c r="K23" s="710"/>
      <c r="L23" s="711"/>
      <c r="M23" s="536"/>
      <c r="N23" s="536"/>
      <c r="O23" s="536"/>
      <c r="P23" s="536"/>
    </row>
    <row r="24" ht="15.75" customHeight="1">
      <c r="A24" s="702"/>
      <c r="B24" s="82"/>
      <c r="C24" s="82"/>
      <c r="D24" s="50"/>
      <c r="E24" s="82" t="s">
        <v>119</v>
      </c>
      <c r="F24" s="150" t="s">
        <v>124</v>
      </c>
      <c r="G24" s="150" t="s">
        <v>58</v>
      </c>
      <c r="H24" s="708" t="s">
        <v>1638</v>
      </c>
      <c r="I24" s="627" t="s">
        <v>2305</v>
      </c>
      <c r="J24" s="715"/>
      <c r="K24" s="710"/>
      <c r="L24" s="711"/>
      <c r="M24" s="536"/>
      <c r="N24" s="536"/>
      <c r="O24" s="536"/>
      <c r="P24" s="536"/>
    </row>
    <row r="25" ht="15.75" customHeight="1">
      <c r="A25" s="702"/>
      <c r="B25" s="82"/>
      <c r="C25" s="82"/>
      <c r="D25" s="50"/>
      <c r="E25" s="82" t="s">
        <v>119</v>
      </c>
      <c r="F25" s="150" t="s">
        <v>124</v>
      </c>
      <c r="G25" s="150" t="s">
        <v>58</v>
      </c>
      <c r="H25" s="708" t="s">
        <v>1648</v>
      </c>
      <c r="I25" s="627" t="s">
        <v>2306</v>
      </c>
      <c r="J25" s="715"/>
      <c r="K25" s="713"/>
      <c r="L25" s="714"/>
      <c r="M25" s="210"/>
      <c r="N25" s="210"/>
      <c r="O25" s="210"/>
      <c r="P25" s="210"/>
    </row>
    <row r="26" ht="15.75" customHeight="1">
      <c r="A26" s="702"/>
      <c r="B26" s="82"/>
      <c r="C26" s="82">
        <v>5.0</v>
      </c>
      <c r="D26" s="50" t="s">
        <v>2307</v>
      </c>
      <c r="E26" s="82" t="s">
        <v>119</v>
      </c>
      <c r="F26" s="160" t="s">
        <v>124</v>
      </c>
      <c r="G26" s="150" t="s">
        <v>58</v>
      </c>
      <c r="H26" s="708" t="s">
        <v>1636</v>
      </c>
      <c r="I26" s="627" t="s">
        <v>2308</v>
      </c>
      <c r="J26" s="715" t="s">
        <v>2284</v>
      </c>
      <c r="K26" s="718" t="s">
        <v>2309</v>
      </c>
      <c r="L26" s="562">
        <v>3.0</v>
      </c>
      <c r="M26" s="705"/>
      <c r="N26" s="706">
        <v>3.0</v>
      </c>
      <c r="O26" s="705"/>
      <c r="P26" s="677" t="s">
        <v>2310</v>
      </c>
    </row>
    <row r="27" ht="15.75" customHeight="1">
      <c r="A27" s="702"/>
      <c r="B27" s="82"/>
      <c r="C27" s="82"/>
      <c r="D27" s="50"/>
      <c r="E27" s="82" t="s">
        <v>119</v>
      </c>
      <c r="F27" s="160" t="s">
        <v>124</v>
      </c>
      <c r="G27" s="150" t="s">
        <v>58</v>
      </c>
      <c r="H27" s="717" t="s">
        <v>1643</v>
      </c>
      <c r="I27" s="627" t="s">
        <v>2311</v>
      </c>
      <c r="J27" s="715"/>
      <c r="K27" s="710"/>
      <c r="L27" s="711"/>
      <c r="M27" s="536"/>
      <c r="N27" s="536"/>
      <c r="O27" s="536"/>
      <c r="P27" s="536"/>
    </row>
    <row r="28" ht="15.75" customHeight="1">
      <c r="A28" s="702"/>
      <c r="B28" s="82"/>
      <c r="C28" s="82"/>
      <c r="D28" s="50"/>
      <c r="E28" s="82" t="s">
        <v>119</v>
      </c>
      <c r="F28" s="160" t="s">
        <v>124</v>
      </c>
      <c r="G28" s="150" t="s">
        <v>58</v>
      </c>
      <c r="H28" s="708" t="s">
        <v>1645</v>
      </c>
      <c r="I28" s="627" t="s">
        <v>2312</v>
      </c>
      <c r="J28" s="715"/>
      <c r="K28" s="710"/>
      <c r="L28" s="711"/>
      <c r="M28" s="536"/>
      <c r="N28" s="536"/>
      <c r="O28" s="536"/>
      <c r="P28" s="536"/>
    </row>
    <row r="29" ht="15.75" customHeight="1">
      <c r="A29" s="702"/>
      <c r="B29" s="82"/>
      <c r="C29" s="82"/>
      <c r="D29" s="50"/>
      <c r="E29" s="82" t="s">
        <v>119</v>
      </c>
      <c r="F29" s="160" t="s">
        <v>124</v>
      </c>
      <c r="G29" s="150" t="s">
        <v>58</v>
      </c>
      <c r="H29" s="708" t="s">
        <v>1638</v>
      </c>
      <c r="I29" s="627" t="s">
        <v>2313</v>
      </c>
      <c r="J29" s="715"/>
      <c r="K29" s="710"/>
      <c r="L29" s="711"/>
      <c r="M29" s="536"/>
      <c r="N29" s="536"/>
      <c r="O29" s="536"/>
      <c r="P29" s="536"/>
    </row>
    <row r="30" ht="15.75" customHeight="1">
      <c r="A30" s="702"/>
      <c r="B30" s="82"/>
      <c r="C30" s="82"/>
      <c r="D30" s="50"/>
      <c r="E30" s="82" t="s">
        <v>119</v>
      </c>
      <c r="F30" s="160" t="s">
        <v>124</v>
      </c>
      <c r="G30" s="150" t="s">
        <v>58</v>
      </c>
      <c r="H30" s="708" t="s">
        <v>1648</v>
      </c>
      <c r="I30" s="627" t="s">
        <v>2314</v>
      </c>
      <c r="J30" s="715"/>
      <c r="K30" s="713"/>
      <c r="L30" s="714"/>
      <c r="M30" s="210"/>
      <c r="N30" s="210"/>
      <c r="O30" s="210"/>
      <c r="P30" s="210"/>
    </row>
    <row r="31" ht="15.75" customHeight="1">
      <c r="A31" s="702"/>
      <c r="B31" s="82"/>
      <c r="C31" s="82">
        <v>6.0</v>
      </c>
      <c r="D31" s="50" t="s">
        <v>2315</v>
      </c>
      <c r="E31" s="82" t="s">
        <v>119</v>
      </c>
      <c r="F31" s="160" t="s">
        <v>124</v>
      </c>
      <c r="G31" s="150" t="s">
        <v>58</v>
      </c>
      <c r="H31" s="717" t="s">
        <v>1636</v>
      </c>
      <c r="I31" s="627" t="s">
        <v>2316</v>
      </c>
      <c r="J31" s="715" t="s">
        <v>2284</v>
      </c>
      <c r="K31" s="716" t="s">
        <v>2317</v>
      </c>
      <c r="L31" s="562">
        <v>3.0</v>
      </c>
      <c r="M31" s="705"/>
      <c r="N31" s="706">
        <v>3.0</v>
      </c>
      <c r="O31" s="705"/>
      <c r="P31" s="677" t="s">
        <v>2318</v>
      </c>
    </row>
    <row r="32" ht="15.75" customHeight="1">
      <c r="A32" s="702"/>
      <c r="B32" s="82"/>
      <c r="C32" s="82"/>
      <c r="D32" s="50"/>
      <c r="E32" s="82" t="s">
        <v>119</v>
      </c>
      <c r="F32" s="160" t="s">
        <v>124</v>
      </c>
      <c r="G32" s="150" t="s">
        <v>58</v>
      </c>
      <c r="H32" s="708" t="s">
        <v>1643</v>
      </c>
      <c r="I32" s="627" t="s">
        <v>2319</v>
      </c>
      <c r="J32" s="715"/>
      <c r="K32" s="710"/>
      <c r="L32" s="711"/>
      <c r="M32" s="536"/>
      <c r="N32" s="536"/>
      <c r="O32" s="536"/>
      <c r="P32" s="536"/>
    </row>
    <row r="33" ht="15.75" customHeight="1">
      <c r="A33" s="702"/>
      <c r="B33" s="82"/>
      <c r="C33" s="82"/>
      <c r="D33" s="50"/>
      <c r="E33" s="82" t="s">
        <v>119</v>
      </c>
      <c r="F33" s="160" t="s">
        <v>124</v>
      </c>
      <c r="G33" s="150" t="s">
        <v>58</v>
      </c>
      <c r="H33" s="708" t="s">
        <v>1645</v>
      </c>
      <c r="I33" s="627" t="s">
        <v>2320</v>
      </c>
      <c r="J33" s="715"/>
      <c r="K33" s="710"/>
      <c r="L33" s="711"/>
      <c r="M33" s="536"/>
      <c r="N33" s="536"/>
      <c r="O33" s="536"/>
      <c r="P33" s="536"/>
    </row>
    <row r="34" ht="15.75" customHeight="1">
      <c r="A34" s="702"/>
      <c r="B34" s="82"/>
      <c r="C34" s="82"/>
      <c r="D34" s="50"/>
      <c r="E34" s="82" t="s">
        <v>119</v>
      </c>
      <c r="F34" s="160" t="s">
        <v>124</v>
      </c>
      <c r="G34" s="150" t="s">
        <v>58</v>
      </c>
      <c r="H34" s="708" t="s">
        <v>1638</v>
      </c>
      <c r="I34" s="627" t="s">
        <v>2321</v>
      </c>
      <c r="J34" s="715"/>
      <c r="K34" s="710"/>
      <c r="L34" s="711"/>
      <c r="M34" s="536"/>
      <c r="N34" s="536"/>
      <c r="O34" s="536"/>
      <c r="P34" s="536"/>
    </row>
    <row r="35" ht="15.75" customHeight="1">
      <c r="A35" s="702"/>
      <c r="B35" s="82"/>
      <c r="C35" s="82"/>
      <c r="D35" s="50"/>
      <c r="E35" s="82" t="s">
        <v>119</v>
      </c>
      <c r="F35" s="160" t="s">
        <v>124</v>
      </c>
      <c r="G35" s="150" t="s">
        <v>58</v>
      </c>
      <c r="H35" s="708" t="s">
        <v>1648</v>
      </c>
      <c r="I35" s="627" t="s">
        <v>2322</v>
      </c>
      <c r="J35" s="715"/>
      <c r="K35" s="713"/>
      <c r="L35" s="714"/>
      <c r="M35" s="210"/>
      <c r="N35" s="210"/>
      <c r="O35" s="210"/>
      <c r="P35" s="210"/>
    </row>
    <row r="36" ht="15.75" customHeight="1">
      <c r="A36" s="702"/>
      <c r="B36" s="82"/>
      <c r="C36" s="82">
        <v>7.0</v>
      </c>
      <c r="D36" s="50" t="s">
        <v>2323</v>
      </c>
      <c r="E36" s="82" t="s">
        <v>119</v>
      </c>
      <c r="F36" s="160" t="s">
        <v>124</v>
      </c>
      <c r="G36" s="150" t="s">
        <v>58</v>
      </c>
      <c r="H36" s="708" t="s">
        <v>1636</v>
      </c>
      <c r="I36" s="627" t="s">
        <v>2324</v>
      </c>
      <c r="J36" s="715" t="s">
        <v>2284</v>
      </c>
      <c r="K36" s="718" t="s">
        <v>2325</v>
      </c>
      <c r="L36" s="562">
        <v>4.0</v>
      </c>
      <c r="M36" s="705"/>
      <c r="N36" s="706">
        <v>4.0</v>
      </c>
      <c r="O36" s="705"/>
      <c r="P36" s="677" t="s">
        <v>2326</v>
      </c>
    </row>
    <row r="37" ht="15.75" customHeight="1">
      <c r="A37" s="702"/>
      <c r="B37" s="82"/>
      <c r="C37" s="82"/>
      <c r="D37" s="50"/>
      <c r="E37" s="82" t="s">
        <v>119</v>
      </c>
      <c r="F37" s="160" t="s">
        <v>124</v>
      </c>
      <c r="G37" s="150" t="s">
        <v>58</v>
      </c>
      <c r="H37" s="717" t="s">
        <v>1643</v>
      </c>
      <c r="I37" s="627" t="s">
        <v>2327</v>
      </c>
      <c r="J37" s="715"/>
      <c r="K37" s="710"/>
      <c r="L37" s="711"/>
      <c r="M37" s="536"/>
      <c r="N37" s="536"/>
      <c r="O37" s="536"/>
      <c r="P37" s="536"/>
    </row>
    <row r="38" ht="15.75" customHeight="1">
      <c r="A38" s="702"/>
      <c r="B38" s="82"/>
      <c r="C38" s="82"/>
      <c r="D38" s="50"/>
      <c r="E38" s="82" t="s">
        <v>119</v>
      </c>
      <c r="F38" s="160" t="s">
        <v>124</v>
      </c>
      <c r="G38" s="150" t="s">
        <v>58</v>
      </c>
      <c r="H38" s="708" t="s">
        <v>1645</v>
      </c>
      <c r="I38" s="627" t="s">
        <v>2328</v>
      </c>
      <c r="J38" s="715"/>
      <c r="K38" s="710"/>
      <c r="L38" s="711"/>
      <c r="M38" s="536"/>
      <c r="N38" s="536"/>
      <c r="O38" s="536"/>
      <c r="P38" s="536"/>
    </row>
    <row r="39" ht="15.75" customHeight="1">
      <c r="A39" s="702"/>
      <c r="B39" s="82"/>
      <c r="C39" s="82"/>
      <c r="D39" s="50"/>
      <c r="E39" s="82" t="s">
        <v>119</v>
      </c>
      <c r="F39" s="160" t="s">
        <v>124</v>
      </c>
      <c r="G39" s="150" t="s">
        <v>58</v>
      </c>
      <c r="H39" s="708" t="s">
        <v>1638</v>
      </c>
      <c r="I39" s="627" t="s">
        <v>2329</v>
      </c>
      <c r="J39" s="715"/>
      <c r="K39" s="710"/>
      <c r="L39" s="711"/>
      <c r="M39" s="536"/>
      <c r="N39" s="536"/>
      <c r="O39" s="536"/>
      <c r="P39" s="536"/>
    </row>
    <row r="40" ht="15.75" customHeight="1">
      <c r="A40" s="702"/>
      <c r="B40" s="82"/>
      <c r="C40" s="82"/>
      <c r="D40" s="50"/>
      <c r="E40" s="82" t="s">
        <v>119</v>
      </c>
      <c r="F40" s="160" t="s">
        <v>124</v>
      </c>
      <c r="G40" s="150" t="s">
        <v>58</v>
      </c>
      <c r="H40" s="708" t="s">
        <v>1648</v>
      </c>
      <c r="I40" s="627" t="s">
        <v>2330</v>
      </c>
      <c r="J40" s="715"/>
      <c r="K40" s="713"/>
      <c r="L40" s="714"/>
      <c r="M40" s="210"/>
      <c r="N40" s="210"/>
      <c r="O40" s="210"/>
      <c r="P40" s="210"/>
    </row>
    <row r="41" ht="15.75" customHeight="1">
      <c r="A41" s="702"/>
      <c r="B41" s="82"/>
      <c r="C41" s="82">
        <v>8.0</v>
      </c>
      <c r="D41" s="50" t="s">
        <v>2331</v>
      </c>
      <c r="E41" s="82" t="s">
        <v>119</v>
      </c>
      <c r="F41" s="160" t="s">
        <v>124</v>
      </c>
      <c r="G41" s="150" t="s">
        <v>58</v>
      </c>
      <c r="H41" s="717" t="s">
        <v>1636</v>
      </c>
      <c r="I41" s="627" t="s">
        <v>2332</v>
      </c>
      <c r="J41" s="715" t="s">
        <v>2284</v>
      </c>
      <c r="K41" s="718" t="s">
        <v>2333</v>
      </c>
      <c r="L41" s="562">
        <v>4.0</v>
      </c>
      <c r="M41" s="705"/>
      <c r="N41" s="706">
        <v>3.0</v>
      </c>
      <c r="O41" s="705"/>
      <c r="P41" s="677" t="s">
        <v>2334</v>
      </c>
    </row>
    <row r="42" ht="15.75" customHeight="1">
      <c r="A42" s="702"/>
      <c r="B42" s="82"/>
      <c r="C42" s="82"/>
      <c r="D42" s="50"/>
      <c r="E42" s="82" t="s">
        <v>119</v>
      </c>
      <c r="F42" s="160" t="s">
        <v>124</v>
      </c>
      <c r="G42" s="150" t="s">
        <v>58</v>
      </c>
      <c r="H42" s="708" t="s">
        <v>1643</v>
      </c>
      <c r="I42" s="627" t="s">
        <v>2335</v>
      </c>
      <c r="J42" s="715"/>
      <c r="K42" s="710"/>
      <c r="L42" s="711"/>
      <c r="M42" s="536"/>
      <c r="N42" s="536"/>
      <c r="O42" s="536"/>
      <c r="P42" s="536"/>
    </row>
    <row r="43" ht="15.75" customHeight="1">
      <c r="A43" s="702"/>
      <c r="B43" s="82"/>
      <c r="C43" s="82"/>
      <c r="D43" s="50"/>
      <c r="E43" s="82" t="s">
        <v>119</v>
      </c>
      <c r="F43" s="160" t="s">
        <v>124</v>
      </c>
      <c r="G43" s="150" t="s">
        <v>58</v>
      </c>
      <c r="H43" s="708" t="s">
        <v>1645</v>
      </c>
      <c r="I43" s="627" t="s">
        <v>2336</v>
      </c>
      <c r="J43" s="715"/>
      <c r="K43" s="710"/>
      <c r="L43" s="711"/>
      <c r="M43" s="536"/>
      <c r="N43" s="536"/>
      <c r="O43" s="536"/>
      <c r="P43" s="536"/>
    </row>
    <row r="44" ht="15.75" customHeight="1">
      <c r="A44" s="702"/>
      <c r="B44" s="82"/>
      <c r="C44" s="82"/>
      <c r="D44" s="50"/>
      <c r="E44" s="82" t="s">
        <v>119</v>
      </c>
      <c r="F44" s="160" t="s">
        <v>124</v>
      </c>
      <c r="G44" s="150" t="s">
        <v>58</v>
      </c>
      <c r="H44" s="708" t="s">
        <v>1638</v>
      </c>
      <c r="I44" s="627" t="s">
        <v>2337</v>
      </c>
      <c r="J44" s="715"/>
      <c r="K44" s="710"/>
      <c r="L44" s="711"/>
      <c r="M44" s="536"/>
      <c r="N44" s="536"/>
      <c r="O44" s="536"/>
      <c r="P44" s="536"/>
    </row>
    <row r="45" ht="15.75" customHeight="1">
      <c r="A45" s="702"/>
      <c r="B45" s="82"/>
      <c r="C45" s="82"/>
      <c r="D45" s="50"/>
      <c r="E45" s="82" t="s">
        <v>119</v>
      </c>
      <c r="F45" s="160" t="s">
        <v>124</v>
      </c>
      <c r="G45" s="150" t="s">
        <v>58</v>
      </c>
      <c r="H45" s="708" t="s">
        <v>1648</v>
      </c>
      <c r="I45" s="627" t="s">
        <v>2338</v>
      </c>
      <c r="J45" s="715"/>
      <c r="K45" s="713"/>
      <c r="L45" s="714"/>
      <c r="M45" s="210"/>
      <c r="N45" s="210"/>
      <c r="O45" s="210"/>
      <c r="P45" s="210"/>
    </row>
    <row r="46" ht="15.75" customHeight="1">
      <c r="A46" s="144" t="s">
        <v>132</v>
      </c>
      <c r="B46" s="143" t="s">
        <v>133</v>
      </c>
      <c r="C46" s="62"/>
      <c r="D46" s="62"/>
      <c r="E46" s="62"/>
      <c r="F46" s="62"/>
      <c r="G46" s="62"/>
      <c r="H46" s="62"/>
      <c r="I46" s="63"/>
      <c r="J46" s="144"/>
      <c r="K46" s="719"/>
      <c r="L46" s="720">
        <v>5.0</v>
      </c>
      <c r="M46" s="615"/>
      <c r="N46" s="701"/>
      <c r="O46" s="615"/>
      <c r="P46" s="487"/>
    </row>
    <row r="47" ht="15.75" customHeight="1">
      <c r="A47" s="702"/>
      <c r="B47" s="82"/>
      <c r="C47" s="82">
        <v>1.0</v>
      </c>
      <c r="D47" s="50" t="s">
        <v>134</v>
      </c>
      <c r="E47" s="82" t="s">
        <v>119</v>
      </c>
      <c r="F47" s="150" t="s">
        <v>124</v>
      </c>
      <c r="G47" s="150" t="s">
        <v>124</v>
      </c>
      <c r="H47" s="703" t="s">
        <v>1636</v>
      </c>
      <c r="I47" s="620" t="s">
        <v>1650</v>
      </c>
      <c r="J47" s="721" t="s">
        <v>2284</v>
      </c>
      <c r="K47" s="716" t="s">
        <v>2339</v>
      </c>
      <c r="L47" s="562">
        <v>5.0</v>
      </c>
      <c r="M47" s="705"/>
      <c r="N47" s="706">
        <v>4.0</v>
      </c>
      <c r="O47" s="705" t="s">
        <v>2340</v>
      </c>
      <c r="P47" s="677" t="s">
        <v>2341</v>
      </c>
    </row>
    <row r="48" ht="15.75" customHeight="1">
      <c r="A48" s="702"/>
      <c r="B48" s="82"/>
      <c r="C48" s="82"/>
      <c r="D48" s="50"/>
      <c r="E48" s="82" t="s">
        <v>119</v>
      </c>
      <c r="F48" s="150" t="s">
        <v>124</v>
      </c>
      <c r="G48" s="150" t="s">
        <v>124</v>
      </c>
      <c r="H48" s="708" t="s">
        <v>1643</v>
      </c>
      <c r="I48" s="627" t="s">
        <v>1656</v>
      </c>
      <c r="J48" s="715"/>
      <c r="K48" s="710"/>
      <c r="L48" s="711"/>
      <c r="M48" s="536"/>
      <c r="N48" s="536"/>
      <c r="O48" s="536"/>
      <c r="P48" s="536"/>
    </row>
    <row r="49" ht="15.75" customHeight="1">
      <c r="A49" s="702"/>
      <c r="B49" s="82"/>
      <c r="C49" s="82"/>
      <c r="D49" s="50"/>
      <c r="E49" s="82" t="s">
        <v>119</v>
      </c>
      <c r="F49" s="150" t="s">
        <v>124</v>
      </c>
      <c r="G49" s="150" t="s">
        <v>124</v>
      </c>
      <c r="H49" s="708" t="s">
        <v>1645</v>
      </c>
      <c r="I49" s="627" t="s">
        <v>1657</v>
      </c>
      <c r="J49" s="715"/>
      <c r="K49" s="710"/>
      <c r="L49" s="711"/>
      <c r="M49" s="536"/>
      <c r="N49" s="536"/>
      <c r="O49" s="536"/>
      <c r="P49" s="536"/>
    </row>
    <row r="50" ht="15.75" customHeight="1">
      <c r="A50" s="702"/>
      <c r="B50" s="82"/>
      <c r="C50" s="82"/>
      <c r="D50" s="50"/>
      <c r="E50" s="82" t="s">
        <v>119</v>
      </c>
      <c r="F50" s="150" t="s">
        <v>124</v>
      </c>
      <c r="G50" s="150" t="s">
        <v>124</v>
      </c>
      <c r="H50" s="708" t="s">
        <v>1638</v>
      </c>
      <c r="I50" s="627" t="s">
        <v>1658</v>
      </c>
      <c r="J50" s="715"/>
      <c r="K50" s="710"/>
      <c r="L50" s="711"/>
      <c r="M50" s="536"/>
      <c r="N50" s="536"/>
      <c r="O50" s="536"/>
      <c r="P50" s="536"/>
    </row>
    <row r="51" ht="15.75" customHeight="1">
      <c r="A51" s="702"/>
      <c r="B51" s="82"/>
      <c r="C51" s="82"/>
      <c r="D51" s="50"/>
      <c r="E51" s="82" t="s">
        <v>119</v>
      </c>
      <c r="F51" s="150" t="s">
        <v>124</v>
      </c>
      <c r="G51" s="150" t="s">
        <v>124</v>
      </c>
      <c r="H51" s="708" t="s">
        <v>1648</v>
      </c>
      <c r="I51" s="627" t="s">
        <v>1659</v>
      </c>
      <c r="J51" s="715"/>
      <c r="K51" s="713"/>
      <c r="L51" s="714"/>
      <c r="M51" s="210"/>
      <c r="N51" s="210"/>
      <c r="O51" s="210"/>
      <c r="P51" s="210"/>
    </row>
    <row r="52" ht="15.75" customHeight="1">
      <c r="A52" s="144" t="s">
        <v>135</v>
      </c>
      <c r="B52" s="143" t="s">
        <v>136</v>
      </c>
      <c r="C52" s="62"/>
      <c r="D52" s="62"/>
      <c r="E52" s="62"/>
      <c r="F52" s="62"/>
      <c r="G52" s="62"/>
      <c r="H52" s="62"/>
      <c r="I52" s="63"/>
      <c r="J52" s="144"/>
      <c r="K52" s="719"/>
      <c r="L52" s="720">
        <v>4.0</v>
      </c>
      <c r="M52" s="615"/>
      <c r="N52" s="701"/>
      <c r="O52" s="615"/>
      <c r="P52" s="487"/>
    </row>
    <row r="53" ht="15.75" customHeight="1">
      <c r="A53" s="702"/>
      <c r="B53" s="82"/>
      <c r="C53" s="82">
        <v>1.0</v>
      </c>
      <c r="D53" s="50" t="s">
        <v>2342</v>
      </c>
      <c r="E53" s="82" t="s">
        <v>119</v>
      </c>
      <c r="F53" s="150" t="s">
        <v>124</v>
      </c>
      <c r="G53" s="150" t="s">
        <v>124</v>
      </c>
      <c r="H53" s="703" t="s">
        <v>1636</v>
      </c>
      <c r="I53" s="620" t="s">
        <v>1662</v>
      </c>
      <c r="J53" s="721" t="s">
        <v>2284</v>
      </c>
      <c r="K53" s="704" t="s">
        <v>2343</v>
      </c>
      <c r="L53" s="562">
        <v>5.0</v>
      </c>
      <c r="M53" s="705"/>
      <c r="N53" s="706">
        <v>3.0</v>
      </c>
      <c r="O53" s="705"/>
      <c r="P53" s="677" t="s">
        <v>2344</v>
      </c>
    </row>
    <row r="54" ht="15.75" customHeight="1">
      <c r="A54" s="702"/>
      <c r="B54" s="82"/>
      <c r="C54" s="82"/>
      <c r="D54" s="50"/>
      <c r="E54" s="82" t="s">
        <v>119</v>
      </c>
      <c r="F54" s="150" t="s">
        <v>124</v>
      </c>
      <c r="G54" s="150" t="s">
        <v>124</v>
      </c>
      <c r="H54" s="708" t="s">
        <v>1643</v>
      </c>
      <c r="I54" s="627" t="s">
        <v>1667</v>
      </c>
      <c r="J54" s="715"/>
      <c r="K54" s="710"/>
      <c r="L54" s="711"/>
      <c r="M54" s="536"/>
      <c r="N54" s="536"/>
      <c r="O54" s="536"/>
      <c r="P54" s="536"/>
    </row>
    <row r="55" ht="15.75" customHeight="1">
      <c r="A55" s="702"/>
      <c r="B55" s="82"/>
      <c r="C55" s="82"/>
      <c r="D55" s="50"/>
      <c r="E55" s="82" t="s">
        <v>119</v>
      </c>
      <c r="F55" s="150" t="s">
        <v>124</v>
      </c>
      <c r="G55" s="150" t="s">
        <v>124</v>
      </c>
      <c r="H55" s="708" t="s">
        <v>1645</v>
      </c>
      <c r="I55" s="627" t="s">
        <v>1668</v>
      </c>
      <c r="J55" s="715"/>
      <c r="K55" s="710"/>
      <c r="L55" s="711"/>
      <c r="M55" s="536"/>
      <c r="N55" s="536"/>
      <c r="O55" s="536"/>
      <c r="P55" s="536"/>
    </row>
    <row r="56" ht="15.75" customHeight="1">
      <c r="A56" s="702"/>
      <c r="B56" s="82"/>
      <c r="C56" s="82"/>
      <c r="D56" s="50"/>
      <c r="E56" s="82" t="s">
        <v>119</v>
      </c>
      <c r="F56" s="150" t="s">
        <v>124</v>
      </c>
      <c r="G56" s="150" t="s">
        <v>124</v>
      </c>
      <c r="H56" s="708" t="s">
        <v>1638</v>
      </c>
      <c r="I56" s="627" t="s">
        <v>1669</v>
      </c>
      <c r="J56" s="715"/>
      <c r="K56" s="710"/>
      <c r="L56" s="711"/>
      <c r="M56" s="536"/>
      <c r="N56" s="536"/>
      <c r="O56" s="536"/>
      <c r="P56" s="536"/>
    </row>
    <row r="57" ht="15.75" customHeight="1">
      <c r="A57" s="702"/>
      <c r="B57" s="82"/>
      <c r="C57" s="82"/>
      <c r="D57" s="50"/>
      <c r="E57" s="82" t="s">
        <v>119</v>
      </c>
      <c r="F57" s="150" t="s">
        <v>124</v>
      </c>
      <c r="G57" s="150" t="s">
        <v>124</v>
      </c>
      <c r="H57" s="708" t="s">
        <v>1648</v>
      </c>
      <c r="I57" s="627" t="s">
        <v>1670</v>
      </c>
      <c r="J57" s="715"/>
      <c r="K57" s="713"/>
      <c r="L57" s="714"/>
      <c r="M57" s="210"/>
      <c r="N57" s="210"/>
      <c r="O57" s="210"/>
      <c r="P57" s="210"/>
    </row>
    <row r="58" ht="15.75" customHeight="1">
      <c r="A58" s="702"/>
      <c r="B58" s="82"/>
      <c r="C58" s="82">
        <v>2.0</v>
      </c>
      <c r="D58" s="50" t="s">
        <v>1671</v>
      </c>
      <c r="E58" s="82" t="s">
        <v>119</v>
      </c>
      <c r="F58" s="82" t="s">
        <v>120</v>
      </c>
      <c r="G58" s="160" t="s">
        <v>124</v>
      </c>
      <c r="H58" s="708" t="s">
        <v>1636</v>
      </c>
      <c r="I58" s="627" t="s">
        <v>1672</v>
      </c>
      <c r="J58" s="715" t="s">
        <v>2284</v>
      </c>
      <c r="K58" s="704" t="s">
        <v>2345</v>
      </c>
      <c r="L58" s="562">
        <v>5.0</v>
      </c>
      <c r="M58" s="705"/>
      <c r="N58" s="706">
        <v>3.0</v>
      </c>
      <c r="O58" s="705" t="s">
        <v>2346</v>
      </c>
      <c r="P58" s="677" t="s">
        <v>2347</v>
      </c>
    </row>
    <row r="59" ht="15.75" customHeight="1">
      <c r="A59" s="702"/>
      <c r="B59" s="82"/>
      <c r="C59" s="82"/>
      <c r="D59" s="50"/>
      <c r="E59" s="82" t="s">
        <v>119</v>
      </c>
      <c r="F59" s="82" t="s">
        <v>120</v>
      </c>
      <c r="G59" s="160" t="s">
        <v>124</v>
      </c>
      <c r="H59" s="708" t="s">
        <v>1643</v>
      </c>
      <c r="I59" s="627" t="s">
        <v>1675</v>
      </c>
      <c r="J59" s="715"/>
      <c r="K59" s="710"/>
      <c r="L59" s="711"/>
      <c r="M59" s="536"/>
      <c r="N59" s="536"/>
      <c r="O59" s="536"/>
      <c r="P59" s="536"/>
    </row>
    <row r="60" ht="15.75" customHeight="1">
      <c r="A60" s="702"/>
      <c r="B60" s="82"/>
      <c r="C60" s="82"/>
      <c r="D60" s="50"/>
      <c r="E60" s="82" t="s">
        <v>119</v>
      </c>
      <c r="F60" s="82" t="s">
        <v>120</v>
      </c>
      <c r="G60" s="160" t="s">
        <v>124</v>
      </c>
      <c r="H60" s="717" t="s">
        <v>1645</v>
      </c>
      <c r="I60" s="627" t="s">
        <v>1676</v>
      </c>
      <c r="J60" s="715"/>
      <c r="K60" s="710"/>
      <c r="L60" s="711"/>
      <c r="M60" s="536"/>
      <c r="N60" s="536"/>
      <c r="O60" s="536"/>
      <c r="P60" s="536"/>
    </row>
    <row r="61" ht="15.75" customHeight="1">
      <c r="A61" s="702"/>
      <c r="B61" s="82"/>
      <c r="C61" s="82"/>
      <c r="D61" s="50"/>
      <c r="E61" s="82" t="s">
        <v>119</v>
      </c>
      <c r="F61" s="82" t="s">
        <v>120</v>
      </c>
      <c r="G61" s="160" t="s">
        <v>124</v>
      </c>
      <c r="H61" s="708" t="s">
        <v>1638</v>
      </c>
      <c r="I61" s="627" t="s">
        <v>1677</v>
      </c>
      <c r="J61" s="715"/>
      <c r="K61" s="710"/>
      <c r="L61" s="711"/>
      <c r="M61" s="536"/>
      <c r="N61" s="536"/>
      <c r="O61" s="536"/>
      <c r="P61" s="536"/>
    </row>
    <row r="62" ht="15.75" customHeight="1">
      <c r="A62" s="702"/>
      <c r="B62" s="82"/>
      <c r="C62" s="82"/>
      <c r="D62" s="50"/>
      <c r="E62" s="82" t="s">
        <v>119</v>
      </c>
      <c r="F62" s="82" t="s">
        <v>120</v>
      </c>
      <c r="G62" s="160" t="s">
        <v>124</v>
      </c>
      <c r="H62" s="708" t="s">
        <v>1648</v>
      </c>
      <c r="I62" s="627" t="s">
        <v>1678</v>
      </c>
      <c r="J62" s="715"/>
      <c r="K62" s="713"/>
      <c r="L62" s="714"/>
      <c r="M62" s="210"/>
      <c r="N62" s="210"/>
      <c r="O62" s="210"/>
      <c r="P62" s="210"/>
    </row>
    <row r="63" ht="15.75" customHeight="1">
      <c r="A63" s="702"/>
      <c r="B63" s="82"/>
      <c r="C63" s="82">
        <v>3.0</v>
      </c>
      <c r="D63" s="50" t="s">
        <v>1679</v>
      </c>
      <c r="E63" s="82" t="s">
        <v>119</v>
      </c>
      <c r="F63" s="82" t="s">
        <v>120</v>
      </c>
      <c r="G63" s="160" t="s">
        <v>124</v>
      </c>
      <c r="H63" s="708" t="s">
        <v>1636</v>
      </c>
      <c r="I63" s="627" t="s">
        <v>1680</v>
      </c>
      <c r="J63" s="715" t="s">
        <v>2284</v>
      </c>
      <c r="K63" s="704" t="s">
        <v>2348</v>
      </c>
      <c r="L63" s="562">
        <v>4.0</v>
      </c>
      <c r="M63" s="705"/>
      <c r="N63" s="706">
        <v>3.0</v>
      </c>
      <c r="O63" s="705"/>
      <c r="P63" s="677" t="s">
        <v>2349</v>
      </c>
    </row>
    <row r="64" ht="15.75" customHeight="1">
      <c r="A64" s="702"/>
      <c r="B64" s="82"/>
      <c r="C64" s="82"/>
      <c r="D64" s="50"/>
      <c r="E64" s="82" t="s">
        <v>119</v>
      </c>
      <c r="F64" s="82" t="s">
        <v>120</v>
      </c>
      <c r="G64" s="160" t="s">
        <v>124</v>
      </c>
      <c r="H64" s="708" t="s">
        <v>1643</v>
      </c>
      <c r="I64" s="627" t="s">
        <v>1683</v>
      </c>
      <c r="J64" s="715"/>
      <c r="K64" s="710"/>
      <c r="L64" s="711"/>
      <c r="M64" s="536"/>
      <c r="N64" s="536"/>
      <c r="O64" s="536"/>
      <c r="P64" s="536"/>
    </row>
    <row r="65" ht="15.75" customHeight="1">
      <c r="A65" s="702"/>
      <c r="B65" s="82"/>
      <c r="C65" s="82"/>
      <c r="D65" s="50"/>
      <c r="E65" s="82" t="s">
        <v>119</v>
      </c>
      <c r="F65" s="82" t="s">
        <v>120</v>
      </c>
      <c r="G65" s="160" t="s">
        <v>124</v>
      </c>
      <c r="H65" s="708" t="s">
        <v>1645</v>
      </c>
      <c r="I65" s="627" t="s">
        <v>1684</v>
      </c>
      <c r="J65" s="715"/>
      <c r="K65" s="710"/>
      <c r="L65" s="711"/>
      <c r="M65" s="536"/>
      <c r="N65" s="536"/>
      <c r="O65" s="536"/>
      <c r="P65" s="536"/>
    </row>
    <row r="66" ht="15.75" customHeight="1">
      <c r="A66" s="702"/>
      <c r="B66" s="82"/>
      <c r="C66" s="82"/>
      <c r="D66" s="50"/>
      <c r="E66" s="82" t="s">
        <v>119</v>
      </c>
      <c r="F66" s="82" t="s">
        <v>120</v>
      </c>
      <c r="G66" s="160" t="s">
        <v>124</v>
      </c>
      <c r="H66" s="717" t="s">
        <v>1638</v>
      </c>
      <c r="I66" s="627" t="s">
        <v>1685</v>
      </c>
      <c r="J66" s="715"/>
      <c r="K66" s="710"/>
      <c r="L66" s="711"/>
      <c r="M66" s="536"/>
      <c r="N66" s="536"/>
      <c r="O66" s="536"/>
      <c r="P66" s="536"/>
    </row>
    <row r="67" ht="15.75" customHeight="1">
      <c r="A67" s="702"/>
      <c r="B67" s="82"/>
      <c r="C67" s="82"/>
      <c r="D67" s="50"/>
      <c r="E67" s="82" t="s">
        <v>119</v>
      </c>
      <c r="F67" s="82" t="s">
        <v>120</v>
      </c>
      <c r="G67" s="160" t="s">
        <v>124</v>
      </c>
      <c r="H67" s="708" t="s">
        <v>1648</v>
      </c>
      <c r="I67" s="627" t="s">
        <v>1686</v>
      </c>
      <c r="J67" s="715"/>
      <c r="K67" s="713"/>
      <c r="L67" s="714"/>
      <c r="M67" s="210"/>
      <c r="N67" s="210"/>
      <c r="O67" s="210"/>
      <c r="P67" s="210"/>
    </row>
    <row r="68" ht="15.75" customHeight="1">
      <c r="A68" s="702"/>
      <c r="B68" s="82"/>
      <c r="C68" s="82">
        <v>4.0</v>
      </c>
      <c r="D68" s="50" t="s">
        <v>1687</v>
      </c>
      <c r="E68" s="82" t="s">
        <v>119</v>
      </c>
      <c r="F68" s="82" t="s">
        <v>120</v>
      </c>
      <c r="G68" s="160" t="s">
        <v>124</v>
      </c>
      <c r="H68" s="708" t="s">
        <v>1636</v>
      </c>
      <c r="I68" s="627" t="s">
        <v>1688</v>
      </c>
      <c r="J68" s="715" t="s">
        <v>2284</v>
      </c>
      <c r="K68" s="704" t="s">
        <v>2350</v>
      </c>
      <c r="L68" s="562">
        <v>4.0</v>
      </c>
      <c r="M68" s="705"/>
      <c r="N68" s="706">
        <v>3.0</v>
      </c>
      <c r="O68" s="705"/>
      <c r="P68" s="677" t="s">
        <v>2351</v>
      </c>
    </row>
    <row r="69" ht="15.75" customHeight="1">
      <c r="A69" s="702"/>
      <c r="B69" s="82"/>
      <c r="C69" s="82"/>
      <c r="D69" s="50"/>
      <c r="E69" s="82" t="s">
        <v>119</v>
      </c>
      <c r="F69" s="82" t="s">
        <v>120</v>
      </c>
      <c r="G69" s="160" t="s">
        <v>124</v>
      </c>
      <c r="H69" s="708" t="s">
        <v>1643</v>
      </c>
      <c r="I69" s="722" t="s">
        <v>1691</v>
      </c>
      <c r="J69" s="715"/>
      <c r="K69" s="710"/>
      <c r="L69" s="711"/>
      <c r="M69" s="536"/>
      <c r="N69" s="536"/>
      <c r="O69" s="536"/>
      <c r="P69" s="536"/>
    </row>
    <row r="70" ht="15.75" customHeight="1">
      <c r="A70" s="702"/>
      <c r="B70" s="82"/>
      <c r="C70" s="82"/>
      <c r="D70" s="50"/>
      <c r="E70" s="82" t="s">
        <v>119</v>
      </c>
      <c r="F70" s="82" t="s">
        <v>120</v>
      </c>
      <c r="G70" s="160" t="s">
        <v>124</v>
      </c>
      <c r="H70" s="708" t="s">
        <v>1645</v>
      </c>
      <c r="I70" s="722" t="s">
        <v>1692</v>
      </c>
      <c r="J70" s="715"/>
      <c r="K70" s="710"/>
      <c r="L70" s="711"/>
      <c r="M70" s="536"/>
      <c r="N70" s="536"/>
      <c r="O70" s="536"/>
      <c r="P70" s="536"/>
    </row>
    <row r="71" ht="15.75" customHeight="1">
      <c r="A71" s="702"/>
      <c r="B71" s="82"/>
      <c r="C71" s="82"/>
      <c r="D71" s="50"/>
      <c r="E71" s="82" t="s">
        <v>119</v>
      </c>
      <c r="F71" s="82" t="s">
        <v>120</v>
      </c>
      <c r="G71" s="160" t="s">
        <v>124</v>
      </c>
      <c r="H71" s="717" t="s">
        <v>1638</v>
      </c>
      <c r="I71" s="722" t="s">
        <v>1693</v>
      </c>
      <c r="J71" s="715"/>
      <c r="K71" s="710"/>
      <c r="L71" s="711"/>
      <c r="M71" s="536"/>
      <c r="N71" s="536"/>
      <c r="O71" s="536"/>
      <c r="P71" s="536"/>
    </row>
    <row r="72" ht="15.75" customHeight="1">
      <c r="A72" s="702"/>
      <c r="B72" s="82"/>
      <c r="C72" s="82"/>
      <c r="D72" s="50"/>
      <c r="E72" s="82" t="s">
        <v>119</v>
      </c>
      <c r="F72" s="82" t="s">
        <v>120</v>
      </c>
      <c r="G72" s="160" t="s">
        <v>124</v>
      </c>
      <c r="H72" s="708" t="s">
        <v>1648</v>
      </c>
      <c r="I72" s="722" t="s">
        <v>1694</v>
      </c>
      <c r="J72" s="715"/>
      <c r="K72" s="713"/>
      <c r="L72" s="714"/>
      <c r="M72" s="210"/>
      <c r="N72" s="210"/>
      <c r="O72" s="210"/>
      <c r="P72" s="210"/>
    </row>
    <row r="73" ht="15.75" customHeight="1">
      <c r="A73" s="702"/>
      <c r="B73" s="82"/>
      <c r="C73" s="82">
        <v>5.0</v>
      </c>
      <c r="D73" s="50" t="s">
        <v>2352</v>
      </c>
      <c r="E73" s="82" t="s">
        <v>119</v>
      </c>
      <c r="F73" s="160" t="s">
        <v>124</v>
      </c>
      <c r="G73" s="150" t="s">
        <v>58</v>
      </c>
      <c r="H73" s="717" t="s">
        <v>1636</v>
      </c>
      <c r="I73" s="627" t="s">
        <v>2353</v>
      </c>
      <c r="J73" s="715" t="s">
        <v>2284</v>
      </c>
      <c r="K73" s="716" t="s">
        <v>2354</v>
      </c>
      <c r="L73" s="562">
        <v>4.0</v>
      </c>
      <c r="M73" s="705"/>
      <c r="N73" s="723">
        <v>3.0</v>
      </c>
      <c r="O73" s="705" t="s">
        <v>2355</v>
      </c>
      <c r="P73" s="677" t="s">
        <v>2356</v>
      </c>
    </row>
    <row r="74" ht="15.75" customHeight="1">
      <c r="A74" s="702"/>
      <c r="B74" s="82"/>
      <c r="C74" s="82"/>
      <c r="D74" s="50"/>
      <c r="E74" s="82" t="s">
        <v>119</v>
      </c>
      <c r="F74" s="160" t="s">
        <v>124</v>
      </c>
      <c r="G74" s="150" t="s">
        <v>58</v>
      </c>
      <c r="H74" s="708" t="s">
        <v>1643</v>
      </c>
      <c r="I74" s="627" t="s">
        <v>2357</v>
      </c>
      <c r="J74" s="715"/>
      <c r="K74" s="710"/>
      <c r="L74" s="711"/>
      <c r="M74" s="536"/>
      <c r="N74" s="536"/>
      <c r="O74" s="536"/>
      <c r="P74" s="536"/>
    </row>
    <row r="75" ht="15.75" customHeight="1">
      <c r="A75" s="702"/>
      <c r="B75" s="82"/>
      <c r="C75" s="82"/>
      <c r="D75" s="50"/>
      <c r="E75" s="82" t="s">
        <v>119</v>
      </c>
      <c r="F75" s="160" t="s">
        <v>124</v>
      </c>
      <c r="G75" s="150" t="s">
        <v>58</v>
      </c>
      <c r="H75" s="708" t="s">
        <v>1645</v>
      </c>
      <c r="I75" s="627" t="s">
        <v>2358</v>
      </c>
      <c r="J75" s="715"/>
      <c r="K75" s="710"/>
      <c r="L75" s="711"/>
      <c r="M75" s="536"/>
      <c r="N75" s="536"/>
      <c r="O75" s="536"/>
      <c r="P75" s="536"/>
    </row>
    <row r="76" ht="15.75" customHeight="1">
      <c r="A76" s="702"/>
      <c r="B76" s="82"/>
      <c r="C76" s="82"/>
      <c r="D76" s="50"/>
      <c r="E76" s="82" t="s">
        <v>119</v>
      </c>
      <c r="F76" s="160" t="s">
        <v>124</v>
      </c>
      <c r="G76" s="150" t="s">
        <v>58</v>
      </c>
      <c r="H76" s="708" t="s">
        <v>1638</v>
      </c>
      <c r="I76" s="627" t="s">
        <v>2359</v>
      </c>
      <c r="J76" s="715"/>
      <c r="K76" s="710"/>
      <c r="L76" s="711"/>
      <c r="M76" s="536"/>
      <c r="N76" s="536"/>
      <c r="O76" s="536"/>
      <c r="P76" s="536"/>
    </row>
    <row r="77" ht="15.75" customHeight="1">
      <c r="A77" s="702"/>
      <c r="B77" s="82"/>
      <c r="C77" s="82"/>
      <c r="D77" s="50"/>
      <c r="E77" s="82" t="s">
        <v>119</v>
      </c>
      <c r="F77" s="160" t="s">
        <v>124</v>
      </c>
      <c r="G77" s="150" t="s">
        <v>58</v>
      </c>
      <c r="H77" s="708" t="s">
        <v>1648</v>
      </c>
      <c r="I77" s="627" t="s">
        <v>2360</v>
      </c>
      <c r="J77" s="715"/>
      <c r="K77" s="713"/>
      <c r="L77" s="714"/>
      <c r="M77" s="210"/>
      <c r="N77" s="210"/>
      <c r="O77" s="210"/>
      <c r="P77" s="210"/>
    </row>
    <row r="78" ht="15.75" customHeight="1">
      <c r="A78" s="702"/>
      <c r="B78" s="82"/>
      <c r="C78" s="82">
        <v>6.0</v>
      </c>
      <c r="D78" s="50" t="s">
        <v>143</v>
      </c>
      <c r="E78" s="82" t="s">
        <v>119</v>
      </c>
      <c r="F78" s="160" t="s">
        <v>124</v>
      </c>
      <c r="G78" s="150" t="s">
        <v>58</v>
      </c>
      <c r="H78" s="708" t="s">
        <v>1636</v>
      </c>
      <c r="I78" s="627" t="s">
        <v>2361</v>
      </c>
      <c r="J78" s="715" t="s">
        <v>2284</v>
      </c>
      <c r="K78" s="716" t="s">
        <v>2362</v>
      </c>
      <c r="L78" s="562">
        <v>3.0</v>
      </c>
      <c r="M78" s="705"/>
      <c r="N78" s="706">
        <v>3.0</v>
      </c>
      <c r="O78" s="705" t="s">
        <v>2355</v>
      </c>
      <c r="P78" s="677" t="s">
        <v>2363</v>
      </c>
    </row>
    <row r="79" ht="15.75" customHeight="1">
      <c r="A79" s="702"/>
      <c r="B79" s="82"/>
      <c r="C79" s="82"/>
      <c r="D79" s="50"/>
      <c r="E79" s="82" t="s">
        <v>119</v>
      </c>
      <c r="F79" s="160" t="s">
        <v>124</v>
      </c>
      <c r="G79" s="150" t="s">
        <v>58</v>
      </c>
      <c r="H79" s="717" t="s">
        <v>1643</v>
      </c>
      <c r="I79" s="627" t="s">
        <v>2364</v>
      </c>
      <c r="J79" s="715"/>
      <c r="K79" s="710"/>
      <c r="L79" s="711"/>
      <c r="M79" s="536"/>
      <c r="N79" s="536"/>
      <c r="O79" s="536"/>
      <c r="P79" s="536"/>
    </row>
    <row r="80" ht="15.75" customHeight="1">
      <c r="A80" s="702"/>
      <c r="B80" s="82"/>
      <c r="C80" s="82"/>
      <c r="D80" s="50"/>
      <c r="E80" s="82" t="s">
        <v>119</v>
      </c>
      <c r="F80" s="160" t="s">
        <v>124</v>
      </c>
      <c r="G80" s="150" t="s">
        <v>58</v>
      </c>
      <c r="H80" s="708" t="s">
        <v>1645</v>
      </c>
      <c r="I80" s="627" t="s">
        <v>2365</v>
      </c>
      <c r="J80" s="715"/>
      <c r="K80" s="710"/>
      <c r="L80" s="711"/>
      <c r="M80" s="536"/>
      <c r="N80" s="536"/>
      <c r="O80" s="536"/>
      <c r="P80" s="536"/>
    </row>
    <row r="81" ht="15.75" customHeight="1">
      <c r="A81" s="702"/>
      <c r="B81" s="82"/>
      <c r="C81" s="82"/>
      <c r="D81" s="50"/>
      <c r="E81" s="82" t="s">
        <v>119</v>
      </c>
      <c r="F81" s="160" t="s">
        <v>124</v>
      </c>
      <c r="G81" s="150" t="s">
        <v>58</v>
      </c>
      <c r="H81" s="708" t="s">
        <v>1638</v>
      </c>
      <c r="I81" s="627" t="s">
        <v>2366</v>
      </c>
      <c r="J81" s="715"/>
      <c r="K81" s="710"/>
      <c r="L81" s="711"/>
      <c r="M81" s="536"/>
      <c r="N81" s="536"/>
      <c r="O81" s="536"/>
      <c r="P81" s="536"/>
    </row>
    <row r="82" ht="15.75" customHeight="1">
      <c r="A82" s="702"/>
      <c r="B82" s="82"/>
      <c r="C82" s="82"/>
      <c r="D82" s="50"/>
      <c r="E82" s="82" t="s">
        <v>119</v>
      </c>
      <c r="F82" s="160" t="s">
        <v>124</v>
      </c>
      <c r="G82" s="150" t="s">
        <v>58</v>
      </c>
      <c r="H82" s="708" t="s">
        <v>1648</v>
      </c>
      <c r="I82" s="627" t="s">
        <v>2367</v>
      </c>
      <c r="J82" s="715"/>
      <c r="K82" s="713"/>
      <c r="L82" s="714"/>
      <c r="M82" s="210"/>
      <c r="N82" s="210"/>
      <c r="O82" s="210"/>
      <c r="P82" s="210"/>
    </row>
    <row r="83" ht="15.75" customHeight="1">
      <c r="A83" s="702"/>
      <c r="B83" s="82"/>
      <c r="C83" s="82">
        <v>7.0</v>
      </c>
      <c r="D83" s="50" t="s">
        <v>2368</v>
      </c>
      <c r="E83" s="82" t="s">
        <v>119</v>
      </c>
      <c r="F83" s="160" t="s">
        <v>124</v>
      </c>
      <c r="G83" s="150" t="s">
        <v>58</v>
      </c>
      <c r="H83" s="708" t="s">
        <v>1636</v>
      </c>
      <c r="I83" s="627" t="s">
        <v>2369</v>
      </c>
      <c r="J83" s="715" t="s">
        <v>2284</v>
      </c>
      <c r="K83" s="716" t="s">
        <v>2370</v>
      </c>
      <c r="L83" s="562">
        <v>3.0</v>
      </c>
      <c r="M83" s="705"/>
      <c r="N83" s="706">
        <v>3.0</v>
      </c>
      <c r="O83" s="705"/>
      <c r="P83" s="677" t="s">
        <v>2371</v>
      </c>
    </row>
    <row r="84" ht="15.75" customHeight="1">
      <c r="A84" s="702"/>
      <c r="B84" s="82"/>
      <c r="C84" s="82"/>
      <c r="D84" s="50"/>
      <c r="E84" s="82" t="s">
        <v>119</v>
      </c>
      <c r="F84" s="160" t="s">
        <v>124</v>
      </c>
      <c r="G84" s="150" t="s">
        <v>58</v>
      </c>
      <c r="H84" s="717" t="s">
        <v>1643</v>
      </c>
      <c r="I84" s="627" t="s">
        <v>2372</v>
      </c>
      <c r="J84" s="715"/>
      <c r="K84" s="710"/>
      <c r="L84" s="711"/>
      <c r="M84" s="536"/>
      <c r="N84" s="536"/>
      <c r="O84" s="536"/>
      <c r="P84" s="536"/>
    </row>
    <row r="85" ht="15.75" customHeight="1">
      <c r="A85" s="702"/>
      <c r="B85" s="82"/>
      <c r="C85" s="82"/>
      <c r="D85" s="50"/>
      <c r="E85" s="82" t="s">
        <v>119</v>
      </c>
      <c r="F85" s="160" t="s">
        <v>124</v>
      </c>
      <c r="G85" s="150" t="s">
        <v>58</v>
      </c>
      <c r="H85" s="708" t="s">
        <v>1645</v>
      </c>
      <c r="I85" s="627" t="s">
        <v>2373</v>
      </c>
      <c r="J85" s="715"/>
      <c r="K85" s="710"/>
      <c r="L85" s="711"/>
      <c r="M85" s="536"/>
      <c r="N85" s="536"/>
      <c r="O85" s="536"/>
      <c r="P85" s="536"/>
    </row>
    <row r="86" ht="15.75" customHeight="1">
      <c r="A86" s="702"/>
      <c r="B86" s="82"/>
      <c r="C86" s="82"/>
      <c r="D86" s="50"/>
      <c r="E86" s="82" t="s">
        <v>119</v>
      </c>
      <c r="F86" s="160" t="s">
        <v>124</v>
      </c>
      <c r="G86" s="150" t="s">
        <v>58</v>
      </c>
      <c r="H86" s="708" t="s">
        <v>1638</v>
      </c>
      <c r="I86" s="627" t="s">
        <v>2374</v>
      </c>
      <c r="J86" s="715"/>
      <c r="K86" s="710"/>
      <c r="L86" s="711"/>
      <c r="M86" s="536"/>
      <c r="N86" s="536"/>
      <c r="O86" s="536"/>
      <c r="P86" s="536"/>
    </row>
    <row r="87" ht="15.75" customHeight="1">
      <c r="A87" s="702"/>
      <c r="B87" s="82"/>
      <c r="C87" s="82"/>
      <c r="D87" s="50"/>
      <c r="E87" s="82" t="s">
        <v>119</v>
      </c>
      <c r="F87" s="160" t="s">
        <v>124</v>
      </c>
      <c r="G87" s="150" t="s">
        <v>58</v>
      </c>
      <c r="H87" s="708" t="s">
        <v>1648</v>
      </c>
      <c r="I87" s="627" t="s">
        <v>2375</v>
      </c>
      <c r="J87" s="715"/>
      <c r="K87" s="713"/>
      <c r="L87" s="714"/>
      <c r="M87" s="210"/>
      <c r="N87" s="210"/>
      <c r="O87" s="210"/>
      <c r="P87" s="210"/>
    </row>
    <row r="88" ht="15.75" customHeight="1">
      <c r="A88" s="144" t="s">
        <v>145</v>
      </c>
      <c r="B88" s="143" t="s">
        <v>146</v>
      </c>
      <c r="C88" s="62"/>
      <c r="D88" s="62"/>
      <c r="E88" s="62"/>
      <c r="F88" s="62"/>
      <c r="G88" s="62"/>
      <c r="H88" s="62"/>
      <c r="I88" s="63"/>
      <c r="J88" s="144"/>
      <c r="K88" s="719"/>
      <c r="L88" s="720">
        <v>4.0</v>
      </c>
      <c r="M88" s="615"/>
      <c r="N88" s="701"/>
      <c r="O88" s="615"/>
      <c r="P88" s="487"/>
    </row>
    <row r="89" ht="15.75" customHeight="1">
      <c r="A89" s="702"/>
      <c r="B89" s="82"/>
      <c r="C89" s="82">
        <v>1.0</v>
      </c>
      <c r="D89" s="50" t="s">
        <v>2376</v>
      </c>
      <c r="E89" s="82" t="s">
        <v>119</v>
      </c>
      <c r="F89" s="150" t="s">
        <v>124</v>
      </c>
      <c r="G89" s="150" t="s">
        <v>124</v>
      </c>
      <c r="H89" s="703" t="s">
        <v>1636</v>
      </c>
      <c r="I89" s="620" t="s">
        <v>1696</v>
      </c>
      <c r="J89" s="721" t="s">
        <v>2284</v>
      </c>
      <c r="K89" s="704" t="s">
        <v>2377</v>
      </c>
      <c r="L89" s="562">
        <v>4.0</v>
      </c>
      <c r="M89" s="705"/>
      <c r="N89" s="706">
        <v>3.0</v>
      </c>
      <c r="O89" s="705"/>
      <c r="P89" s="677" t="s">
        <v>2378</v>
      </c>
    </row>
    <row r="90" ht="15.75" customHeight="1">
      <c r="A90" s="702"/>
      <c r="B90" s="82"/>
      <c r="C90" s="82"/>
      <c r="D90" s="50"/>
      <c r="E90" s="82" t="s">
        <v>119</v>
      </c>
      <c r="F90" s="150" t="s">
        <v>124</v>
      </c>
      <c r="G90" s="150" t="s">
        <v>124</v>
      </c>
      <c r="H90" s="708" t="s">
        <v>1643</v>
      </c>
      <c r="I90" s="627" t="s">
        <v>1701</v>
      </c>
      <c r="J90" s="715"/>
      <c r="K90" s="710"/>
      <c r="L90" s="711"/>
      <c r="M90" s="536"/>
      <c r="N90" s="536"/>
      <c r="O90" s="536"/>
      <c r="P90" s="536"/>
    </row>
    <row r="91" ht="15.75" customHeight="1">
      <c r="A91" s="702"/>
      <c r="B91" s="82"/>
      <c r="C91" s="82"/>
      <c r="D91" s="50"/>
      <c r="E91" s="82" t="s">
        <v>119</v>
      </c>
      <c r="F91" s="150" t="s">
        <v>124</v>
      </c>
      <c r="G91" s="150" t="s">
        <v>124</v>
      </c>
      <c r="H91" s="708" t="s">
        <v>1645</v>
      </c>
      <c r="I91" s="627" t="s">
        <v>1702</v>
      </c>
      <c r="J91" s="715"/>
      <c r="K91" s="710"/>
      <c r="L91" s="711"/>
      <c r="M91" s="536"/>
      <c r="N91" s="536"/>
      <c r="O91" s="536"/>
      <c r="P91" s="536"/>
    </row>
    <row r="92" ht="15.75" customHeight="1">
      <c r="A92" s="702"/>
      <c r="B92" s="82"/>
      <c r="C92" s="82"/>
      <c r="D92" s="50"/>
      <c r="E92" s="82" t="s">
        <v>119</v>
      </c>
      <c r="F92" s="150" t="s">
        <v>124</v>
      </c>
      <c r="G92" s="150" t="s">
        <v>124</v>
      </c>
      <c r="H92" s="708" t="s">
        <v>1638</v>
      </c>
      <c r="I92" s="627" t="s">
        <v>1703</v>
      </c>
      <c r="J92" s="715"/>
      <c r="K92" s="710"/>
      <c r="L92" s="711"/>
      <c r="M92" s="536"/>
      <c r="N92" s="536"/>
      <c r="O92" s="536"/>
      <c r="P92" s="536"/>
    </row>
    <row r="93" ht="15.75" customHeight="1">
      <c r="A93" s="702"/>
      <c r="B93" s="82"/>
      <c r="C93" s="82"/>
      <c r="D93" s="50"/>
      <c r="E93" s="82" t="s">
        <v>119</v>
      </c>
      <c r="F93" s="150" t="s">
        <v>124</v>
      </c>
      <c r="G93" s="150" t="s">
        <v>124</v>
      </c>
      <c r="H93" s="708" t="s">
        <v>1648</v>
      </c>
      <c r="I93" s="627" t="s">
        <v>1704</v>
      </c>
      <c r="J93" s="715"/>
      <c r="K93" s="713"/>
      <c r="L93" s="714"/>
      <c r="M93" s="210"/>
      <c r="N93" s="210"/>
      <c r="O93" s="210"/>
      <c r="P93" s="210"/>
    </row>
    <row r="94" ht="15.75" customHeight="1">
      <c r="A94" s="144" t="s">
        <v>148</v>
      </c>
      <c r="B94" s="143" t="s">
        <v>149</v>
      </c>
      <c r="C94" s="62"/>
      <c r="D94" s="62"/>
      <c r="E94" s="62"/>
      <c r="F94" s="62"/>
      <c r="G94" s="62"/>
      <c r="H94" s="62"/>
      <c r="I94" s="63"/>
      <c r="J94" s="144"/>
      <c r="K94" s="719"/>
      <c r="L94" s="720">
        <v>5.0</v>
      </c>
      <c r="M94" s="615"/>
      <c r="N94" s="701"/>
      <c r="O94" s="615"/>
      <c r="P94" s="487"/>
    </row>
    <row r="95" ht="15.75" customHeight="1">
      <c r="A95" s="702"/>
      <c r="B95" s="82"/>
      <c r="C95" s="82">
        <v>1.0</v>
      </c>
      <c r="D95" s="50" t="s">
        <v>2379</v>
      </c>
      <c r="E95" s="82" t="s">
        <v>119</v>
      </c>
      <c r="F95" s="150" t="s">
        <v>124</v>
      </c>
      <c r="G95" s="150" t="s">
        <v>124</v>
      </c>
      <c r="H95" s="703" t="s">
        <v>1636</v>
      </c>
      <c r="I95" s="620" t="s">
        <v>1706</v>
      </c>
      <c r="J95" s="721" t="s">
        <v>2284</v>
      </c>
      <c r="K95" s="704" t="s">
        <v>2380</v>
      </c>
      <c r="L95" s="562">
        <v>5.0</v>
      </c>
      <c r="M95" s="705"/>
      <c r="N95" s="706">
        <v>4.0</v>
      </c>
      <c r="O95" s="705"/>
      <c r="P95" s="677" t="s">
        <v>2381</v>
      </c>
    </row>
    <row r="96" ht="15.75" customHeight="1">
      <c r="A96" s="702"/>
      <c r="B96" s="82"/>
      <c r="C96" s="82"/>
      <c r="D96" s="50"/>
      <c r="E96" s="82" t="s">
        <v>119</v>
      </c>
      <c r="F96" s="150" t="s">
        <v>124</v>
      </c>
      <c r="G96" s="150" t="s">
        <v>124</v>
      </c>
      <c r="H96" s="708" t="s">
        <v>1643</v>
      </c>
      <c r="I96" s="627" t="s">
        <v>1711</v>
      </c>
      <c r="J96" s="715"/>
      <c r="K96" s="710"/>
      <c r="L96" s="711"/>
      <c r="M96" s="536"/>
      <c r="N96" s="536"/>
      <c r="O96" s="536"/>
      <c r="P96" s="536"/>
    </row>
    <row r="97" ht="15.75" customHeight="1">
      <c r="A97" s="702"/>
      <c r="B97" s="82"/>
      <c r="C97" s="82"/>
      <c r="D97" s="50"/>
      <c r="E97" s="82" t="s">
        <v>119</v>
      </c>
      <c r="F97" s="150" t="s">
        <v>124</v>
      </c>
      <c r="G97" s="150" t="s">
        <v>124</v>
      </c>
      <c r="H97" s="708" t="s">
        <v>1645</v>
      </c>
      <c r="I97" s="627" t="s">
        <v>1712</v>
      </c>
      <c r="J97" s="715"/>
      <c r="K97" s="710"/>
      <c r="L97" s="711"/>
      <c r="M97" s="536"/>
      <c r="N97" s="536"/>
      <c r="O97" s="536"/>
      <c r="P97" s="536"/>
    </row>
    <row r="98" ht="15.75" customHeight="1">
      <c r="A98" s="702"/>
      <c r="B98" s="82"/>
      <c r="C98" s="82"/>
      <c r="D98" s="50"/>
      <c r="E98" s="82" t="s">
        <v>119</v>
      </c>
      <c r="F98" s="150" t="s">
        <v>124</v>
      </c>
      <c r="G98" s="150" t="s">
        <v>124</v>
      </c>
      <c r="H98" s="708" t="s">
        <v>1638</v>
      </c>
      <c r="I98" s="627" t="s">
        <v>1713</v>
      </c>
      <c r="J98" s="715"/>
      <c r="K98" s="710"/>
      <c r="L98" s="711"/>
      <c r="M98" s="536"/>
      <c r="N98" s="536"/>
      <c r="O98" s="536"/>
      <c r="P98" s="536"/>
    </row>
    <row r="99" ht="15.75" customHeight="1">
      <c r="A99" s="702"/>
      <c r="B99" s="82"/>
      <c r="C99" s="82"/>
      <c r="D99" s="50"/>
      <c r="E99" s="82" t="s">
        <v>119</v>
      </c>
      <c r="F99" s="150" t="s">
        <v>124</v>
      </c>
      <c r="G99" s="150" t="s">
        <v>124</v>
      </c>
      <c r="H99" s="708" t="s">
        <v>1648</v>
      </c>
      <c r="I99" s="627" t="s">
        <v>1714</v>
      </c>
      <c r="J99" s="715"/>
      <c r="K99" s="713"/>
      <c r="L99" s="714"/>
      <c r="M99" s="210"/>
      <c r="N99" s="210"/>
      <c r="O99" s="210"/>
      <c r="P99" s="210"/>
    </row>
    <row r="100" ht="15.75" customHeight="1">
      <c r="A100" s="144" t="s">
        <v>151</v>
      </c>
      <c r="B100" s="143" t="s">
        <v>152</v>
      </c>
      <c r="C100" s="62"/>
      <c r="D100" s="62"/>
      <c r="E100" s="62"/>
      <c r="F100" s="62"/>
      <c r="G100" s="62"/>
      <c r="H100" s="62"/>
      <c r="I100" s="63"/>
      <c r="J100" s="144"/>
      <c r="K100" s="719"/>
      <c r="L100" s="724">
        <v>3666667.0</v>
      </c>
      <c r="M100" s="615"/>
      <c r="N100" s="701"/>
      <c r="O100" s="615"/>
      <c r="P100" s="487"/>
    </row>
    <row r="101" ht="15.75" customHeight="1">
      <c r="A101" s="702"/>
      <c r="B101" s="82"/>
      <c r="C101" s="82">
        <v>1.0</v>
      </c>
      <c r="D101" s="50" t="s">
        <v>2382</v>
      </c>
      <c r="E101" s="82" t="s">
        <v>119</v>
      </c>
      <c r="F101" s="150" t="s">
        <v>124</v>
      </c>
      <c r="G101" s="150" t="s">
        <v>124</v>
      </c>
      <c r="H101" s="703" t="s">
        <v>1636</v>
      </c>
      <c r="I101" s="620" t="s">
        <v>1715</v>
      </c>
      <c r="J101" s="721" t="s">
        <v>2284</v>
      </c>
      <c r="K101" s="704" t="s">
        <v>2383</v>
      </c>
      <c r="L101" s="562">
        <v>5.0</v>
      </c>
      <c r="M101" s="705"/>
      <c r="N101" s="706">
        <v>3.0</v>
      </c>
      <c r="O101" s="705" t="s">
        <v>2384</v>
      </c>
      <c r="P101" s="677" t="s">
        <v>2385</v>
      </c>
    </row>
    <row r="102" ht="15.75" customHeight="1">
      <c r="A102" s="702"/>
      <c r="B102" s="82"/>
      <c r="C102" s="82"/>
      <c r="D102" s="50"/>
      <c r="E102" s="82" t="s">
        <v>119</v>
      </c>
      <c r="F102" s="150" t="s">
        <v>124</v>
      </c>
      <c r="G102" s="150" t="s">
        <v>124</v>
      </c>
      <c r="H102" s="708" t="s">
        <v>1643</v>
      </c>
      <c r="I102" s="627" t="s">
        <v>1720</v>
      </c>
      <c r="J102" s="715"/>
      <c r="K102" s="710"/>
      <c r="L102" s="711"/>
      <c r="M102" s="536"/>
      <c r="N102" s="536"/>
      <c r="O102" s="536"/>
      <c r="P102" s="536"/>
    </row>
    <row r="103" ht="15.75" customHeight="1">
      <c r="A103" s="702"/>
      <c r="B103" s="82"/>
      <c r="C103" s="82"/>
      <c r="D103" s="50"/>
      <c r="E103" s="82" t="s">
        <v>119</v>
      </c>
      <c r="F103" s="150" t="s">
        <v>124</v>
      </c>
      <c r="G103" s="150" t="s">
        <v>124</v>
      </c>
      <c r="H103" s="708" t="s">
        <v>1645</v>
      </c>
      <c r="I103" s="627" t="s">
        <v>1721</v>
      </c>
      <c r="J103" s="715"/>
      <c r="K103" s="710"/>
      <c r="L103" s="711"/>
      <c r="M103" s="536"/>
      <c r="N103" s="536"/>
      <c r="O103" s="536"/>
      <c r="P103" s="536"/>
    </row>
    <row r="104" ht="15.75" customHeight="1">
      <c r="A104" s="702"/>
      <c r="B104" s="82"/>
      <c r="C104" s="82"/>
      <c r="D104" s="50"/>
      <c r="E104" s="82" t="s">
        <v>119</v>
      </c>
      <c r="F104" s="150" t="s">
        <v>124</v>
      </c>
      <c r="G104" s="150" t="s">
        <v>124</v>
      </c>
      <c r="H104" s="708" t="s">
        <v>1638</v>
      </c>
      <c r="I104" s="627" t="s">
        <v>1722</v>
      </c>
      <c r="J104" s="715"/>
      <c r="K104" s="710"/>
      <c r="L104" s="711"/>
      <c r="M104" s="536"/>
      <c r="N104" s="536"/>
      <c r="O104" s="536"/>
      <c r="P104" s="536"/>
    </row>
    <row r="105" ht="15.75" customHeight="1">
      <c r="A105" s="702"/>
      <c r="B105" s="82"/>
      <c r="C105" s="82"/>
      <c r="D105" s="50"/>
      <c r="E105" s="82" t="s">
        <v>119</v>
      </c>
      <c r="F105" s="150" t="s">
        <v>124</v>
      </c>
      <c r="G105" s="150" t="s">
        <v>124</v>
      </c>
      <c r="H105" s="708" t="s">
        <v>1648</v>
      </c>
      <c r="I105" s="627" t="s">
        <v>1723</v>
      </c>
      <c r="J105" s="715"/>
      <c r="K105" s="713"/>
      <c r="L105" s="714"/>
      <c r="M105" s="210"/>
      <c r="N105" s="210"/>
      <c r="O105" s="210"/>
      <c r="P105" s="210"/>
    </row>
    <row r="106" ht="15.75" customHeight="1">
      <c r="A106" s="702"/>
      <c r="B106" s="82"/>
      <c r="C106" s="82">
        <v>2.0</v>
      </c>
      <c r="D106" s="50" t="s">
        <v>154</v>
      </c>
      <c r="E106" s="82" t="s">
        <v>119</v>
      </c>
      <c r="F106" s="82" t="s">
        <v>120</v>
      </c>
      <c r="G106" s="160" t="s">
        <v>124</v>
      </c>
      <c r="H106" s="708" t="s">
        <v>1636</v>
      </c>
      <c r="I106" s="636" t="s">
        <v>1724</v>
      </c>
      <c r="J106" s="715" t="s">
        <v>2284</v>
      </c>
      <c r="K106" s="704" t="s">
        <v>2386</v>
      </c>
      <c r="L106" s="562">
        <v>3.0</v>
      </c>
      <c r="M106" s="705"/>
      <c r="N106" s="706">
        <v>3.0</v>
      </c>
      <c r="O106" s="705"/>
      <c r="P106" s="677" t="s">
        <v>2387</v>
      </c>
    </row>
    <row r="107" ht="15.75" customHeight="1">
      <c r="A107" s="702"/>
      <c r="B107" s="82"/>
      <c r="C107" s="82"/>
      <c r="D107" s="50"/>
      <c r="E107" s="82" t="s">
        <v>119</v>
      </c>
      <c r="F107" s="82" t="s">
        <v>120</v>
      </c>
      <c r="G107" s="160" t="s">
        <v>124</v>
      </c>
      <c r="H107" s="708" t="s">
        <v>1643</v>
      </c>
      <c r="I107" s="636" t="s">
        <v>1729</v>
      </c>
      <c r="J107" s="715"/>
      <c r="K107" s="710"/>
      <c r="L107" s="711"/>
      <c r="M107" s="536"/>
      <c r="N107" s="536"/>
      <c r="O107" s="536"/>
      <c r="P107" s="536"/>
    </row>
    <row r="108" ht="15.75" customHeight="1">
      <c r="A108" s="702"/>
      <c r="B108" s="82"/>
      <c r="C108" s="82"/>
      <c r="D108" s="50"/>
      <c r="E108" s="82" t="s">
        <v>119</v>
      </c>
      <c r="F108" s="82" t="s">
        <v>120</v>
      </c>
      <c r="G108" s="160" t="s">
        <v>124</v>
      </c>
      <c r="H108" s="717" t="s">
        <v>1645</v>
      </c>
      <c r="I108" s="636" t="s">
        <v>1730</v>
      </c>
      <c r="J108" s="715"/>
      <c r="K108" s="710"/>
      <c r="L108" s="711"/>
      <c r="M108" s="536"/>
      <c r="N108" s="536"/>
      <c r="O108" s="536"/>
      <c r="P108" s="536"/>
    </row>
    <row r="109" ht="15.75" customHeight="1">
      <c r="A109" s="702"/>
      <c r="B109" s="82"/>
      <c r="C109" s="82"/>
      <c r="D109" s="50"/>
      <c r="E109" s="82" t="s">
        <v>119</v>
      </c>
      <c r="F109" s="82" t="s">
        <v>120</v>
      </c>
      <c r="G109" s="160" t="s">
        <v>124</v>
      </c>
      <c r="H109" s="708" t="s">
        <v>1638</v>
      </c>
      <c r="I109" s="636" t="s">
        <v>1731</v>
      </c>
      <c r="J109" s="715"/>
      <c r="K109" s="710"/>
      <c r="L109" s="711"/>
      <c r="M109" s="536"/>
      <c r="N109" s="536"/>
      <c r="O109" s="536"/>
      <c r="P109" s="536"/>
    </row>
    <row r="110" ht="15.75" customHeight="1">
      <c r="A110" s="702"/>
      <c r="B110" s="82"/>
      <c r="C110" s="82"/>
      <c r="D110" s="50"/>
      <c r="E110" s="82" t="s">
        <v>119</v>
      </c>
      <c r="F110" s="82" t="s">
        <v>120</v>
      </c>
      <c r="G110" s="160" t="s">
        <v>124</v>
      </c>
      <c r="H110" s="708" t="s">
        <v>1648</v>
      </c>
      <c r="I110" s="636" t="s">
        <v>1732</v>
      </c>
      <c r="J110" s="715"/>
      <c r="K110" s="713"/>
      <c r="L110" s="714"/>
      <c r="M110" s="210"/>
      <c r="N110" s="210"/>
      <c r="O110" s="210"/>
      <c r="P110" s="210"/>
    </row>
    <row r="111" ht="15.75" customHeight="1">
      <c r="A111" s="702"/>
      <c r="B111" s="82"/>
      <c r="C111" s="82">
        <v>3.0</v>
      </c>
      <c r="D111" s="50" t="s">
        <v>156</v>
      </c>
      <c r="E111" s="82" t="s">
        <v>119</v>
      </c>
      <c r="F111" s="82" t="s">
        <v>120</v>
      </c>
      <c r="G111" s="160" t="s">
        <v>124</v>
      </c>
      <c r="H111" s="725" t="s">
        <v>1636</v>
      </c>
      <c r="I111" s="638" t="s">
        <v>1733</v>
      </c>
      <c r="J111" s="715" t="s">
        <v>2284</v>
      </c>
      <c r="K111" s="704" t="s">
        <v>2388</v>
      </c>
      <c r="L111" s="562">
        <v>3.0</v>
      </c>
      <c r="M111" s="705"/>
      <c r="N111" s="706">
        <v>3.0</v>
      </c>
      <c r="O111" s="705"/>
      <c r="P111" s="677" t="s">
        <v>2389</v>
      </c>
    </row>
    <row r="112" ht="15.75" customHeight="1">
      <c r="A112" s="702"/>
      <c r="B112" s="82"/>
      <c r="C112" s="82"/>
      <c r="D112" s="50"/>
      <c r="E112" s="82" t="s">
        <v>119</v>
      </c>
      <c r="F112" s="82" t="s">
        <v>120</v>
      </c>
      <c r="G112" s="160" t="s">
        <v>124</v>
      </c>
      <c r="H112" s="726" t="s">
        <v>1643</v>
      </c>
      <c r="I112" s="638" t="s">
        <v>1737</v>
      </c>
      <c r="J112" s="715"/>
      <c r="K112" s="710"/>
      <c r="L112" s="711"/>
      <c r="M112" s="536"/>
      <c r="N112" s="536"/>
      <c r="O112" s="536"/>
      <c r="P112" s="536"/>
    </row>
    <row r="113" ht="15.75" customHeight="1">
      <c r="A113" s="702"/>
      <c r="B113" s="82"/>
      <c r="C113" s="82"/>
      <c r="D113" s="50"/>
      <c r="E113" s="82" t="s">
        <v>119</v>
      </c>
      <c r="F113" s="82" t="s">
        <v>120</v>
      </c>
      <c r="G113" s="160" t="s">
        <v>124</v>
      </c>
      <c r="H113" s="725" t="s">
        <v>1645</v>
      </c>
      <c r="I113" s="638" t="s">
        <v>1738</v>
      </c>
      <c r="J113" s="715"/>
      <c r="K113" s="710"/>
      <c r="L113" s="711"/>
      <c r="M113" s="536"/>
      <c r="N113" s="536"/>
      <c r="O113" s="536"/>
      <c r="P113" s="536"/>
    </row>
    <row r="114" ht="15.75" customHeight="1">
      <c r="A114" s="702"/>
      <c r="B114" s="82"/>
      <c r="C114" s="82"/>
      <c r="D114" s="50"/>
      <c r="E114" s="82" t="s">
        <v>119</v>
      </c>
      <c r="F114" s="82" t="s">
        <v>120</v>
      </c>
      <c r="G114" s="160" t="s">
        <v>124</v>
      </c>
      <c r="H114" s="725" t="s">
        <v>1638</v>
      </c>
      <c r="I114" s="638" t="s">
        <v>1739</v>
      </c>
      <c r="J114" s="715"/>
      <c r="K114" s="710"/>
      <c r="L114" s="711"/>
      <c r="M114" s="536"/>
      <c r="N114" s="536"/>
      <c r="O114" s="536"/>
      <c r="P114" s="536"/>
    </row>
    <row r="115" ht="15.75" customHeight="1">
      <c r="A115" s="702"/>
      <c r="B115" s="82"/>
      <c r="C115" s="82"/>
      <c r="D115" s="50"/>
      <c r="E115" s="82" t="s">
        <v>119</v>
      </c>
      <c r="F115" s="82" t="s">
        <v>120</v>
      </c>
      <c r="G115" s="160" t="s">
        <v>124</v>
      </c>
      <c r="H115" s="725" t="s">
        <v>1648</v>
      </c>
      <c r="I115" s="638" t="s">
        <v>1740</v>
      </c>
      <c r="J115" s="715"/>
      <c r="K115" s="713"/>
      <c r="L115" s="714"/>
      <c r="M115" s="210"/>
      <c r="N115" s="210"/>
      <c r="O115" s="210"/>
      <c r="P115" s="210"/>
    </row>
    <row r="116" ht="15.75" customHeight="1">
      <c r="A116" s="144" t="s">
        <v>157</v>
      </c>
      <c r="B116" s="143" t="s">
        <v>1741</v>
      </c>
      <c r="C116" s="62"/>
      <c r="D116" s="62"/>
      <c r="E116" s="62"/>
      <c r="F116" s="62"/>
      <c r="G116" s="62"/>
      <c r="H116" s="62"/>
      <c r="I116" s="63"/>
      <c r="J116" s="144"/>
      <c r="K116" s="719"/>
      <c r="L116" s="720">
        <v>3.0</v>
      </c>
      <c r="M116" s="615"/>
      <c r="N116" s="701"/>
      <c r="O116" s="615"/>
      <c r="P116" s="487"/>
    </row>
    <row r="117" ht="15.75" customHeight="1">
      <c r="A117" s="702"/>
      <c r="B117" s="82"/>
      <c r="C117" s="82">
        <v>1.0</v>
      </c>
      <c r="D117" s="50" t="s">
        <v>159</v>
      </c>
      <c r="E117" s="82" t="s">
        <v>119</v>
      </c>
      <c r="F117" s="150" t="s">
        <v>124</v>
      </c>
      <c r="G117" s="150" t="s">
        <v>124</v>
      </c>
      <c r="H117" s="82" t="s">
        <v>1636</v>
      </c>
      <c r="I117" s="620" t="s">
        <v>1742</v>
      </c>
      <c r="J117" s="721" t="s">
        <v>2284</v>
      </c>
      <c r="K117" s="704" t="s">
        <v>2390</v>
      </c>
      <c r="L117" s="562">
        <v>3.0</v>
      </c>
      <c r="M117" s="705"/>
      <c r="N117" s="706">
        <v>3.0</v>
      </c>
      <c r="O117" s="705"/>
      <c r="P117" s="677" t="s">
        <v>2391</v>
      </c>
    </row>
    <row r="118" ht="15.75" customHeight="1">
      <c r="A118" s="702"/>
      <c r="B118" s="82"/>
      <c r="C118" s="82"/>
      <c r="D118" s="50"/>
      <c r="E118" s="82" t="s">
        <v>119</v>
      </c>
      <c r="F118" s="150" t="s">
        <v>124</v>
      </c>
      <c r="G118" s="150" t="s">
        <v>124</v>
      </c>
      <c r="H118" s="708" t="s">
        <v>1643</v>
      </c>
      <c r="I118" s="627" t="s">
        <v>1747</v>
      </c>
      <c r="J118" s="715"/>
      <c r="K118" s="710"/>
      <c r="L118" s="711"/>
      <c r="M118" s="536"/>
      <c r="N118" s="536"/>
      <c r="O118" s="536"/>
      <c r="P118" s="536"/>
    </row>
    <row r="119" ht="15.75" customHeight="1">
      <c r="A119" s="702"/>
      <c r="B119" s="82"/>
      <c r="C119" s="82"/>
      <c r="D119" s="50"/>
      <c r="E119" s="82" t="s">
        <v>119</v>
      </c>
      <c r="F119" s="150" t="s">
        <v>124</v>
      </c>
      <c r="G119" s="150" t="s">
        <v>124</v>
      </c>
      <c r="H119" s="717" t="s">
        <v>1645</v>
      </c>
      <c r="I119" s="627" t="s">
        <v>1748</v>
      </c>
      <c r="J119" s="715"/>
      <c r="K119" s="710"/>
      <c r="L119" s="711"/>
      <c r="M119" s="536"/>
      <c r="N119" s="536"/>
      <c r="O119" s="536"/>
      <c r="P119" s="536"/>
    </row>
    <row r="120" ht="15.75" customHeight="1">
      <c r="A120" s="702"/>
      <c r="B120" s="82"/>
      <c r="C120" s="82"/>
      <c r="D120" s="50"/>
      <c r="E120" s="82" t="s">
        <v>119</v>
      </c>
      <c r="F120" s="150" t="s">
        <v>124</v>
      </c>
      <c r="G120" s="150" t="s">
        <v>124</v>
      </c>
      <c r="H120" s="708" t="s">
        <v>1638</v>
      </c>
      <c r="I120" s="627" t="s">
        <v>1749</v>
      </c>
      <c r="J120" s="715"/>
      <c r="K120" s="710"/>
      <c r="L120" s="711"/>
      <c r="M120" s="536"/>
      <c r="N120" s="536"/>
      <c r="O120" s="536"/>
      <c r="P120" s="536"/>
    </row>
    <row r="121" ht="15.75" customHeight="1">
      <c r="A121" s="702"/>
      <c r="B121" s="82"/>
      <c r="C121" s="82"/>
      <c r="D121" s="50"/>
      <c r="E121" s="82" t="s">
        <v>119</v>
      </c>
      <c r="F121" s="150" t="s">
        <v>124</v>
      </c>
      <c r="G121" s="150" t="s">
        <v>124</v>
      </c>
      <c r="H121" s="708" t="s">
        <v>1648</v>
      </c>
      <c r="I121" s="627" t="s">
        <v>1750</v>
      </c>
      <c r="J121" s="715"/>
      <c r="K121" s="713"/>
      <c r="L121" s="714"/>
      <c r="M121" s="210"/>
      <c r="N121" s="210"/>
      <c r="O121" s="210"/>
      <c r="P121" s="210"/>
    </row>
    <row r="122" ht="15.75" customHeight="1">
      <c r="A122" s="144" t="s">
        <v>160</v>
      </c>
      <c r="B122" s="143" t="s">
        <v>161</v>
      </c>
      <c r="C122" s="62"/>
      <c r="D122" s="62"/>
      <c r="E122" s="62"/>
      <c r="F122" s="62"/>
      <c r="G122" s="62"/>
      <c r="H122" s="62"/>
      <c r="I122" s="63"/>
      <c r="J122" s="144"/>
      <c r="K122" s="719"/>
      <c r="L122" s="720">
        <v>4.0</v>
      </c>
      <c r="M122" s="615"/>
      <c r="N122" s="701"/>
      <c r="O122" s="615"/>
      <c r="P122" s="487"/>
    </row>
    <row r="123" ht="15.75" customHeight="1">
      <c r="A123" s="702"/>
      <c r="B123" s="82"/>
      <c r="C123" s="82">
        <v>1.0</v>
      </c>
      <c r="D123" s="50" t="s">
        <v>2392</v>
      </c>
      <c r="E123" s="82" t="s">
        <v>119</v>
      </c>
      <c r="F123" s="150" t="s">
        <v>124</v>
      </c>
      <c r="G123" s="150" t="s">
        <v>124</v>
      </c>
      <c r="H123" s="703" t="s">
        <v>1636</v>
      </c>
      <c r="I123" s="620" t="s">
        <v>1752</v>
      </c>
      <c r="J123" s="721" t="s">
        <v>2284</v>
      </c>
      <c r="K123" s="704" t="s">
        <v>2393</v>
      </c>
      <c r="L123" s="562">
        <v>5.0</v>
      </c>
      <c r="M123" s="705"/>
      <c r="N123" s="706">
        <v>4.0</v>
      </c>
      <c r="O123" s="705" t="s">
        <v>2394</v>
      </c>
      <c r="P123" s="677" t="s">
        <v>2395</v>
      </c>
    </row>
    <row r="124" ht="15.75" customHeight="1">
      <c r="A124" s="702"/>
      <c r="B124" s="82"/>
      <c r="C124" s="82"/>
      <c r="D124" s="50"/>
      <c r="E124" s="82" t="s">
        <v>119</v>
      </c>
      <c r="F124" s="150" t="s">
        <v>124</v>
      </c>
      <c r="G124" s="150" t="s">
        <v>124</v>
      </c>
      <c r="H124" s="708" t="s">
        <v>1643</v>
      </c>
      <c r="I124" s="627" t="s">
        <v>1756</v>
      </c>
      <c r="J124" s="715"/>
      <c r="K124" s="710"/>
      <c r="L124" s="711"/>
      <c r="M124" s="536"/>
      <c r="N124" s="536"/>
      <c r="O124" s="536"/>
      <c r="P124" s="536"/>
    </row>
    <row r="125" ht="15.75" customHeight="1">
      <c r="A125" s="702"/>
      <c r="B125" s="82"/>
      <c r="C125" s="82"/>
      <c r="D125" s="50"/>
      <c r="E125" s="82" t="s">
        <v>119</v>
      </c>
      <c r="F125" s="150" t="s">
        <v>124</v>
      </c>
      <c r="G125" s="150" t="s">
        <v>124</v>
      </c>
      <c r="H125" s="708" t="s">
        <v>1645</v>
      </c>
      <c r="I125" s="627" t="s">
        <v>1757</v>
      </c>
      <c r="J125" s="715"/>
      <c r="K125" s="710"/>
      <c r="L125" s="711"/>
      <c r="M125" s="536"/>
      <c r="N125" s="536"/>
      <c r="O125" s="536"/>
      <c r="P125" s="536"/>
    </row>
    <row r="126" ht="15.75" customHeight="1">
      <c r="A126" s="702"/>
      <c r="B126" s="82"/>
      <c r="C126" s="82"/>
      <c r="D126" s="50"/>
      <c r="E126" s="82" t="s">
        <v>119</v>
      </c>
      <c r="F126" s="150" t="s">
        <v>124</v>
      </c>
      <c r="G126" s="150" t="s">
        <v>124</v>
      </c>
      <c r="H126" s="708" t="s">
        <v>1638</v>
      </c>
      <c r="I126" s="627" t="s">
        <v>1758</v>
      </c>
      <c r="J126" s="715"/>
      <c r="K126" s="710"/>
      <c r="L126" s="711"/>
      <c r="M126" s="536"/>
      <c r="N126" s="536"/>
      <c r="O126" s="536"/>
      <c r="P126" s="536"/>
    </row>
    <row r="127" ht="15.75" customHeight="1">
      <c r="A127" s="702"/>
      <c r="B127" s="82"/>
      <c r="C127" s="82"/>
      <c r="D127" s="50"/>
      <c r="E127" s="82" t="s">
        <v>119</v>
      </c>
      <c r="F127" s="150" t="s">
        <v>124</v>
      </c>
      <c r="G127" s="150" t="s">
        <v>124</v>
      </c>
      <c r="H127" s="708" t="s">
        <v>1648</v>
      </c>
      <c r="I127" s="627" t="s">
        <v>1759</v>
      </c>
      <c r="J127" s="715"/>
      <c r="K127" s="713"/>
      <c r="L127" s="714"/>
      <c r="M127" s="210"/>
      <c r="N127" s="210"/>
      <c r="O127" s="210"/>
      <c r="P127" s="210"/>
    </row>
    <row r="128" ht="15.75" customHeight="1">
      <c r="A128" s="702"/>
      <c r="B128" s="82"/>
      <c r="C128" s="82">
        <v>2.0</v>
      </c>
      <c r="D128" s="727" t="s">
        <v>1760</v>
      </c>
      <c r="E128" s="82" t="s">
        <v>119</v>
      </c>
      <c r="F128" s="82" t="s">
        <v>120</v>
      </c>
      <c r="G128" s="160" t="s">
        <v>124</v>
      </c>
      <c r="H128" s="725" t="s">
        <v>1636</v>
      </c>
      <c r="I128" s="638" t="s">
        <v>1761</v>
      </c>
      <c r="J128" s="715" t="s">
        <v>2284</v>
      </c>
      <c r="K128" s="704" t="s">
        <v>2396</v>
      </c>
      <c r="L128" s="562">
        <v>3.0</v>
      </c>
      <c r="M128" s="705"/>
      <c r="N128" s="723">
        <v>3.0</v>
      </c>
      <c r="O128" s="705" t="s">
        <v>2397</v>
      </c>
      <c r="P128" s="677" t="s">
        <v>2398</v>
      </c>
    </row>
    <row r="129" ht="15.75" customHeight="1">
      <c r="A129" s="702"/>
      <c r="B129" s="82"/>
      <c r="C129" s="82"/>
      <c r="D129" s="727"/>
      <c r="E129" s="82" t="s">
        <v>119</v>
      </c>
      <c r="F129" s="82" t="s">
        <v>120</v>
      </c>
      <c r="G129" s="160" t="s">
        <v>124</v>
      </c>
      <c r="H129" s="725" t="s">
        <v>1643</v>
      </c>
      <c r="I129" s="638" t="s">
        <v>1765</v>
      </c>
      <c r="J129" s="715"/>
      <c r="K129" s="710"/>
      <c r="L129" s="711"/>
      <c r="M129" s="536"/>
      <c r="N129" s="536"/>
      <c r="O129" s="536"/>
      <c r="P129" s="536"/>
    </row>
    <row r="130" ht="15.75" customHeight="1">
      <c r="A130" s="702"/>
      <c r="B130" s="82"/>
      <c r="C130" s="82"/>
      <c r="D130" s="727"/>
      <c r="E130" s="82" t="s">
        <v>119</v>
      </c>
      <c r="F130" s="82" t="s">
        <v>120</v>
      </c>
      <c r="G130" s="160" t="s">
        <v>124</v>
      </c>
      <c r="H130" s="726" t="s">
        <v>1645</v>
      </c>
      <c r="I130" s="638" t="s">
        <v>1766</v>
      </c>
      <c r="J130" s="715"/>
      <c r="K130" s="710"/>
      <c r="L130" s="711"/>
      <c r="M130" s="536"/>
      <c r="N130" s="536"/>
      <c r="O130" s="536"/>
      <c r="P130" s="536"/>
    </row>
    <row r="131" ht="15.75" customHeight="1">
      <c r="A131" s="702"/>
      <c r="B131" s="82"/>
      <c r="C131" s="82"/>
      <c r="D131" s="727"/>
      <c r="E131" s="82" t="s">
        <v>119</v>
      </c>
      <c r="F131" s="82" t="s">
        <v>120</v>
      </c>
      <c r="G131" s="160" t="s">
        <v>124</v>
      </c>
      <c r="H131" s="725" t="s">
        <v>1638</v>
      </c>
      <c r="I131" s="638" t="s">
        <v>1767</v>
      </c>
      <c r="J131" s="715"/>
      <c r="K131" s="710"/>
      <c r="L131" s="711"/>
      <c r="M131" s="536"/>
      <c r="N131" s="536"/>
      <c r="O131" s="536"/>
      <c r="P131" s="536"/>
    </row>
    <row r="132" ht="15.75" customHeight="1">
      <c r="A132" s="702"/>
      <c r="B132" s="82"/>
      <c r="C132" s="82"/>
      <c r="D132" s="727"/>
      <c r="E132" s="82" t="s">
        <v>119</v>
      </c>
      <c r="F132" s="82" t="s">
        <v>120</v>
      </c>
      <c r="G132" s="160" t="s">
        <v>124</v>
      </c>
      <c r="H132" s="725" t="s">
        <v>1648</v>
      </c>
      <c r="I132" s="638" t="s">
        <v>1768</v>
      </c>
      <c r="J132" s="715"/>
      <c r="K132" s="713"/>
      <c r="L132" s="714"/>
      <c r="M132" s="210"/>
      <c r="N132" s="210"/>
      <c r="O132" s="210"/>
      <c r="P132" s="210"/>
    </row>
    <row r="133" ht="15.75" customHeight="1">
      <c r="A133" s="728">
        <v>45293.0</v>
      </c>
      <c r="B133" s="143" t="s">
        <v>166</v>
      </c>
      <c r="C133" s="62"/>
      <c r="D133" s="62"/>
      <c r="E133" s="62"/>
      <c r="F133" s="62"/>
      <c r="G133" s="62"/>
      <c r="H133" s="62"/>
      <c r="I133" s="63"/>
      <c r="J133" s="144"/>
      <c r="K133" s="719"/>
      <c r="L133" s="720">
        <v>4.0</v>
      </c>
      <c r="M133" s="615"/>
      <c r="N133" s="701"/>
      <c r="O133" s="615"/>
      <c r="P133" s="487"/>
    </row>
    <row r="134" ht="15.75" customHeight="1">
      <c r="A134" s="702"/>
      <c r="B134" s="82"/>
      <c r="C134" s="82">
        <v>1.0</v>
      </c>
      <c r="D134" s="50" t="s">
        <v>1769</v>
      </c>
      <c r="E134" s="82" t="s">
        <v>119</v>
      </c>
      <c r="F134" s="82" t="s">
        <v>120</v>
      </c>
      <c r="G134" s="160" t="s">
        <v>124</v>
      </c>
      <c r="H134" s="729" t="s">
        <v>1636</v>
      </c>
      <c r="I134" s="643" t="s">
        <v>1770</v>
      </c>
      <c r="J134" s="721" t="s">
        <v>2284</v>
      </c>
      <c r="K134" s="704" t="s">
        <v>2399</v>
      </c>
      <c r="L134" s="562">
        <v>4.0</v>
      </c>
      <c r="M134" s="705"/>
      <c r="N134" s="706">
        <v>4.0</v>
      </c>
      <c r="O134" s="705"/>
      <c r="P134" s="677" t="s">
        <v>2400</v>
      </c>
    </row>
    <row r="135" ht="15.75" customHeight="1">
      <c r="A135" s="702"/>
      <c r="B135" s="82"/>
      <c r="C135" s="82"/>
      <c r="D135" s="50"/>
      <c r="E135" s="82" t="s">
        <v>119</v>
      </c>
      <c r="F135" s="82" t="s">
        <v>120</v>
      </c>
      <c r="G135" s="160" t="s">
        <v>124</v>
      </c>
      <c r="H135" s="717" t="s">
        <v>1643</v>
      </c>
      <c r="I135" s="636" t="s">
        <v>1775</v>
      </c>
      <c r="J135" s="715"/>
      <c r="K135" s="710"/>
      <c r="L135" s="711"/>
      <c r="M135" s="536"/>
      <c r="N135" s="536"/>
      <c r="O135" s="536"/>
      <c r="P135" s="536"/>
    </row>
    <row r="136" ht="15.75" customHeight="1">
      <c r="A136" s="702"/>
      <c r="B136" s="82"/>
      <c r="C136" s="82"/>
      <c r="D136" s="50"/>
      <c r="E136" s="82" t="s">
        <v>119</v>
      </c>
      <c r="F136" s="82" t="s">
        <v>120</v>
      </c>
      <c r="G136" s="160" t="s">
        <v>124</v>
      </c>
      <c r="H136" s="708" t="s">
        <v>1645</v>
      </c>
      <c r="I136" s="636" t="s">
        <v>1776</v>
      </c>
      <c r="J136" s="715"/>
      <c r="K136" s="710"/>
      <c r="L136" s="711"/>
      <c r="M136" s="536"/>
      <c r="N136" s="536"/>
      <c r="O136" s="536"/>
      <c r="P136" s="536"/>
    </row>
    <row r="137" ht="15.75" customHeight="1">
      <c r="A137" s="702"/>
      <c r="B137" s="82"/>
      <c r="C137" s="82"/>
      <c r="D137" s="50"/>
      <c r="E137" s="82" t="s">
        <v>119</v>
      </c>
      <c r="F137" s="82" t="s">
        <v>120</v>
      </c>
      <c r="G137" s="160" t="s">
        <v>124</v>
      </c>
      <c r="H137" s="708" t="s">
        <v>1638</v>
      </c>
      <c r="I137" s="636" t="s">
        <v>1777</v>
      </c>
      <c r="J137" s="715"/>
      <c r="K137" s="710"/>
      <c r="L137" s="711"/>
      <c r="M137" s="536"/>
      <c r="N137" s="536"/>
      <c r="O137" s="536"/>
      <c r="P137" s="536"/>
    </row>
    <row r="138" ht="15.75" customHeight="1">
      <c r="A138" s="702"/>
      <c r="B138" s="82"/>
      <c r="C138" s="82"/>
      <c r="D138" s="50"/>
      <c r="E138" s="82" t="s">
        <v>119</v>
      </c>
      <c r="F138" s="82" t="s">
        <v>120</v>
      </c>
      <c r="G138" s="160" t="s">
        <v>124</v>
      </c>
      <c r="H138" s="708" t="s">
        <v>1648</v>
      </c>
      <c r="I138" s="636" t="s">
        <v>1778</v>
      </c>
      <c r="J138" s="715"/>
      <c r="K138" s="713"/>
      <c r="L138" s="714"/>
      <c r="M138" s="210"/>
      <c r="N138" s="210"/>
      <c r="O138" s="210"/>
      <c r="P138" s="210"/>
    </row>
    <row r="139" ht="15.75" customHeight="1">
      <c r="A139" s="702"/>
      <c r="B139" s="82"/>
      <c r="C139" s="82">
        <v>2.0</v>
      </c>
      <c r="D139" s="50" t="s">
        <v>169</v>
      </c>
      <c r="E139" s="82" t="s">
        <v>119</v>
      </c>
      <c r="F139" s="82" t="s">
        <v>120</v>
      </c>
      <c r="G139" s="160" t="s">
        <v>124</v>
      </c>
      <c r="H139" s="730" t="s">
        <v>1636</v>
      </c>
      <c r="I139" s="636" t="s">
        <v>1779</v>
      </c>
      <c r="J139" s="715" t="s">
        <v>2284</v>
      </c>
      <c r="K139" s="704" t="s">
        <v>2401</v>
      </c>
      <c r="L139" s="562">
        <v>4.0</v>
      </c>
      <c r="M139" s="705"/>
      <c r="N139" s="706">
        <v>2.0</v>
      </c>
      <c r="O139" s="705" t="s">
        <v>2402</v>
      </c>
      <c r="P139" s="677" t="s">
        <v>2403</v>
      </c>
    </row>
    <row r="140" ht="15.75" customHeight="1">
      <c r="A140" s="702"/>
      <c r="B140" s="82"/>
      <c r="C140" s="82"/>
      <c r="D140" s="50"/>
      <c r="E140" s="82" t="s">
        <v>119</v>
      </c>
      <c r="F140" s="82" t="s">
        <v>120</v>
      </c>
      <c r="G140" s="160" t="s">
        <v>124</v>
      </c>
      <c r="H140" s="708" t="s">
        <v>1643</v>
      </c>
      <c r="I140" s="636" t="s">
        <v>1782</v>
      </c>
      <c r="J140" s="715"/>
      <c r="K140" s="710"/>
      <c r="L140" s="711"/>
      <c r="M140" s="536"/>
      <c r="N140" s="536"/>
      <c r="O140" s="536"/>
      <c r="P140" s="536"/>
    </row>
    <row r="141" ht="15.75" customHeight="1">
      <c r="A141" s="702"/>
      <c r="B141" s="82"/>
      <c r="C141" s="82"/>
      <c r="D141" s="50"/>
      <c r="E141" s="82" t="s">
        <v>119</v>
      </c>
      <c r="F141" s="82" t="s">
        <v>120</v>
      </c>
      <c r="G141" s="160" t="s">
        <v>124</v>
      </c>
      <c r="H141" s="717" t="s">
        <v>1645</v>
      </c>
      <c r="I141" s="636" t="s">
        <v>1783</v>
      </c>
      <c r="J141" s="715"/>
      <c r="K141" s="710"/>
      <c r="L141" s="711"/>
      <c r="M141" s="536"/>
      <c r="N141" s="536"/>
      <c r="O141" s="536"/>
      <c r="P141" s="536"/>
    </row>
    <row r="142" ht="15.75" customHeight="1">
      <c r="A142" s="702"/>
      <c r="B142" s="82"/>
      <c r="C142" s="82"/>
      <c r="D142" s="50"/>
      <c r="E142" s="82" t="s">
        <v>119</v>
      </c>
      <c r="F142" s="82" t="s">
        <v>120</v>
      </c>
      <c r="G142" s="160" t="s">
        <v>124</v>
      </c>
      <c r="H142" s="708" t="s">
        <v>1638</v>
      </c>
      <c r="I142" s="636" t="s">
        <v>1784</v>
      </c>
      <c r="J142" s="715"/>
      <c r="K142" s="710"/>
      <c r="L142" s="711"/>
      <c r="M142" s="536"/>
      <c r="N142" s="536"/>
      <c r="O142" s="536"/>
      <c r="P142" s="536"/>
    </row>
    <row r="143" ht="15.75" customHeight="1">
      <c r="A143" s="702"/>
      <c r="B143" s="82"/>
      <c r="C143" s="82"/>
      <c r="D143" s="50"/>
      <c r="E143" s="82" t="s">
        <v>119</v>
      </c>
      <c r="F143" s="82" t="s">
        <v>120</v>
      </c>
      <c r="G143" s="160" t="s">
        <v>124</v>
      </c>
      <c r="H143" s="708" t="s">
        <v>1648</v>
      </c>
      <c r="I143" s="636" t="s">
        <v>1785</v>
      </c>
      <c r="J143" s="715"/>
      <c r="K143" s="713"/>
      <c r="L143" s="714"/>
      <c r="M143" s="210"/>
      <c r="N143" s="210"/>
      <c r="O143" s="210"/>
      <c r="P143" s="210"/>
    </row>
    <row r="144" ht="15.75" customHeight="1">
      <c r="A144" s="702"/>
      <c r="B144" s="82"/>
      <c r="C144" s="82">
        <v>3.0</v>
      </c>
      <c r="D144" s="50" t="s">
        <v>1786</v>
      </c>
      <c r="E144" s="82" t="s">
        <v>119</v>
      </c>
      <c r="F144" s="82" t="s">
        <v>120</v>
      </c>
      <c r="G144" s="160" t="s">
        <v>124</v>
      </c>
      <c r="H144" s="730" t="s">
        <v>1636</v>
      </c>
      <c r="I144" s="627" t="s">
        <v>1787</v>
      </c>
      <c r="J144" s="715" t="s">
        <v>2284</v>
      </c>
      <c r="K144" s="704" t="s">
        <v>2404</v>
      </c>
      <c r="L144" s="562">
        <v>4.0</v>
      </c>
      <c r="M144" s="705"/>
      <c r="N144" s="706">
        <v>2.0</v>
      </c>
      <c r="O144" s="705" t="s">
        <v>2405</v>
      </c>
      <c r="P144" s="677" t="s">
        <v>2406</v>
      </c>
    </row>
    <row r="145" ht="15.75" customHeight="1">
      <c r="A145" s="702"/>
      <c r="B145" s="82"/>
      <c r="C145" s="82"/>
      <c r="D145" s="50"/>
      <c r="E145" s="82" t="s">
        <v>119</v>
      </c>
      <c r="F145" s="82" t="s">
        <v>120</v>
      </c>
      <c r="G145" s="160" t="s">
        <v>124</v>
      </c>
      <c r="H145" s="708" t="s">
        <v>1643</v>
      </c>
      <c r="I145" s="722" t="s">
        <v>1790</v>
      </c>
      <c r="J145" s="715"/>
      <c r="K145" s="710"/>
      <c r="L145" s="711"/>
      <c r="M145" s="536"/>
      <c r="N145" s="536"/>
      <c r="O145" s="536"/>
      <c r="P145" s="536"/>
    </row>
    <row r="146" ht="15.75" customHeight="1">
      <c r="A146" s="702"/>
      <c r="B146" s="82"/>
      <c r="C146" s="82"/>
      <c r="D146" s="50"/>
      <c r="E146" s="82" t="s">
        <v>119</v>
      </c>
      <c r="F146" s="82" t="s">
        <v>120</v>
      </c>
      <c r="G146" s="160" t="s">
        <v>124</v>
      </c>
      <c r="H146" s="717" t="s">
        <v>1645</v>
      </c>
      <c r="I146" s="722" t="s">
        <v>1791</v>
      </c>
      <c r="J146" s="715"/>
      <c r="K146" s="710"/>
      <c r="L146" s="711"/>
      <c r="M146" s="536"/>
      <c r="N146" s="536"/>
      <c r="O146" s="536"/>
      <c r="P146" s="536"/>
    </row>
    <row r="147" ht="15.75" customHeight="1">
      <c r="A147" s="702"/>
      <c r="B147" s="82"/>
      <c r="C147" s="82"/>
      <c r="D147" s="50"/>
      <c r="E147" s="82" t="s">
        <v>119</v>
      </c>
      <c r="F147" s="82" t="s">
        <v>120</v>
      </c>
      <c r="G147" s="160" t="s">
        <v>124</v>
      </c>
      <c r="H147" s="708" t="s">
        <v>1638</v>
      </c>
      <c r="I147" s="722" t="s">
        <v>1792</v>
      </c>
      <c r="J147" s="715"/>
      <c r="K147" s="710"/>
      <c r="L147" s="711"/>
      <c r="M147" s="536"/>
      <c r="N147" s="536"/>
      <c r="O147" s="536"/>
      <c r="P147" s="536"/>
    </row>
    <row r="148" ht="15.75" customHeight="1">
      <c r="A148" s="702"/>
      <c r="B148" s="82"/>
      <c r="C148" s="82"/>
      <c r="D148" s="50"/>
      <c r="E148" s="82" t="s">
        <v>119</v>
      </c>
      <c r="F148" s="82" t="s">
        <v>120</v>
      </c>
      <c r="G148" s="160" t="s">
        <v>124</v>
      </c>
      <c r="H148" s="708" t="s">
        <v>1648</v>
      </c>
      <c r="I148" s="722" t="s">
        <v>1793</v>
      </c>
      <c r="J148" s="715"/>
      <c r="K148" s="713"/>
      <c r="L148" s="714"/>
      <c r="M148" s="210"/>
      <c r="N148" s="210"/>
      <c r="O148" s="210"/>
      <c r="P148" s="210"/>
    </row>
    <row r="149" ht="15.75" customHeight="1">
      <c r="A149" s="731">
        <v>45324.0</v>
      </c>
      <c r="B149" s="143" t="s">
        <v>173</v>
      </c>
      <c r="C149" s="62"/>
      <c r="D149" s="62"/>
      <c r="E149" s="62"/>
      <c r="F149" s="62"/>
      <c r="G149" s="62"/>
      <c r="H149" s="62"/>
      <c r="I149" s="63"/>
      <c r="J149" s="641"/>
      <c r="K149" s="732"/>
      <c r="L149" s="733">
        <v>45415.0</v>
      </c>
      <c r="M149" s="734"/>
      <c r="N149" s="735"/>
      <c r="O149" s="734"/>
      <c r="P149" s="487"/>
    </row>
    <row r="150" ht="15.75" customHeight="1">
      <c r="A150" s="702"/>
      <c r="B150" s="82"/>
      <c r="C150" s="82">
        <v>1.0</v>
      </c>
      <c r="D150" s="50" t="s">
        <v>174</v>
      </c>
      <c r="E150" s="82" t="s">
        <v>119</v>
      </c>
      <c r="F150" s="82" t="s">
        <v>120</v>
      </c>
      <c r="G150" s="160" t="s">
        <v>124</v>
      </c>
      <c r="H150" s="703" t="s">
        <v>1636</v>
      </c>
      <c r="I150" s="643" t="s">
        <v>1795</v>
      </c>
      <c r="J150" s="721" t="s">
        <v>2284</v>
      </c>
      <c r="K150" s="704" t="s">
        <v>2407</v>
      </c>
      <c r="L150" s="562">
        <v>4.0</v>
      </c>
      <c r="M150" s="705"/>
      <c r="N150" s="706">
        <v>3.0</v>
      </c>
      <c r="O150" s="705"/>
      <c r="P150" s="677" t="s">
        <v>2408</v>
      </c>
    </row>
    <row r="151" ht="15.75" customHeight="1">
      <c r="A151" s="702"/>
      <c r="B151" s="82"/>
      <c r="C151" s="82"/>
      <c r="D151" s="50"/>
      <c r="E151" s="82" t="s">
        <v>119</v>
      </c>
      <c r="F151" s="82" t="s">
        <v>120</v>
      </c>
      <c r="G151" s="160" t="s">
        <v>124</v>
      </c>
      <c r="H151" s="708" t="s">
        <v>1643</v>
      </c>
      <c r="I151" s="636" t="s">
        <v>1800</v>
      </c>
      <c r="J151" s="715"/>
      <c r="K151" s="710"/>
      <c r="L151" s="711"/>
      <c r="M151" s="536"/>
      <c r="N151" s="536"/>
      <c r="O151" s="536"/>
      <c r="P151" s="536"/>
    </row>
    <row r="152" ht="15.75" customHeight="1">
      <c r="A152" s="702"/>
      <c r="B152" s="82"/>
      <c r="C152" s="82"/>
      <c r="D152" s="50"/>
      <c r="E152" s="82" t="s">
        <v>119</v>
      </c>
      <c r="F152" s="82" t="s">
        <v>120</v>
      </c>
      <c r="G152" s="160" t="s">
        <v>124</v>
      </c>
      <c r="H152" s="708" t="s">
        <v>1645</v>
      </c>
      <c r="I152" s="636" t="s">
        <v>1801</v>
      </c>
      <c r="J152" s="715"/>
      <c r="K152" s="710"/>
      <c r="L152" s="711"/>
      <c r="M152" s="536"/>
      <c r="N152" s="536"/>
      <c r="O152" s="536"/>
      <c r="P152" s="536"/>
    </row>
    <row r="153" ht="15.75" customHeight="1">
      <c r="A153" s="702"/>
      <c r="B153" s="82"/>
      <c r="C153" s="82"/>
      <c r="D153" s="50"/>
      <c r="E153" s="82" t="s">
        <v>119</v>
      </c>
      <c r="F153" s="82" t="s">
        <v>120</v>
      </c>
      <c r="G153" s="160" t="s">
        <v>124</v>
      </c>
      <c r="H153" s="708" t="s">
        <v>1638</v>
      </c>
      <c r="I153" s="636" t="s">
        <v>1802</v>
      </c>
      <c r="J153" s="715"/>
      <c r="K153" s="710"/>
      <c r="L153" s="711"/>
      <c r="M153" s="536"/>
      <c r="N153" s="536"/>
      <c r="O153" s="536"/>
      <c r="P153" s="536"/>
    </row>
    <row r="154" ht="15.75" customHeight="1">
      <c r="A154" s="702"/>
      <c r="B154" s="82"/>
      <c r="C154" s="82"/>
      <c r="D154" s="50"/>
      <c r="E154" s="82" t="s">
        <v>119</v>
      </c>
      <c r="F154" s="82" t="s">
        <v>120</v>
      </c>
      <c r="G154" s="160" t="s">
        <v>124</v>
      </c>
      <c r="H154" s="708" t="s">
        <v>1648</v>
      </c>
      <c r="I154" s="636" t="s">
        <v>1803</v>
      </c>
      <c r="J154" s="715"/>
      <c r="K154" s="713"/>
      <c r="L154" s="714"/>
      <c r="M154" s="210"/>
      <c r="N154" s="210"/>
      <c r="O154" s="210"/>
      <c r="P154" s="210"/>
    </row>
    <row r="155" ht="15.75" customHeight="1">
      <c r="A155" s="702"/>
      <c r="B155" s="82"/>
      <c r="C155" s="82">
        <v>2.0</v>
      </c>
      <c r="D155" s="50" t="s">
        <v>1804</v>
      </c>
      <c r="E155" s="82" t="s">
        <v>119</v>
      </c>
      <c r="F155" s="82" t="s">
        <v>120</v>
      </c>
      <c r="G155" s="160" t="s">
        <v>124</v>
      </c>
      <c r="H155" s="717" t="s">
        <v>1636</v>
      </c>
      <c r="I155" s="636" t="s">
        <v>1805</v>
      </c>
      <c r="J155" s="715" t="s">
        <v>2284</v>
      </c>
      <c r="K155" s="704" t="s">
        <v>2409</v>
      </c>
      <c r="L155" s="562">
        <v>4.0</v>
      </c>
      <c r="M155" s="705"/>
      <c r="N155" s="706">
        <v>4.0</v>
      </c>
      <c r="O155" s="705"/>
      <c r="P155" s="677" t="s">
        <v>2410</v>
      </c>
    </row>
    <row r="156" ht="15.75" customHeight="1">
      <c r="A156" s="702"/>
      <c r="B156" s="82"/>
      <c r="C156" s="82"/>
      <c r="D156" s="50"/>
      <c r="E156" s="82" t="s">
        <v>119</v>
      </c>
      <c r="F156" s="82" t="s">
        <v>120</v>
      </c>
      <c r="G156" s="160" t="s">
        <v>124</v>
      </c>
      <c r="H156" s="708" t="s">
        <v>1643</v>
      </c>
      <c r="I156" s="636" t="s">
        <v>1808</v>
      </c>
      <c r="J156" s="715"/>
      <c r="K156" s="710"/>
      <c r="L156" s="711"/>
      <c r="M156" s="536"/>
      <c r="N156" s="536"/>
      <c r="O156" s="536"/>
      <c r="P156" s="536"/>
    </row>
    <row r="157" ht="15.75" customHeight="1">
      <c r="A157" s="702"/>
      <c r="B157" s="82"/>
      <c r="C157" s="82"/>
      <c r="D157" s="50"/>
      <c r="E157" s="82" t="s">
        <v>119</v>
      </c>
      <c r="F157" s="82" t="s">
        <v>120</v>
      </c>
      <c r="G157" s="160" t="s">
        <v>124</v>
      </c>
      <c r="H157" s="708" t="s">
        <v>1645</v>
      </c>
      <c r="I157" s="636" t="s">
        <v>2074</v>
      </c>
      <c r="J157" s="715"/>
      <c r="K157" s="710"/>
      <c r="L157" s="711"/>
      <c r="M157" s="536"/>
      <c r="N157" s="536"/>
      <c r="O157" s="536"/>
      <c r="P157" s="536"/>
    </row>
    <row r="158" ht="15.75" customHeight="1">
      <c r="A158" s="702"/>
      <c r="B158" s="82"/>
      <c r="C158" s="82"/>
      <c r="D158" s="50"/>
      <c r="E158" s="82" t="s">
        <v>119</v>
      </c>
      <c r="F158" s="82" t="s">
        <v>120</v>
      </c>
      <c r="G158" s="160" t="s">
        <v>124</v>
      </c>
      <c r="H158" s="708" t="s">
        <v>1638</v>
      </c>
      <c r="I158" s="636" t="s">
        <v>1810</v>
      </c>
      <c r="J158" s="715"/>
      <c r="K158" s="710"/>
      <c r="L158" s="711"/>
      <c r="M158" s="536"/>
      <c r="N158" s="536"/>
      <c r="O158" s="536"/>
      <c r="P158" s="536"/>
    </row>
    <row r="159" ht="15.75" customHeight="1">
      <c r="A159" s="702"/>
      <c r="B159" s="82"/>
      <c r="C159" s="82"/>
      <c r="D159" s="50"/>
      <c r="E159" s="82" t="s">
        <v>119</v>
      </c>
      <c r="F159" s="82" t="s">
        <v>120</v>
      </c>
      <c r="G159" s="160" t="s">
        <v>124</v>
      </c>
      <c r="H159" s="708" t="s">
        <v>1648</v>
      </c>
      <c r="I159" s="636" t="s">
        <v>1811</v>
      </c>
      <c r="J159" s="715"/>
      <c r="K159" s="713"/>
      <c r="L159" s="714"/>
      <c r="M159" s="210"/>
      <c r="N159" s="210"/>
      <c r="O159" s="210"/>
      <c r="P159" s="210"/>
    </row>
    <row r="160" ht="15.75" customHeight="1">
      <c r="A160" s="702"/>
      <c r="B160" s="82"/>
      <c r="C160" s="82">
        <v>3.0</v>
      </c>
      <c r="D160" s="50" t="s">
        <v>1812</v>
      </c>
      <c r="E160" s="82" t="s">
        <v>119</v>
      </c>
      <c r="F160" s="82" t="s">
        <v>120</v>
      </c>
      <c r="G160" s="160" t="s">
        <v>124</v>
      </c>
      <c r="H160" s="717" t="s">
        <v>1636</v>
      </c>
      <c r="I160" s="636" t="s">
        <v>1813</v>
      </c>
      <c r="J160" s="715" t="s">
        <v>2284</v>
      </c>
      <c r="K160" s="704" t="s">
        <v>2411</v>
      </c>
      <c r="L160" s="562">
        <v>4.0</v>
      </c>
      <c r="M160" s="705"/>
      <c r="N160" s="706">
        <v>3.0</v>
      </c>
      <c r="O160" s="705"/>
      <c r="P160" s="677" t="s">
        <v>2412</v>
      </c>
    </row>
    <row r="161" ht="15.75" customHeight="1">
      <c r="A161" s="702"/>
      <c r="B161" s="82"/>
      <c r="C161" s="82"/>
      <c r="D161" s="50"/>
      <c r="E161" s="82" t="s">
        <v>119</v>
      </c>
      <c r="F161" s="82" t="s">
        <v>120</v>
      </c>
      <c r="G161" s="160" t="s">
        <v>124</v>
      </c>
      <c r="H161" s="708" t="s">
        <v>1643</v>
      </c>
      <c r="I161" s="636" t="s">
        <v>1816</v>
      </c>
      <c r="J161" s="715"/>
      <c r="K161" s="710"/>
      <c r="L161" s="711"/>
      <c r="M161" s="536"/>
      <c r="N161" s="536"/>
      <c r="O161" s="536"/>
      <c r="P161" s="536"/>
    </row>
    <row r="162" ht="15.75" customHeight="1">
      <c r="A162" s="702"/>
      <c r="B162" s="82"/>
      <c r="C162" s="82"/>
      <c r="D162" s="50"/>
      <c r="E162" s="82" t="s">
        <v>119</v>
      </c>
      <c r="F162" s="82" t="s">
        <v>120</v>
      </c>
      <c r="G162" s="160" t="s">
        <v>124</v>
      </c>
      <c r="H162" s="708" t="s">
        <v>1645</v>
      </c>
      <c r="I162" s="636" t="s">
        <v>1817</v>
      </c>
      <c r="J162" s="715"/>
      <c r="K162" s="710"/>
      <c r="L162" s="711"/>
      <c r="M162" s="536"/>
      <c r="N162" s="536"/>
      <c r="O162" s="536"/>
      <c r="P162" s="536"/>
    </row>
    <row r="163" ht="15.75" customHeight="1">
      <c r="A163" s="702"/>
      <c r="B163" s="82"/>
      <c r="C163" s="82"/>
      <c r="D163" s="50"/>
      <c r="E163" s="82" t="s">
        <v>119</v>
      </c>
      <c r="F163" s="82" t="s">
        <v>120</v>
      </c>
      <c r="G163" s="160" t="s">
        <v>124</v>
      </c>
      <c r="H163" s="708" t="s">
        <v>1638</v>
      </c>
      <c r="I163" s="636" t="s">
        <v>1818</v>
      </c>
      <c r="J163" s="715"/>
      <c r="K163" s="710"/>
      <c r="L163" s="711"/>
      <c r="M163" s="536"/>
      <c r="N163" s="536"/>
      <c r="O163" s="536"/>
      <c r="P163" s="536"/>
    </row>
    <row r="164" ht="15.75" customHeight="1">
      <c r="A164" s="702"/>
      <c r="B164" s="82"/>
      <c r="C164" s="82"/>
      <c r="D164" s="50"/>
      <c r="E164" s="82" t="s">
        <v>119</v>
      </c>
      <c r="F164" s="82" t="s">
        <v>120</v>
      </c>
      <c r="G164" s="160" t="s">
        <v>124</v>
      </c>
      <c r="H164" s="708" t="s">
        <v>1648</v>
      </c>
      <c r="I164" s="636" t="s">
        <v>1819</v>
      </c>
      <c r="J164" s="715"/>
      <c r="K164" s="713"/>
      <c r="L164" s="714"/>
      <c r="M164" s="210"/>
      <c r="N164" s="210"/>
      <c r="O164" s="210"/>
      <c r="P164" s="210"/>
    </row>
    <row r="165" ht="15.75" customHeight="1">
      <c r="A165" s="702"/>
      <c r="B165" s="82"/>
      <c r="C165" s="82">
        <v>4.0</v>
      </c>
      <c r="D165" s="50" t="s">
        <v>177</v>
      </c>
      <c r="E165" s="82" t="s">
        <v>119</v>
      </c>
      <c r="F165" s="82" t="s">
        <v>120</v>
      </c>
      <c r="G165" s="160" t="s">
        <v>124</v>
      </c>
      <c r="H165" s="708" t="s">
        <v>1636</v>
      </c>
      <c r="I165" s="636" t="s">
        <v>1820</v>
      </c>
      <c r="J165" s="715" t="s">
        <v>2284</v>
      </c>
      <c r="K165" s="704" t="s">
        <v>2413</v>
      </c>
      <c r="L165" s="562">
        <v>4.0</v>
      </c>
      <c r="M165" s="705"/>
      <c r="N165" s="706">
        <v>3.0</v>
      </c>
      <c r="O165" s="705"/>
      <c r="P165" s="677" t="s">
        <v>2414</v>
      </c>
    </row>
    <row r="166" ht="15.75" customHeight="1">
      <c r="A166" s="702"/>
      <c r="B166" s="82"/>
      <c r="C166" s="82"/>
      <c r="D166" s="50"/>
      <c r="E166" s="82" t="s">
        <v>119</v>
      </c>
      <c r="F166" s="82" t="s">
        <v>120</v>
      </c>
      <c r="G166" s="160" t="s">
        <v>124</v>
      </c>
      <c r="H166" s="708" t="s">
        <v>1643</v>
      </c>
      <c r="I166" s="636" t="s">
        <v>1823</v>
      </c>
      <c r="J166" s="715"/>
      <c r="K166" s="710"/>
      <c r="L166" s="711"/>
      <c r="M166" s="536"/>
      <c r="N166" s="536"/>
      <c r="O166" s="536"/>
      <c r="P166" s="536"/>
    </row>
    <row r="167" ht="15.75" customHeight="1">
      <c r="A167" s="702"/>
      <c r="B167" s="82"/>
      <c r="C167" s="82"/>
      <c r="D167" s="50"/>
      <c r="E167" s="82" t="s">
        <v>119</v>
      </c>
      <c r="F167" s="82" t="s">
        <v>120</v>
      </c>
      <c r="G167" s="160" t="s">
        <v>124</v>
      </c>
      <c r="H167" s="717" t="s">
        <v>1645</v>
      </c>
      <c r="I167" s="636" t="s">
        <v>1824</v>
      </c>
      <c r="J167" s="715"/>
      <c r="K167" s="710"/>
      <c r="L167" s="711"/>
      <c r="M167" s="536"/>
      <c r="N167" s="536"/>
      <c r="O167" s="536"/>
      <c r="P167" s="536"/>
    </row>
    <row r="168" ht="15.75" customHeight="1">
      <c r="A168" s="702"/>
      <c r="B168" s="82"/>
      <c r="C168" s="82"/>
      <c r="D168" s="50"/>
      <c r="E168" s="82" t="s">
        <v>119</v>
      </c>
      <c r="F168" s="82" t="s">
        <v>120</v>
      </c>
      <c r="G168" s="160" t="s">
        <v>124</v>
      </c>
      <c r="H168" s="708" t="s">
        <v>1638</v>
      </c>
      <c r="I168" s="636" t="s">
        <v>1825</v>
      </c>
      <c r="J168" s="715"/>
      <c r="K168" s="710"/>
      <c r="L168" s="711"/>
      <c r="M168" s="536"/>
      <c r="N168" s="536"/>
      <c r="O168" s="536"/>
      <c r="P168" s="536"/>
    </row>
    <row r="169" ht="15.75" customHeight="1">
      <c r="A169" s="702"/>
      <c r="B169" s="82"/>
      <c r="C169" s="82"/>
      <c r="D169" s="50"/>
      <c r="E169" s="82" t="s">
        <v>119</v>
      </c>
      <c r="F169" s="82" t="s">
        <v>120</v>
      </c>
      <c r="G169" s="160" t="s">
        <v>124</v>
      </c>
      <c r="H169" s="708" t="s">
        <v>1648</v>
      </c>
      <c r="I169" s="636" t="s">
        <v>1826</v>
      </c>
      <c r="J169" s="715"/>
      <c r="K169" s="713"/>
      <c r="L169" s="714"/>
      <c r="M169" s="210"/>
      <c r="N169" s="210"/>
      <c r="O169" s="210"/>
      <c r="P169" s="210"/>
    </row>
    <row r="170" ht="15.75" customHeight="1">
      <c r="A170" s="702"/>
      <c r="B170" s="82"/>
      <c r="C170" s="82">
        <v>5.0</v>
      </c>
      <c r="D170" s="50" t="s">
        <v>178</v>
      </c>
      <c r="E170" s="82" t="s">
        <v>119</v>
      </c>
      <c r="F170" s="82" t="s">
        <v>120</v>
      </c>
      <c r="G170" s="160" t="s">
        <v>124</v>
      </c>
      <c r="H170" s="708" t="s">
        <v>1636</v>
      </c>
      <c r="I170" s="636" t="s">
        <v>1827</v>
      </c>
      <c r="J170" s="715" t="s">
        <v>2284</v>
      </c>
      <c r="K170" s="704" t="s">
        <v>2415</v>
      </c>
      <c r="L170" s="562">
        <v>2.0</v>
      </c>
      <c r="M170" s="705"/>
      <c r="N170" s="706">
        <v>2.0</v>
      </c>
      <c r="O170" s="705"/>
      <c r="P170" s="677" t="s">
        <v>2416</v>
      </c>
    </row>
    <row r="171" ht="15.75" customHeight="1">
      <c r="A171" s="702"/>
      <c r="B171" s="82"/>
      <c r="C171" s="82"/>
      <c r="D171" s="50"/>
      <c r="E171" s="82" t="s">
        <v>119</v>
      </c>
      <c r="F171" s="82" t="s">
        <v>120</v>
      </c>
      <c r="G171" s="160" t="s">
        <v>124</v>
      </c>
      <c r="H171" s="708" t="s">
        <v>1643</v>
      </c>
      <c r="I171" s="636" t="s">
        <v>1830</v>
      </c>
      <c r="J171" s="715"/>
      <c r="K171" s="710"/>
      <c r="L171" s="711"/>
      <c r="M171" s="536"/>
      <c r="N171" s="536"/>
      <c r="O171" s="536"/>
      <c r="P171" s="536"/>
    </row>
    <row r="172" ht="15.75" customHeight="1">
      <c r="A172" s="702"/>
      <c r="B172" s="82"/>
      <c r="C172" s="82"/>
      <c r="D172" s="50"/>
      <c r="E172" s="82" t="s">
        <v>119</v>
      </c>
      <c r="F172" s="82" t="s">
        <v>120</v>
      </c>
      <c r="G172" s="160" t="s">
        <v>124</v>
      </c>
      <c r="H172" s="717" t="s">
        <v>1645</v>
      </c>
      <c r="I172" s="636" t="s">
        <v>1831</v>
      </c>
      <c r="J172" s="715"/>
      <c r="K172" s="710"/>
      <c r="L172" s="711"/>
      <c r="M172" s="536"/>
      <c r="N172" s="536"/>
      <c r="O172" s="536"/>
      <c r="P172" s="536"/>
    </row>
    <row r="173" ht="15.75" customHeight="1">
      <c r="A173" s="702"/>
      <c r="B173" s="82"/>
      <c r="C173" s="82"/>
      <c r="D173" s="50"/>
      <c r="E173" s="82" t="s">
        <v>119</v>
      </c>
      <c r="F173" s="82" t="s">
        <v>120</v>
      </c>
      <c r="G173" s="160" t="s">
        <v>124</v>
      </c>
      <c r="H173" s="708" t="s">
        <v>1638</v>
      </c>
      <c r="I173" s="636" t="s">
        <v>1832</v>
      </c>
      <c r="J173" s="715"/>
      <c r="K173" s="710"/>
      <c r="L173" s="711"/>
      <c r="M173" s="536"/>
      <c r="N173" s="536"/>
      <c r="O173" s="536"/>
      <c r="P173" s="536"/>
    </row>
    <row r="174" ht="15.75" customHeight="1">
      <c r="A174" s="702"/>
      <c r="B174" s="82"/>
      <c r="C174" s="82"/>
      <c r="D174" s="50"/>
      <c r="E174" s="82" t="s">
        <v>119</v>
      </c>
      <c r="F174" s="82" t="s">
        <v>120</v>
      </c>
      <c r="G174" s="160" t="s">
        <v>124</v>
      </c>
      <c r="H174" s="708" t="s">
        <v>1648</v>
      </c>
      <c r="I174" s="636" t="s">
        <v>1833</v>
      </c>
      <c r="J174" s="715"/>
      <c r="K174" s="713"/>
      <c r="L174" s="714"/>
      <c r="M174" s="210"/>
      <c r="N174" s="210"/>
      <c r="O174" s="210"/>
      <c r="P174" s="210"/>
    </row>
    <row r="175" ht="15.75" customHeight="1">
      <c r="A175" s="702"/>
      <c r="B175" s="82"/>
      <c r="C175" s="82">
        <v>6.0</v>
      </c>
      <c r="D175" s="50" t="s">
        <v>2417</v>
      </c>
      <c r="E175" s="82" t="s">
        <v>119</v>
      </c>
      <c r="F175" s="160" t="s">
        <v>124</v>
      </c>
      <c r="G175" s="150" t="s">
        <v>58</v>
      </c>
      <c r="H175" s="708" t="s">
        <v>1636</v>
      </c>
      <c r="I175" s="627" t="s">
        <v>2418</v>
      </c>
      <c r="J175" s="715" t="s">
        <v>2284</v>
      </c>
      <c r="K175" s="716" t="s">
        <v>2419</v>
      </c>
      <c r="L175" s="562">
        <v>3.0</v>
      </c>
      <c r="M175" s="705"/>
      <c r="N175" s="706">
        <v>3.0</v>
      </c>
      <c r="O175" s="705"/>
      <c r="P175" s="677" t="s">
        <v>2420</v>
      </c>
    </row>
    <row r="176" ht="15.75" customHeight="1">
      <c r="A176" s="702"/>
      <c r="B176" s="82"/>
      <c r="C176" s="82"/>
      <c r="D176" s="50"/>
      <c r="E176" s="82" t="s">
        <v>119</v>
      </c>
      <c r="F176" s="160" t="s">
        <v>124</v>
      </c>
      <c r="G176" s="150" t="s">
        <v>58</v>
      </c>
      <c r="H176" s="708" t="s">
        <v>1643</v>
      </c>
      <c r="I176" s="627" t="s">
        <v>2421</v>
      </c>
      <c r="J176" s="715"/>
      <c r="K176" s="710"/>
      <c r="L176" s="711"/>
      <c r="M176" s="536"/>
      <c r="N176" s="536"/>
      <c r="O176" s="536"/>
      <c r="P176" s="536"/>
    </row>
    <row r="177" ht="15.75" customHeight="1">
      <c r="A177" s="702"/>
      <c r="B177" s="82"/>
      <c r="C177" s="82"/>
      <c r="D177" s="50"/>
      <c r="E177" s="82" t="s">
        <v>119</v>
      </c>
      <c r="F177" s="160" t="s">
        <v>124</v>
      </c>
      <c r="G177" s="150" t="s">
        <v>58</v>
      </c>
      <c r="H177" s="717" t="s">
        <v>1645</v>
      </c>
      <c r="I177" s="627" t="s">
        <v>2422</v>
      </c>
      <c r="J177" s="715"/>
      <c r="K177" s="710"/>
      <c r="L177" s="711"/>
      <c r="M177" s="536"/>
      <c r="N177" s="536"/>
      <c r="O177" s="536"/>
      <c r="P177" s="536"/>
    </row>
    <row r="178" ht="15.75" customHeight="1">
      <c r="A178" s="702"/>
      <c r="B178" s="82"/>
      <c r="C178" s="82"/>
      <c r="D178" s="50"/>
      <c r="E178" s="82" t="s">
        <v>119</v>
      </c>
      <c r="F178" s="160" t="s">
        <v>124</v>
      </c>
      <c r="G178" s="150" t="s">
        <v>58</v>
      </c>
      <c r="H178" s="708" t="s">
        <v>1638</v>
      </c>
      <c r="I178" s="627" t="s">
        <v>2423</v>
      </c>
      <c r="J178" s="715"/>
      <c r="K178" s="710"/>
      <c r="L178" s="711"/>
      <c r="M178" s="536"/>
      <c r="N178" s="536"/>
      <c r="O178" s="536"/>
      <c r="P178" s="536"/>
    </row>
    <row r="179" ht="15.75" customHeight="1">
      <c r="A179" s="702"/>
      <c r="B179" s="82"/>
      <c r="C179" s="82"/>
      <c r="D179" s="50"/>
      <c r="E179" s="82" t="s">
        <v>119</v>
      </c>
      <c r="F179" s="160" t="s">
        <v>124</v>
      </c>
      <c r="G179" s="150" t="s">
        <v>58</v>
      </c>
      <c r="H179" s="708" t="s">
        <v>1648</v>
      </c>
      <c r="I179" s="627" t="s">
        <v>2424</v>
      </c>
      <c r="J179" s="715"/>
      <c r="K179" s="713"/>
      <c r="L179" s="714"/>
      <c r="M179" s="210"/>
      <c r="N179" s="210"/>
      <c r="O179" s="210"/>
      <c r="P179" s="210"/>
    </row>
    <row r="180" ht="15.75" customHeight="1">
      <c r="A180" s="728">
        <v>45294.0</v>
      </c>
      <c r="B180" s="143" t="s">
        <v>2080</v>
      </c>
      <c r="C180" s="62"/>
      <c r="D180" s="62"/>
      <c r="E180" s="62"/>
      <c r="F180" s="62"/>
      <c r="G180" s="62"/>
      <c r="H180" s="62"/>
      <c r="I180" s="63"/>
      <c r="J180" s="144"/>
      <c r="K180" s="719"/>
      <c r="L180" s="720">
        <v>5.0</v>
      </c>
      <c r="M180" s="615"/>
      <c r="N180" s="701"/>
      <c r="O180" s="615"/>
      <c r="P180" s="487"/>
    </row>
    <row r="181" ht="15.75" customHeight="1">
      <c r="A181" s="82"/>
      <c r="B181" s="50"/>
      <c r="C181" s="82">
        <v>1.0</v>
      </c>
      <c r="D181" s="50" t="s">
        <v>1834</v>
      </c>
      <c r="E181" s="82" t="s">
        <v>119</v>
      </c>
      <c r="F181" s="82" t="s">
        <v>124</v>
      </c>
      <c r="G181" s="94" t="s">
        <v>124</v>
      </c>
      <c r="H181" s="703" t="s">
        <v>1636</v>
      </c>
      <c r="I181" s="620" t="s">
        <v>1835</v>
      </c>
      <c r="J181" s="721" t="s">
        <v>2284</v>
      </c>
      <c r="K181" s="704" t="s">
        <v>2425</v>
      </c>
      <c r="L181" s="562">
        <v>5.0</v>
      </c>
      <c r="M181" s="705"/>
      <c r="N181" s="706">
        <v>3.0</v>
      </c>
      <c r="O181" s="705"/>
      <c r="P181" s="677" t="s">
        <v>2426</v>
      </c>
    </row>
    <row r="182" ht="15.75" customHeight="1">
      <c r="A182" s="82"/>
      <c r="B182" s="50"/>
      <c r="C182" s="82"/>
      <c r="D182" s="50"/>
      <c r="E182" s="82" t="s">
        <v>119</v>
      </c>
      <c r="F182" s="82" t="s">
        <v>124</v>
      </c>
      <c r="G182" s="94" t="s">
        <v>124</v>
      </c>
      <c r="H182" s="708" t="s">
        <v>1643</v>
      </c>
      <c r="I182" s="627" t="s">
        <v>1839</v>
      </c>
      <c r="J182" s="715"/>
      <c r="K182" s="710"/>
      <c r="L182" s="711"/>
      <c r="M182" s="536"/>
      <c r="N182" s="536"/>
      <c r="O182" s="536"/>
      <c r="P182" s="536"/>
    </row>
    <row r="183" ht="15.75" customHeight="1">
      <c r="A183" s="82"/>
      <c r="B183" s="50"/>
      <c r="C183" s="82"/>
      <c r="D183" s="50"/>
      <c r="E183" s="82" t="s">
        <v>119</v>
      </c>
      <c r="F183" s="82" t="s">
        <v>124</v>
      </c>
      <c r="G183" s="94" t="s">
        <v>124</v>
      </c>
      <c r="H183" s="708" t="s">
        <v>1645</v>
      </c>
      <c r="I183" s="627" t="s">
        <v>1840</v>
      </c>
      <c r="J183" s="715"/>
      <c r="K183" s="710"/>
      <c r="L183" s="711"/>
      <c r="M183" s="536"/>
      <c r="N183" s="536"/>
      <c r="O183" s="536"/>
      <c r="P183" s="536"/>
    </row>
    <row r="184" ht="15.75" customHeight="1">
      <c r="A184" s="82"/>
      <c r="B184" s="50"/>
      <c r="C184" s="82"/>
      <c r="D184" s="50"/>
      <c r="E184" s="82" t="s">
        <v>119</v>
      </c>
      <c r="F184" s="82" t="s">
        <v>124</v>
      </c>
      <c r="G184" s="94" t="s">
        <v>124</v>
      </c>
      <c r="H184" s="708" t="s">
        <v>1638</v>
      </c>
      <c r="I184" s="627" t="s">
        <v>1841</v>
      </c>
      <c r="J184" s="715"/>
      <c r="K184" s="710"/>
      <c r="L184" s="711"/>
      <c r="M184" s="536"/>
      <c r="N184" s="536"/>
      <c r="O184" s="536"/>
      <c r="P184" s="536"/>
    </row>
    <row r="185" ht="15.75" customHeight="1">
      <c r="A185" s="82"/>
      <c r="B185" s="50"/>
      <c r="C185" s="82"/>
      <c r="D185" s="50"/>
      <c r="E185" s="82" t="s">
        <v>119</v>
      </c>
      <c r="F185" s="82" t="s">
        <v>124</v>
      </c>
      <c r="G185" s="94" t="s">
        <v>124</v>
      </c>
      <c r="H185" s="708" t="s">
        <v>1648</v>
      </c>
      <c r="I185" s="627" t="s">
        <v>1842</v>
      </c>
      <c r="J185" s="715"/>
      <c r="K185" s="713"/>
      <c r="L185" s="714"/>
      <c r="M185" s="210"/>
      <c r="N185" s="210"/>
      <c r="O185" s="210"/>
      <c r="P185" s="210"/>
    </row>
    <row r="186" ht="15.75" customHeight="1">
      <c r="A186" s="728">
        <v>45325.0</v>
      </c>
      <c r="B186" s="143" t="s">
        <v>184</v>
      </c>
      <c r="C186" s="62"/>
      <c r="D186" s="62"/>
      <c r="E186" s="62"/>
      <c r="F186" s="62"/>
      <c r="G186" s="62"/>
      <c r="H186" s="62"/>
      <c r="I186" s="63"/>
      <c r="J186" s="144"/>
      <c r="K186" s="719"/>
      <c r="L186" s="720">
        <v>5.0</v>
      </c>
      <c r="M186" s="615"/>
      <c r="N186" s="701"/>
      <c r="O186" s="615"/>
      <c r="P186" s="487"/>
    </row>
    <row r="187" ht="15.75" customHeight="1">
      <c r="A187" s="82"/>
      <c r="B187" s="50"/>
      <c r="C187" s="82">
        <v>1.0</v>
      </c>
      <c r="D187" s="50" t="s">
        <v>2427</v>
      </c>
      <c r="E187" s="82" t="s">
        <v>119</v>
      </c>
      <c r="F187" s="82" t="s">
        <v>124</v>
      </c>
      <c r="G187" s="94" t="s">
        <v>124</v>
      </c>
      <c r="H187" s="82" t="s">
        <v>1636</v>
      </c>
      <c r="I187" s="620" t="s">
        <v>1843</v>
      </c>
      <c r="J187" s="721" t="s">
        <v>2284</v>
      </c>
      <c r="K187" s="704" t="s">
        <v>2428</v>
      </c>
      <c r="L187" s="562">
        <v>5.0</v>
      </c>
      <c r="M187" s="705"/>
      <c r="N187" s="706">
        <v>3.0</v>
      </c>
      <c r="O187" s="705" t="s">
        <v>2429</v>
      </c>
      <c r="P187" s="677" t="s">
        <v>2430</v>
      </c>
    </row>
    <row r="188" ht="15.75" customHeight="1">
      <c r="A188" s="82"/>
      <c r="B188" s="50"/>
      <c r="C188" s="82"/>
      <c r="D188" s="50"/>
      <c r="E188" s="82" t="s">
        <v>119</v>
      </c>
      <c r="F188" s="82" t="s">
        <v>124</v>
      </c>
      <c r="G188" s="94" t="s">
        <v>124</v>
      </c>
      <c r="H188" s="708" t="s">
        <v>1643</v>
      </c>
      <c r="I188" s="627" t="s">
        <v>1848</v>
      </c>
      <c r="J188" s="715"/>
      <c r="K188" s="710"/>
      <c r="L188" s="711"/>
      <c r="M188" s="536"/>
      <c r="N188" s="536"/>
      <c r="O188" s="536"/>
      <c r="P188" s="536"/>
    </row>
    <row r="189" ht="15.75" customHeight="1">
      <c r="A189" s="82"/>
      <c r="B189" s="50"/>
      <c r="C189" s="82"/>
      <c r="D189" s="50"/>
      <c r="E189" s="82" t="s">
        <v>119</v>
      </c>
      <c r="F189" s="82" t="s">
        <v>124</v>
      </c>
      <c r="G189" s="94" t="s">
        <v>124</v>
      </c>
      <c r="H189" s="717" t="s">
        <v>1645</v>
      </c>
      <c r="I189" s="627" t="s">
        <v>1849</v>
      </c>
      <c r="J189" s="715"/>
      <c r="K189" s="710"/>
      <c r="L189" s="711"/>
      <c r="M189" s="536"/>
      <c r="N189" s="536"/>
      <c r="O189" s="536"/>
      <c r="P189" s="536"/>
    </row>
    <row r="190" ht="15.75" customHeight="1">
      <c r="A190" s="82"/>
      <c r="B190" s="50"/>
      <c r="C190" s="82"/>
      <c r="D190" s="50"/>
      <c r="E190" s="82" t="s">
        <v>119</v>
      </c>
      <c r="F190" s="82" t="s">
        <v>124</v>
      </c>
      <c r="G190" s="94" t="s">
        <v>124</v>
      </c>
      <c r="H190" s="708" t="s">
        <v>1638</v>
      </c>
      <c r="I190" s="627" t="s">
        <v>1850</v>
      </c>
      <c r="J190" s="715"/>
      <c r="K190" s="710"/>
      <c r="L190" s="711"/>
      <c r="M190" s="536"/>
      <c r="N190" s="536"/>
      <c r="O190" s="536"/>
      <c r="P190" s="536"/>
    </row>
    <row r="191" ht="15.75" customHeight="1">
      <c r="A191" s="82"/>
      <c r="B191" s="50"/>
      <c r="C191" s="82"/>
      <c r="D191" s="50"/>
      <c r="E191" s="82" t="s">
        <v>119</v>
      </c>
      <c r="F191" s="82" t="s">
        <v>124</v>
      </c>
      <c r="G191" s="94" t="s">
        <v>124</v>
      </c>
      <c r="H191" s="708" t="s">
        <v>1648</v>
      </c>
      <c r="I191" s="627" t="s">
        <v>1851</v>
      </c>
      <c r="J191" s="715"/>
      <c r="K191" s="713"/>
      <c r="L191" s="714"/>
      <c r="M191" s="210"/>
      <c r="N191" s="210"/>
      <c r="O191" s="210"/>
      <c r="P191" s="210"/>
    </row>
    <row r="192" ht="15.75" customHeight="1">
      <c r="A192" s="728">
        <v>45354.0</v>
      </c>
      <c r="B192" s="143" t="s">
        <v>187</v>
      </c>
      <c r="C192" s="62"/>
      <c r="D192" s="62"/>
      <c r="E192" s="62"/>
      <c r="F192" s="62"/>
      <c r="G192" s="62"/>
      <c r="H192" s="62"/>
      <c r="I192" s="63"/>
      <c r="J192" s="144"/>
      <c r="K192" s="719"/>
      <c r="L192" s="720">
        <v>4.0</v>
      </c>
      <c r="M192" s="615"/>
      <c r="N192" s="701"/>
      <c r="O192" s="615"/>
      <c r="P192" s="487"/>
    </row>
    <row r="193" ht="15.75" customHeight="1">
      <c r="A193" s="82"/>
      <c r="B193" s="50"/>
      <c r="C193" s="82">
        <v>1.0</v>
      </c>
      <c r="D193" s="50" t="s">
        <v>2431</v>
      </c>
      <c r="E193" s="82" t="s">
        <v>119</v>
      </c>
      <c r="F193" s="82" t="s">
        <v>124</v>
      </c>
      <c r="G193" s="94" t="s">
        <v>124</v>
      </c>
      <c r="H193" s="82" t="s">
        <v>1636</v>
      </c>
      <c r="I193" s="620" t="s">
        <v>1853</v>
      </c>
      <c r="J193" s="721" t="s">
        <v>2284</v>
      </c>
      <c r="K193" s="704" t="s">
        <v>2432</v>
      </c>
      <c r="L193" s="562">
        <v>4.0</v>
      </c>
      <c r="M193" s="705"/>
      <c r="N193" s="706">
        <v>4.0</v>
      </c>
      <c r="O193" s="705"/>
      <c r="P193" s="677" t="s">
        <v>2433</v>
      </c>
    </row>
    <row r="194" ht="15.75" customHeight="1">
      <c r="A194" s="82"/>
      <c r="B194" s="50"/>
      <c r="C194" s="82"/>
      <c r="D194" s="50"/>
      <c r="E194" s="82" t="s">
        <v>119</v>
      </c>
      <c r="F194" s="82" t="s">
        <v>124</v>
      </c>
      <c r="G194" s="94" t="s">
        <v>124</v>
      </c>
      <c r="H194" s="708" t="s">
        <v>1643</v>
      </c>
      <c r="I194" s="627" t="s">
        <v>1858</v>
      </c>
      <c r="J194" s="715"/>
      <c r="K194" s="710"/>
      <c r="L194" s="711"/>
      <c r="M194" s="536"/>
      <c r="N194" s="536"/>
      <c r="O194" s="536"/>
      <c r="P194" s="536"/>
    </row>
    <row r="195" ht="15.75" customHeight="1">
      <c r="A195" s="82"/>
      <c r="B195" s="50"/>
      <c r="C195" s="82"/>
      <c r="D195" s="50"/>
      <c r="E195" s="82" t="s">
        <v>119</v>
      </c>
      <c r="F195" s="82" t="s">
        <v>124</v>
      </c>
      <c r="G195" s="94" t="s">
        <v>124</v>
      </c>
      <c r="H195" s="717" t="s">
        <v>1645</v>
      </c>
      <c r="I195" s="627" t="s">
        <v>1859</v>
      </c>
      <c r="J195" s="715"/>
      <c r="K195" s="710"/>
      <c r="L195" s="711"/>
      <c r="M195" s="536"/>
      <c r="N195" s="536"/>
      <c r="O195" s="536"/>
      <c r="P195" s="536"/>
    </row>
    <row r="196" ht="15.75" customHeight="1">
      <c r="A196" s="82"/>
      <c r="B196" s="50"/>
      <c r="C196" s="82"/>
      <c r="D196" s="50"/>
      <c r="E196" s="82" t="s">
        <v>119</v>
      </c>
      <c r="F196" s="82" t="s">
        <v>124</v>
      </c>
      <c r="G196" s="94" t="s">
        <v>124</v>
      </c>
      <c r="H196" s="708" t="s">
        <v>1638</v>
      </c>
      <c r="I196" s="627" t="s">
        <v>1860</v>
      </c>
      <c r="J196" s="715"/>
      <c r="K196" s="710"/>
      <c r="L196" s="711"/>
      <c r="M196" s="536"/>
      <c r="N196" s="536"/>
      <c r="O196" s="536"/>
      <c r="P196" s="536"/>
    </row>
    <row r="197" ht="15.75" customHeight="1">
      <c r="A197" s="82"/>
      <c r="B197" s="50"/>
      <c r="C197" s="82"/>
      <c r="D197" s="50"/>
      <c r="E197" s="82" t="s">
        <v>119</v>
      </c>
      <c r="F197" s="82" t="s">
        <v>124</v>
      </c>
      <c r="G197" s="94" t="s">
        <v>124</v>
      </c>
      <c r="H197" s="708" t="s">
        <v>1648</v>
      </c>
      <c r="I197" s="627" t="s">
        <v>1861</v>
      </c>
      <c r="J197" s="715"/>
      <c r="K197" s="713"/>
      <c r="L197" s="714"/>
      <c r="M197" s="210"/>
      <c r="N197" s="210"/>
      <c r="O197" s="210"/>
      <c r="P197" s="210"/>
    </row>
    <row r="198" ht="15.75" customHeight="1">
      <c r="A198" s="728">
        <v>45385.0</v>
      </c>
      <c r="B198" s="143" t="s">
        <v>190</v>
      </c>
      <c r="C198" s="62"/>
      <c r="D198" s="62"/>
      <c r="E198" s="62"/>
      <c r="F198" s="62"/>
      <c r="G198" s="62"/>
      <c r="H198" s="62"/>
      <c r="I198" s="63"/>
      <c r="J198" s="144"/>
      <c r="K198" s="719"/>
      <c r="L198" s="720">
        <v>5.0</v>
      </c>
      <c r="M198" s="615"/>
      <c r="N198" s="701"/>
      <c r="O198" s="615"/>
      <c r="P198" s="487"/>
    </row>
    <row r="199" ht="15.75" customHeight="1">
      <c r="A199" s="82"/>
      <c r="B199" s="50"/>
      <c r="C199" s="82">
        <v>1.0</v>
      </c>
      <c r="D199" s="50" t="s">
        <v>2434</v>
      </c>
      <c r="E199" s="82" t="s">
        <v>119</v>
      </c>
      <c r="F199" s="82" t="s">
        <v>124</v>
      </c>
      <c r="G199" s="94" t="s">
        <v>124</v>
      </c>
      <c r="H199" s="703" t="s">
        <v>1636</v>
      </c>
      <c r="I199" s="620" t="s">
        <v>1863</v>
      </c>
      <c r="J199" s="721" t="s">
        <v>2284</v>
      </c>
      <c r="K199" s="704" t="s">
        <v>2435</v>
      </c>
      <c r="L199" s="562">
        <v>5.0</v>
      </c>
      <c r="M199" s="705"/>
      <c r="N199" s="706">
        <v>3.0</v>
      </c>
      <c r="O199" s="705" t="s">
        <v>2436</v>
      </c>
      <c r="P199" s="677" t="s">
        <v>2437</v>
      </c>
    </row>
    <row r="200" ht="15.75" customHeight="1">
      <c r="A200" s="82"/>
      <c r="B200" s="50"/>
      <c r="C200" s="82"/>
      <c r="D200" s="50"/>
      <c r="E200" s="82" t="s">
        <v>119</v>
      </c>
      <c r="F200" s="82" t="s">
        <v>124</v>
      </c>
      <c r="G200" s="94" t="s">
        <v>124</v>
      </c>
      <c r="H200" s="708" t="s">
        <v>1643</v>
      </c>
      <c r="I200" s="627" t="s">
        <v>1868</v>
      </c>
      <c r="J200" s="715"/>
      <c r="K200" s="710"/>
      <c r="L200" s="711"/>
      <c r="M200" s="536"/>
      <c r="N200" s="536"/>
      <c r="O200" s="536"/>
      <c r="P200" s="536"/>
    </row>
    <row r="201" ht="15.75" customHeight="1">
      <c r="A201" s="82"/>
      <c r="B201" s="50"/>
      <c r="C201" s="82"/>
      <c r="D201" s="50"/>
      <c r="E201" s="82" t="s">
        <v>119</v>
      </c>
      <c r="F201" s="82" t="s">
        <v>124</v>
      </c>
      <c r="G201" s="94" t="s">
        <v>124</v>
      </c>
      <c r="H201" s="708" t="s">
        <v>1645</v>
      </c>
      <c r="I201" s="627" t="s">
        <v>1869</v>
      </c>
      <c r="J201" s="715"/>
      <c r="K201" s="710"/>
      <c r="L201" s="711"/>
      <c r="M201" s="536"/>
      <c r="N201" s="536"/>
      <c r="O201" s="536"/>
      <c r="P201" s="536"/>
    </row>
    <row r="202" ht="15.75" customHeight="1">
      <c r="A202" s="82"/>
      <c r="B202" s="50"/>
      <c r="C202" s="82"/>
      <c r="D202" s="50"/>
      <c r="E202" s="82" t="s">
        <v>119</v>
      </c>
      <c r="F202" s="82" t="s">
        <v>124</v>
      </c>
      <c r="G202" s="94" t="s">
        <v>124</v>
      </c>
      <c r="H202" s="708" t="s">
        <v>1638</v>
      </c>
      <c r="I202" s="627" t="s">
        <v>1870</v>
      </c>
      <c r="J202" s="715"/>
      <c r="K202" s="710"/>
      <c r="L202" s="711"/>
      <c r="M202" s="536"/>
      <c r="N202" s="536"/>
      <c r="O202" s="536"/>
      <c r="P202" s="536"/>
    </row>
    <row r="203" ht="15.75" customHeight="1">
      <c r="A203" s="82"/>
      <c r="B203" s="50"/>
      <c r="C203" s="82"/>
      <c r="D203" s="50"/>
      <c r="E203" s="82" t="s">
        <v>119</v>
      </c>
      <c r="F203" s="82" t="s">
        <v>124</v>
      </c>
      <c r="G203" s="94" t="s">
        <v>124</v>
      </c>
      <c r="H203" s="708" t="s">
        <v>1648</v>
      </c>
      <c r="I203" s="627" t="s">
        <v>1871</v>
      </c>
      <c r="J203" s="715"/>
      <c r="K203" s="713"/>
      <c r="L203" s="714"/>
      <c r="M203" s="210"/>
      <c r="N203" s="210"/>
      <c r="O203" s="210"/>
      <c r="P203" s="210"/>
    </row>
    <row r="204" ht="15.75" customHeight="1">
      <c r="A204" s="728">
        <v>45415.0</v>
      </c>
      <c r="B204" s="143" t="s">
        <v>193</v>
      </c>
      <c r="C204" s="62"/>
      <c r="D204" s="62"/>
      <c r="E204" s="62"/>
      <c r="F204" s="62"/>
      <c r="G204" s="62"/>
      <c r="H204" s="62"/>
      <c r="I204" s="63"/>
      <c r="J204" s="144"/>
      <c r="K204" s="719"/>
      <c r="L204" s="720">
        <v>4.0</v>
      </c>
      <c r="M204" s="615"/>
      <c r="N204" s="701"/>
      <c r="O204" s="615"/>
      <c r="P204" s="487"/>
    </row>
    <row r="205" ht="15.75" customHeight="1">
      <c r="A205" s="168"/>
      <c r="B205" s="167"/>
      <c r="C205" s="168">
        <v>1.0</v>
      </c>
      <c r="D205" s="167" t="s">
        <v>194</v>
      </c>
      <c r="E205" s="82" t="s">
        <v>119</v>
      </c>
      <c r="F205" s="150" t="s">
        <v>124</v>
      </c>
      <c r="G205" s="150" t="s">
        <v>124</v>
      </c>
      <c r="H205" s="729" t="s">
        <v>1636</v>
      </c>
      <c r="I205" s="643" t="s">
        <v>1873</v>
      </c>
      <c r="J205" s="721" t="s">
        <v>2284</v>
      </c>
      <c r="K205" s="704" t="s">
        <v>2438</v>
      </c>
      <c r="L205" s="562">
        <v>4.0</v>
      </c>
      <c r="M205" s="705"/>
      <c r="N205" s="706">
        <v>4.0</v>
      </c>
      <c r="O205" s="705"/>
      <c r="P205" s="677" t="s">
        <v>2439</v>
      </c>
    </row>
    <row r="206" ht="15.75" customHeight="1">
      <c r="A206" s="168"/>
      <c r="B206" s="167"/>
      <c r="C206" s="168"/>
      <c r="D206" s="167"/>
      <c r="E206" s="82" t="s">
        <v>119</v>
      </c>
      <c r="F206" s="150" t="s">
        <v>124</v>
      </c>
      <c r="G206" s="150" t="s">
        <v>124</v>
      </c>
      <c r="H206" s="717" t="s">
        <v>1643</v>
      </c>
      <c r="I206" s="636" t="s">
        <v>1878</v>
      </c>
      <c r="J206" s="715"/>
      <c r="K206" s="710"/>
      <c r="L206" s="711"/>
      <c r="M206" s="536"/>
      <c r="N206" s="536"/>
      <c r="O206" s="536"/>
      <c r="P206" s="536"/>
    </row>
    <row r="207" ht="15.75" customHeight="1">
      <c r="A207" s="168"/>
      <c r="B207" s="167"/>
      <c r="C207" s="168"/>
      <c r="D207" s="167"/>
      <c r="E207" s="82" t="s">
        <v>119</v>
      </c>
      <c r="F207" s="150" t="s">
        <v>124</v>
      </c>
      <c r="G207" s="150" t="s">
        <v>124</v>
      </c>
      <c r="H207" s="730" t="s">
        <v>1645</v>
      </c>
      <c r="I207" s="636" t="s">
        <v>1879</v>
      </c>
      <c r="J207" s="715"/>
      <c r="K207" s="710"/>
      <c r="L207" s="711"/>
      <c r="M207" s="536"/>
      <c r="N207" s="536"/>
      <c r="O207" s="536"/>
      <c r="P207" s="536"/>
    </row>
    <row r="208" ht="15.75" customHeight="1">
      <c r="A208" s="168"/>
      <c r="B208" s="167"/>
      <c r="C208" s="168"/>
      <c r="D208" s="167"/>
      <c r="E208" s="82" t="s">
        <v>119</v>
      </c>
      <c r="F208" s="150" t="s">
        <v>124</v>
      </c>
      <c r="G208" s="150" t="s">
        <v>124</v>
      </c>
      <c r="H208" s="730" t="s">
        <v>1638</v>
      </c>
      <c r="I208" s="636" t="s">
        <v>1880</v>
      </c>
      <c r="J208" s="715"/>
      <c r="K208" s="710"/>
      <c r="L208" s="711"/>
      <c r="M208" s="536"/>
      <c r="N208" s="536"/>
      <c r="O208" s="536"/>
      <c r="P208" s="536"/>
    </row>
    <row r="209" ht="15.75" customHeight="1">
      <c r="A209" s="168"/>
      <c r="B209" s="167"/>
      <c r="C209" s="168"/>
      <c r="D209" s="167"/>
      <c r="E209" s="82" t="s">
        <v>119</v>
      </c>
      <c r="F209" s="150" t="s">
        <v>124</v>
      </c>
      <c r="G209" s="150" t="s">
        <v>124</v>
      </c>
      <c r="H209" s="730" t="s">
        <v>1648</v>
      </c>
      <c r="I209" s="636" t="s">
        <v>1881</v>
      </c>
      <c r="J209" s="715"/>
      <c r="K209" s="713"/>
      <c r="L209" s="714"/>
      <c r="M209" s="210"/>
      <c r="N209" s="210"/>
      <c r="O209" s="210"/>
      <c r="P209" s="210"/>
    </row>
    <row r="210" ht="15.75" customHeight="1">
      <c r="A210" s="728">
        <v>45446.0</v>
      </c>
      <c r="B210" s="143" t="s">
        <v>196</v>
      </c>
      <c r="C210" s="62"/>
      <c r="D210" s="62"/>
      <c r="E210" s="62"/>
      <c r="F210" s="62"/>
      <c r="G210" s="62"/>
      <c r="H210" s="62"/>
      <c r="I210" s="63"/>
      <c r="J210" s="144"/>
      <c r="K210" s="719"/>
      <c r="L210" s="720">
        <v>5.0</v>
      </c>
      <c r="M210" s="615"/>
      <c r="N210" s="701"/>
      <c r="O210" s="615"/>
      <c r="P210" s="487"/>
    </row>
    <row r="211" ht="15.75" customHeight="1">
      <c r="A211" s="82"/>
      <c r="B211" s="50"/>
      <c r="C211" s="82">
        <v>1.0</v>
      </c>
      <c r="D211" s="50" t="s">
        <v>197</v>
      </c>
      <c r="E211" s="82" t="s">
        <v>119</v>
      </c>
      <c r="F211" s="150" t="s">
        <v>124</v>
      </c>
      <c r="G211" s="150" t="s">
        <v>124</v>
      </c>
      <c r="H211" s="703" t="s">
        <v>1636</v>
      </c>
      <c r="I211" s="620" t="s">
        <v>1882</v>
      </c>
      <c r="J211" s="721" t="s">
        <v>2284</v>
      </c>
      <c r="K211" s="736" t="s">
        <v>2440</v>
      </c>
      <c r="L211" s="562">
        <v>5.0</v>
      </c>
      <c r="M211" s="705"/>
      <c r="N211" s="706">
        <v>3.0</v>
      </c>
      <c r="O211" s="705"/>
      <c r="P211" s="677" t="s">
        <v>2441</v>
      </c>
    </row>
    <row r="212" ht="15.75" customHeight="1">
      <c r="A212" s="82"/>
      <c r="B212" s="50"/>
      <c r="C212" s="82"/>
      <c r="D212" s="50"/>
      <c r="E212" s="82" t="s">
        <v>119</v>
      </c>
      <c r="F212" s="150" t="s">
        <v>124</v>
      </c>
      <c r="G212" s="150" t="s">
        <v>124</v>
      </c>
      <c r="H212" s="708" t="s">
        <v>1643</v>
      </c>
      <c r="I212" s="627" t="s">
        <v>1886</v>
      </c>
      <c r="J212" s="715"/>
      <c r="K212" s="709"/>
      <c r="L212" s="711"/>
      <c r="M212" s="536"/>
      <c r="N212" s="536"/>
      <c r="O212" s="536"/>
      <c r="P212" s="536"/>
    </row>
    <row r="213" ht="15.75" customHeight="1">
      <c r="A213" s="82"/>
      <c r="B213" s="50"/>
      <c r="C213" s="82"/>
      <c r="D213" s="50"/>
      <c r="E213" s="82" t="s">
        <v>119</v>
      </c>
      <c r="F213" s="150" t="s">
        <v>124</v>
      </c>
      <c r="G213" s="150" t="s">
        <v>124</v>
      </c>
      <c r="H213" s="708" t="s">
        <v>1645</v>
      </c>
      <c r="I213" s="627" t="s">
        <v>1887</v>
      </c>
      <c r="J213" s="715"/>
      <c r="K213" s="709"/>
      <c r="L213" s="711"/>
      <c r="M213" s="536"/>
      <c r="N213" s="536"/>
      <c r="O213" s="536"/>
      <c r="P213" s="536"/>
    </row>
    <row r="214" ht="15.75" customHeight="1">
      <c r="A214" s="82"/>
      <c r="B214" s="50"/>
      <c r="C214" s="82"/>
      <c r="D214" s="50"/>
      <c r="E214" s="82" t="s">
        <v>119</v>
      </c>
      <c r="F214" s="150" t="s">
        <v>124</v>
      </c>
      <c r="G214" s="150" t="s">
        <v>124</v>
      </c>
      <c r="H214" s="708" t="s">
        <v>1638</v>
      </c>
      <c r="I214" s="627" t="s">
        <v>1888</v>
      </c>
      <c r="J214" s="715"/>
      <c r="K214" s="709"/>
      <c r="L214" s="711"/>
      <c r="M214" s="536"/>
      <c r="N214" s="536"/>
      <c r="O214" s="536"/>
      <c r="P214" s="536"/>
    </row>
    <row r="215" ht="15.75" customHeight="1">
      <c r="A215" s="82"/>
      <c r="B215" s="50"/>
      <c r="C215" s="82"/>
      <c r="D215" s="50"/>
      <c r="E215" s="82" t="s">
        <v>119</v>
      </c>
      <c r="F215" s="150" t="s">
        <v>124</v>
      </c>
      <c r="G215" s="150" t="s">
        <v>124</v>
      </c>
      <c r="H215" s="708" t="s">
        <v>1648</v>
      </c>
      <c r="I215" s="627" t="s">
        <v>1889</v>
      </c>
      <c r="J215" s="715"/>
      <c r="K215" s="712"/>
      <c r="L215" s="714"/>
      <c r="M215" s="210"/>
      <c r="N215" s="210"/>
      <c r="O215" s="210"/>
      <c r="P215" s="210"/>
    </row>
    <row r="216" ht="15.75" customHeight="1">
      <c r="A216" s="728">
        <v>45476.0</v>
      </c>
      <c r="B216" s="143" t="s">
        <v>199</v>
      </c>
      <c r="C216" s="62"/>
      <c r="D216" s="62"/>
      <c r="E216" s="62"/>
      <c r="F216" s="62"/>
      <c r="G216" s="62"/>
      <c r="H216" s="62"/>
      <c r="I216" s="63"/>
      <c r="J216" s="144"/>
      <c r="K216" s="719"/>
      <c r="L216" s="720">
        <v>5.0</v>
      </c>
      <c r="M216" s="615"/>
      <c r="N216" s="701"/>
      <c r="O216" s="615"/>
      <c r="P216" s="487"/>
    </row>
    <row r="217" ht="15.75" customHeight="1">
      <c r="A217" s="82"/>
      <c r="B217" s="50"/>
      <c r="C217" s="82">
        <v>1.0</v>
      </c>
      <c r="D217" s="50" t="s">
        <v>200</v>
      </c>
      <c r="E217" s="82" t="s">
        <v>119</v>
      </c>
      <c r="F217" s="150" t="s">
        <v>124</v>
      </c>
      <c r="G217" s="150" t="s">
        <v>124</v>
      </c>
      <c r="H217" s="703" t="s">
        <v>1636</v>
      </c>
      <c r="I217" s="620" t="s">
        <v>1890</v>
      </c>
      <c r="J217" s="721" t="s">
        <v>2284</v>
      </c>
      <c r="K217" s="704" t="s">
        <v>2442</v>
      </c>
      <c r="L217" s="562">
        <v>5.0</v>
      </c>
      <c r="M217" s="705"/>
      <c r="N217" s="706">
        <v>3.0</v>
      </c>
      <c r="O217" s="705"/>
      <c r="P217" s="677" t="s">
        <v>2443</v>
      </c>
    </row>
    <row r="218" ht="15.75" customHeight="1">
      <c r="A218" s="82"/>
      <c r="B218" s="50"/>
      <c r="C218" s="82"/>
      <c r="D218" s="50"/>
      <c r="E218" s="82" t="s">
        <v>119</v>
      </c>
      <c r="F218" s="150" t="s">
        <v>124</v>
      </c>
      <c r="G218" s="150" t="s">
        <v>124</v>
      </c>
      <c r="H218" s="708" t="s">
        <v>1643</v>
      </c>
      <c r="I218" s="627" t="s">
        <v>1895</v>
      </c>
      <c r="J218" s="715"/>
      <c r="K218" s="710"/>
      <c r="L218" s="711"/>
      <c r="M218" s="536"/>
      <c r="N218" s="536"/>
      <c r="O218" s="536"/>
      <c r="P218" s="536"/>
    </row>
    <row r="219" ht="15.75" customHeight="1">
      <c r="A219" s="82"/>
      <c r="B219" s="50"/>
      <c r="C219" s="82"/>
      <c r="D219" s="50"/>
      <c r="E219" s="82" t="s">
        <v>119</v>
      </c>
      <c r="F219" s="150" t="s">
        <v>124</v>
      </c>
      <c r="G219" s="150" t="s">
        <v>124</v>
      </c>
      <c r="H219" s="708" t="s">
        <v>1645</v>
      </c>
      <c r="I219" s="627" t="s">
        <v>1896</v>
      </c>
      <c r="J219" s="715"/>
      <c r="K219" s="710"/>
      <c r="L219" s="711"/>
      <c r="M219" s="536"/>
      <c r="N219" s="536"/>
      <c r="O219" s="536"/>
      <c r="P219" s="536"/>
    </row>
    <row r="220" ht="15.75" customHeight="1">
      <c r="A220" s="82"/>
      <c r="B220" s="50"/>
      <c r="C220" s="82"/>
      <c r="D220" s="50"/>
      <c r="E220" s="82" t="s">
        <v>119</v>
      </c>
      <c r="F220" s="150" t="s">
        <v>124</v>
      </c>
      <c r="G220" s="150" t="s">
        <v>124</v>
      </c>
      <c r="H220" s="708" t="s">
        <v>1638</v>
      </c>
      <c r="I220" s="627" t="s">
        <v>1897</v>
      </c>
      <c r="J220" s="715"/>
      <c r="K220" s="710"/>
      <c r="L220" s="711"/>
      <c r="M220" s="536"/>
      <c r="N220" s="536"/>
      <c r="O220" s="536"/>
      <c r="P220" s="536"/>
    </row>
    <row r="221" ht="15.75" customHeight="1">
      <c r="A221" s="82"/>
      <c r="B221" s="50"/>
      <c r="C221" s="82"/>
      <c r="D221" s="50"/>
      <c r="E221" s="82" t="s">
        <v>119</v>
      </c>
      <c r="F221" s="150" t="s">
        <v>124</v>
      </c>
      <c r="G221" s="150" t="s">
        <v>124</v>
      </c>
      <c r="H221" s="708" t="s">
        <v>1648</v>
      </c>
      <c r="I221" s="627" t="s">
        <v>1898</v>
      </c>
      <c r="J221" s="715"/>
      <c r="K221" s="713"/>
      <c r="L221" s="714"/>
      <c r="M221" s="210"/>
      <c r="N221" s="210"/>
      <c r="O221" s="210"/>
      <c r="P221" s="210"/>
    </row>
    <row r="222" ht="15.75" customHeight="1">
      <c r="A222" s="728">
        <v>45507.0</v>
      </c>
      <c r="B222" s="143" t="s">
        <v>202</v>
      </c>
      <c r="C222" s="62"/>
      <c r="D222" s="62"/>
      <c r="E222" s="62"/>
      <c r="F222" s="62"/>
      <c r="G222" s="62"/>
      <c r="H222" s="62"/>
      <c r="I222" s="63"/>
      <c r="J222" s="144"/>
      <c r="K222" s="719"/>
      <c r="L222" s="720">
        <v>5.0</v>
      </c>
      <c r="M222" s="615"/>
      <c r="N222" s="701"/>
      <c r="O222" s="615"/>
      <c r="P222" s="487"/>
    </row>
    <row r="223" ht="15.75" customHeight="1">
      <c r="A223" s="82"/>
      <c r="B223" s="50"/>
      <c r="C223" s="82">
        <v>1.0</v>
      </c>
      <c r="D223" s="50" t="s">
        <v>203</v>
      </c>
      <c r="E223" s="82" t="s">
        <v>119</v>
      </c>
      <c r="F223" s="150" t="s">
        <v>124</v>
      </c>
      <c r="G223" s="150" t="s">
        <v>124</v>
      </c>
      <c r="H223" s="703" t="s">
        <v>1636</v>
      </c>
      <c r="I223" s="620" t="s">
        <v>1899</v>
      </c>
      <c r="J223" s="721" t="s">
        <v>2284</v>
      </c>
      <c r="K223" s="704" t="s">
        <v>2444</v>
      </c>
      <c r="L223" s="562">
        <v>5.0</v>
      </c>
      <c r="M223" s="705"/>
      <c r="N223" s="706">
        <v>4.0</v>
      </c>
      <c r="O223" s="705"/>
      <c r="P223" s="677" t="s">
        <v>2445</v>
      </c>
    </row>
    <row r="224" ht="15.75" customHeight="1">
      <c r="A224" s="82"/>
      <c r="B224" s="50"/>
      <c r="C224" s="82"/>
      <c r="D224" s="50"/>
      <c r="E224" s="82" t="s">
        <v>119</v>
      </c>
      <c r="F224" s="150" t="s">
        <v>124</v>
      </c>
      <c r="G224" s="150" t="s">
        <v>124</v>
      </c>
      <c r="H224" s="708" t="s">
        <v>1643</v>
      </c>
      <c r="I224" s="627" t="s">
        <v>1904</v>
      </c>
      <c r="J224" s="715"/>
      <c r="K224" s="710"/>
      <c r="L224" s="711"/>
      <c r="M224" s="536"/>
      <c r="N224" s="536"/>
      <c r="O224" s="536"/>
      <c r="P224" s="536"/>
    </row>
    <row r="225" ht="15.75" customHeight="1">
      <c r="A225" s="82"/>
      <c r="B225" s="50"/>
      <c r="C225" s="82"/>
      <c r="D225" s="50"/>
      <c r="E225" s="82" t="s">
        <v>119</v>
      </c>
      <c r="F225" s="150" t="s">
        <v>124</v>
      </c>
      <c r="G225" s="150" t="s">
        <v>124</v>
      </c>
      <c r="H225" s="708" t="s">
        <v>1645</v>
      </c>
      <c r="I225" s="627" t="s">
        <v>1905</v>
      </c>
      <c r="J225" s="715"/>
      <c r="K225" s="710"/>
      <c r="L225" s="711"/>
      <c r="M225" s="536"/>
      <c r="N225" s="536"/>
      <c r="O225" s="536"/>
      <c r="P225" s="536"/>
    </row>
    <row r="226" ht="15.75" customHeight="1">
      <c r="A226" s="82"/>
      <c r="B226" s="50"/>
      <c r="C226" s="82"/>
      <c r="D226" s="50"/>
      <c r="E226" s="82" t="s">
        <v>119</v>
      </c>
      <c r="F226" s="150" t="s">
        <v>124</v>
      </c>
      <c r="G226" s="150" t="s">
        <v>124</v>
      </c>
      <c r="H226" s="708" t="s">
        <v>1638</v>
      </c>
      <c r="I226" s="627" t="s">
        <v>1906</v>
      </c>
      <c r="J226" s="715"/>
      <c r="K226" s="710"/>
      <c r="L226" s="711"/>
      <c r="M226" s="536"/>
      <c r="N226" s="536"/>
      <c r="O226" s="536"/>
      <c r="P226" s="536"/>
    </row>
    <row r="227" ht="15.75" customHeight="1">
      <c r="A227" s="82"/>
      <c r="B227" s="50"/>
      <c r="C227" s="82"/>
      <c r="D227" s="50"/>
      <c r="E227" s="82" t="s">
        <v>119</v>
      </c>
      <c r="F227" s="150" t="s">
        <v>124</v>
      </c>
      <c r="G227" s="150" t="s">
        <v>124</v>
      </c>
      <c r="H227" s="708" t="s">
        <v>1648</v>
      </c>
      <c r="I227" s="627" t="s">
        <v>1907</v>
      </c>
      <c r="J227" s="715"/>
      <c r="K227" s="713"/>
      <c r="L227" s="714"/>
      <c r="M227" s="210"/>
      <c r="N227" s="210"/>
      <c r="O227" s="210"/>
      <c r="P227" s="210"/>
    </row>
    <row r="228" ht="15.75" customHeight="1">
      <c r="A228" s="728">
        <v>45538.0</v>
      </c>
      <c r="B228" s="143" t="s">
        <v>205</v>
      </c>
      <c r="C228" s="62"/>
      <c r="D228" s="62"/>
      <c r="E228" s="62"/>
      <c r="F228" s="62"/>
      <c r="G228" s="62"/>
      <c r="H228" s="62"/>
      <c r="I228" s="63"/>
      <c r="J228" s="144"/>
      <c r="K228" s="719"/>
      <c r="L228" s="720">
        <v>4.0</v>
      </c>
      <c r="M228" s="615"/>
      <c r="N228" s="701"/>
      <c r="O228" s="615"/>
      <c r="P228" s="487"/>
    </row>
    <row r="229" ht="15.75" customHeight="1">
      <c r="A229" s="82"/>
      <c r="B229" s="50"/>
      <c r="C229" s="82">
        <v>1.0</v>
      </c>
      <c r="D229" s="50" t="s">
        <v>206</v>
      </c>
      <c r="E229" s="82" t="s">
        <v>119</v>
      </c>
      <c r="F229" s="150" t="s">
        <v>124</v>
      </c>
      <c r="G229" s="150" t="s">
        <v>124</v>
      </c>
      <c r="H229" s="703" t="s">
        <v>1636</v>
      </c>
      <c r="I229" s="620" t="s">
        <v>1908</v>
      </c>
      <c r="J229" s="721" t="s">
        <v>2284</v>
      </c>
      <c r="K229" s="704" t="s">
        <v>2446</v>
      </c>
      <c r="L229" s="562">
        <v>4.0</v>
      </c>
      <c r="M229" s="705"/>
      <c r="N229" s="706">
        <v>4.0</v>
      </c>
      <c r="O229" s="705"/>
      <c r="P229" s="677" t="s">
        <v>2447</v>
      </c>
    </row>
    <row r="230" ht="15.75" customHeight="1">
      <c r="A230" s="82"/>
      <c r="B230" s="50"/>
      <c r="C230" s="82"/>
      <c r="D230" s="50"/>
      <c r="E230" s="82" t="s">
        <v>119</v>
      </c>
      <c r="F230" s="150" t="s">
        <v>124</v>
      </c>
      <c r="G230" s="150" t="s">
        <v>124</v>
      </c>
      <c r="H230" s="708" t="s">
        <v>1643</v>
      </c>
      <c r="I230" s="627" t="s">
        <v>1913</v>
      </c>
      <c r="J230" s="715"/>
      <c r="K230" s="710"/>
      <c r="L230" s="711"/>
      <c r="M230" s="536"/>
      <c r="N230" s="536"/>
      <c r="O230" s="536"/>
      <c r="P230" s="536"/>
    </row>
    <row r="231" ht="15.75" customHeight="1">
      <c r="A231" s="82"/>
      <c r="B231" s="50"/>
      <c r="C231" s="82"/>
      <c r="D231" s="50"/>
      <c r="E231" s="82" t="s">
        <v>119</v>
      </c>
      <c r="F231" s="150" t="s">
        <v>124</v>
      </c>
      <c r="G231" s="150" t="s">
        <v>124</v>
      </c>
      <c r="H231" s="708" t="s">
        <v>1645</v>
      </c>
      <c r="I231" s="627" t="s">
        <v>1914</v>
      </c>
      <c r="J231" s="715"/>
      <c r="K231" s="710"/>
      <c r="L231" s="711"/>
      <c r="M231" s="536"/>
      <c r="N231" s="536"/>
      <c r="O231" s="536"/>
      <c r="P231" s="536"/>
    </row>
    <row r="232" ht="15.75" customHeight="1">
      <c r="A232" s="82"/>
      <c r="B232" s="50"/>
      <c r="C232" s="82"/>
      <c r="D232" s="50"/>
      <c r="E232" s="82" t="s">
        <v>119</v>
      </c>
      <c r="F232" s="150" t="s">
        <v>124</v>
      </c>
      <c r="G232" s="150" t="s">
        <v>124</v>
      </c>
      <c r="H232" s="708" t="s">
        <v>1638</v>
      </c>
      <c r="I232" s="627" t="s">
        <v>1915</v>
      </c>
      <c r="J232" s="715"/>
      <c r="K232" s="710"/>
      <c r="L232" s="711"/>
      <c r="M232" s="536"/>
      <c r="N232" s="536"/>
      <c r="O232" s="536"/>
      <c r="P232" s="536"/>
    </row>
    <row r="233" ht="15.75" customHeight="1">
      <c r="A233" s="82"/>
      <c r="B233" s="50"/>
      <c r="C233" s="82"/>
      <c r="D233" s="50"/>
      <c r="E233" s="82" t="s">
        <v>119</v>
      </c>
      <c r="F233" s="150" t="s">
        <v>124</v>
      </c>
      <c r="G233" s="150" t="s">
        <v>124</v>
      </c>
      <c r="H233" s="708" t="s">
        <v>1648</v>
      </c>
      <c r="I233" s="627" t="s">
        <v>1916</v>
      </c>
      <c r="J233" s="715"/>
      <c r="K233" s="713"/>
      <c r="L233" s="714"/>
      <c r="M233" s="210"/>
      <c r="N233" s="210"/>
      <c r="O233" s="210"/>
      <c r="P233" s="210"/>
    </row>
    <row r="234" ht="15.75" customHeight="1">
      <c r="A234" s="728">
        <v>45568.0</v>
      </c>
      <c r="B234" s="143" t="s">
        <v>208</v>
      </c>
      <c r="C234" s="62"/>
      <c r="D234" s="62"/>
      <c r="E234" s="62"/>
      <c r="F234" s="62"/>
      <c r="G234" s="62"/>
      <c r="H234" s="62"/>
      <c r="I234" s="63"/>
      <c r="J234" s="144"/>
      <c r="K234" s="719"/>
      <c r="L234" s="720">
        <v>4.0</v>
      </c>
      <c r="M234" s="615"/>
      <c r="N234" s="701"/>
      <c r="O234" s="615"/>
      <c r="P234" s="487"/>
    </row>
    <row r="235" ht="15.75" customHeight="1">
      <c r="A235" s="82"/>
      <c r="B235" s="50"/>
      <c r="C235" s="82">
        <v>1.0</v>
      </c>
      <c r="D235" s="50" t="s">
        <v>209</v>
      </c>
      <c r="E235" s="82" t="s">
        <v>119</v>
      </c>
      <c r="F235" s="150" t="s">
        <v>124</v>
      </c>
      <c r="G235" s="150" t="s">
        <v>124</v>
      </c>
      <c r="H235" s="703" t="s">
        <v>1636</v>
      </c>
      <c r="I235" s="620" t="s">
        <v>1917</v>
      </c>
      <c r="J235" s="721" t="s">
        <v>2284</v>
      </c>
      <c r="K235" s="704" t="s">
        <v>2448</v>
      </c>
      <c r="L235" s="562">
        <v>4.0</v>
      </c>
      <c r="M235" s="705"/>
      <c r="N235" s="706">
        <v>4.0</v>
      </c>
      <c r="O235" s="705"/>
      <c r="P235" s="677" t="s">
        <v>2449</v>
      </c>
    </row>
    <row r="236" ht="15.75" customHeight="1">
      <c r="A236" s="82"/>
      <c r="B236" s="50"/>
      <c r="C236" s="82"/>
      <c r="D236" s="50"/>
      <c r="E236" s="82" t="s">
        <v>119</v>
      </c>
      <c r="F236" s="150" t="s">
        <v>124</v>
      </c>
      <c r="G236" s="150" t="s">
        <v>124</v>
      </c>
      <c r="H236" s="708" t="s">
        <v>1643</v>
      </c>
      <c r="I236" s="627" t="s">
        <v>1922</v>
      </c>
      <c r="J236" s="715"/>
      <c r="K236" s="710"/>
      <c r="L236" s="711"/>
      <c r="M236" s="536"/>
      <c r="N236" s="536"/>
      <c r="O236" s="536"/>
      <c r="P236" s="536"/>
    </row>
    <row r="237" ht="15.75" customHeight="1">
      <c r="A237" s="82"/>
      <c r="B237" s="50"/>
      <c r="C237" s="82"/>
      <c r="D237" s="50"/>
      <c r="E237" s="82" t="s">
        <v>119</v>
      </c>
      <c r="F237" s="150" t="s">
        <v>124</v>
      </c>
      <c r="G237" s="150" t="s">
        <v>124</v>
      </c>
      <c r="H237" s="708" t="s">
        <v>1645</v>
      </c>
      <c r="I237" s="627" t="s">
        <v>1923</v>
      </c>
      <c r="J237" s="715"/>
      <c r="K237" s="710"/>
      <c r="L237" s="711"/>
      <c r="M237" s="536"/>
      <c r="N237" s="536"/>
      <c r="O237" s="536"/>
      <c r="P237" s="536"/>
    </row>
    <row r="238" ht="15.75" customHeight="1">
      <c r="A238" s="82"/>
      <c r="B238" s="50"/>
      <c r="C238" s="82"/>
      <c r="D238" s="50"/>
      <c r="E238" s="82" t="s">
        <v>119</v>
      </c>
      <c r="F238" s="150" t="s">
        <v>124</v>
      </c>
      <c r="G238" s="150" t="s">
        <v>124</v>
      </c>
      <c r="H238" s="708" t="s">
        <v>1638</v>
      </c>
      <c r="I238" s="627" t="s">
        <v>1924</v>
      </c>
      <c r="J238" s="715"/>
      <c r="K238" s="710"/>
      <c r="L238" s="711"/>
      <c r="M238" s="536"/>
      <c r="N238" s="536"/>
      <c r="O238" s="536"/>
      <c r="P238" s="536"/>
    </row>
    <row r="239" ht="15.75" customHeight="1">
      <c r="A239" s="82"/>
      <c r="B239" s="50"/>
      <c r="C239" s="82"/>
      <c r="D239" s="50"/>
      <c r="E239" s="82" t="s">
        <v>119</v>
      </c>
      <c r="F239" s="150" t="s">
        <v>124</v>
      </c>
      <c r="G239" s="150" t="s">
        <v>124</v>
      </c>
      <c r="H239" s="708" t="s">
        <v>1648</v>
      </c>
      <c r="I239" s="627" t="s">
        <v>1925</v>
      </c>
      <c r="J239" s="715"/>
      <c r="K239" s="713"/>
      <c r="L239" s="714"/>
      <c r="M239" s="210"/>
      <c r="N239" s="210"/>
      <c r="O239" s="210"/>
      <c r="P239" s="210"/>
    </row>
    <row r="240" ht="15.75" customHeight="1">
      <c r="A240" s="728">
        <v>45599.0</v>
      </c>
      <c r="B240" s="143" t="s">
        <v>211</v>
      </c>
      <c r="C240" s="62"/>
      <c r="D240" s="62"/>
      <c r="E240" s="62"/>
      <c r="F240" s="62"/>
      <c r="G240" s="62"/>
      <c r="H240" s="62"/>
      <c r="I240" s="63"/>
      <c r="J240" s="144"/>
      <c r="K240" s="719"/>
      <c r="L240" s="720">
        <v>5.0</v>
      </c>
      <c r="M240" s="615"/>
      <c r="N240" s="701"/>
      <c r="O240" s="615"/>
      <c r="P240" s="487"/>
    </row>
    <row r="241" ht="15.75" customHeight="1">
      <c r="A241" s="82"/>
      <c r="B241" s="50"/>
      <c r="C241" s="82">
        <v>1.0</v>
      </c>
      <c r="D241" s="50" t="s">
        <v>212</v>
      </c>
      <c r="E241" s="82" t="s">
        <v>119</v>
      </c>
      <c r="F241" s="150" t="s">
        <v>124</v>
      </c>
      <c r="G241" s="150" t="s">
        <v>124</v>
      </c>
      <c r="H241" s="703" t="s">
        <v>1636</v>
      </c>
      <c r="I241" s="620" t="s">
        <v>1926</v>
      </c>
      <c r="J241" s="721" t="s">
        <v>2284</v>
      </c>
      <c r="K241" s="704" t="s">
        <v>2450</v>
      </c>
      <c r="L241" s="562">
        <v>5.0</v>
      </c>
      <c r="M241" s="705"/>
      <c r="N241" s="706">
        <v>3.0</v>
      </c>
      <c r="O241" s="705"/>
      <c r="P241" s="677" t="s">
        <v>2451</v>
      </c>
    </row>
    <row r="242" ht="15.75" customHeight="1">
      <c r="A242" s="82"/>
      <c r="B242" s="50"/>
      <c r="C242" s="82"/>
      <c r="D242" s="50"/>
      <c r="E242" s="82" t="s">
        <v>119</v>
      </c>
      <c r="F242" s="150" t="s">
        <v>124</v>
      </c>
      <c r="G242" s="150" t="s">
        <v>124</v>
      </c>
      <c r="H242" s="708" t="s">
        <v>1643</v>
      </c>
      <c r="I242" s="627" t="s">
        <v>1931</v>
      </c>
      <c r="J242" s="715"/>
      <c r="K242" s="710"/>
      <c r="L242" s="711"/>
      <c r="M242" s="536"/>
      <c r="N242" s="536"/>
      <c r="O242" s="536"/>
      <c r="P242" s="536"/>
    </row>
    <row r="243" ht="15.75" customHeight="1">
      <c r="A243" s="82"/>
      <c r="B243" s="50"/>
      <c r="C243" s="82"/>
      <c r="D243" s="50"/>
      <c r="E243" s="82" t="s">
        <v>119</v>
      </c>
      <c r="F243" s="150" t="s">
        <v>124</v>
      </c>
      <c r="G243" s="150" t="s">
        <v>124</v>
      </c>
      <c r="H243" s="708" t="s">
        <v>1645</v>
      </c>
      <c r="I243" s="627" t="s">
        <v>1933</v>
      </c>
      <c r="J243" s="715"/>
      <c r="K243" s="710"/>
      <c r="L243" s="711"/>
      <c r="M243" s="536"/>
      <c r="N243" s="536"/>
      <c r="O243" s="536"/>
      <c r="P243" s="536"/>
    </row>
    <row r="244" ht="15.75" customHeight="1">
      <c r="A244" s="82"/>
      <c r="B244" s="50"/>
      <c r="C244" s="82"/>
      <c r="D244" s="50"/>
      <c r="E244" s="82" t="s">
        <v>119</v>
      </c>
      <c r="F244" s="150" t="s">
        <v>124</v>
      </c>
      <c r="G244" s="150" t="s">
        <v>124</v>
      </c>
      <c r="H244" s="708" t="s">
        <v>1638</v>
      </c>
      <c r="I244" s="627" t="s">
        <v>1934</v>
      </c>
      <c r="J244" s="715"/>
      <c r="K244" s="710"/>
      <c r="L244" s="711"/>
      <c r="M244" s="536"/>
      <c r="N244" s="536"/>
      <c r="O244" s="536"/>
      <c r="P244" s="536"/>
    </row>
    <row r="245" ht="15.75" customHeight="1">
      <c r="A245" s="82"/>
      <c r="B245" s="50"/>
      <c r="C245" s="82"/>
      <c r="D245" s="50"/>
      <c r="E245" s="82" t="s">
        <v>119</v>
      </c>
      <c r="F245" s="150" t="s">
        <v>124</v>
      </c>
      <c r="G245" s="150" t="s">
        <v>124</v>
      </c>
      <c r="H245" s="708" t="s">
        <v>1648</v>
      </c>
      <c r="I245" s="627" t="s">
        <v>1935</v>
      </c>
      <c r="J245" s="715"/>
      <c r="K245" s="713"/>
      <c r="L245" s="714"/>
      <c r="M245" s="210"/>
      <c r="N245" s="210"/>
      <c r="O245" s="210"/>
      <c r="P245" s="210"/>
    </row>
    <row r="246" ht="15.75" customHeight="1">
      <c r="A246" s="728">
        <v>45295.0</v>
      </c>
      <c r="B246" s="143" t="s">
        <v>214</v>
      </c>
      <c r="C246" s="62"/>
      <c r="D246" s="62"/>
      <c r="E246" s="62"/>
      <c r="F246" s="62"/>
      <c r="G246" s="62"/>
      <c r="H246" s="62"/>
      <c r="I246" s="63"/>
      <c r="J246" s="144"/>
      <c r="K246" s="719"/>
      <c r="L246" s="737">
        <v>45446.0</v>
      </c>
      <c r="M246" s="615"/>
      <c r="N246" s="738"/>
      <c r="O246" s="615"/>
      <c r="P246" s="487"/>
    </row>
    <row r="247" ht="15.75" customHeight="1">
      <c r="A247" s="702"/>
      <c r="B247" s="50"/>
      <c r="C247" s="82">
        <v>1.0</v>
      </c>
      <c r="D247" s="50" t="s">
        <v>2452</v>
      </c>
      <c r="E247" s="82" t="s">
        <v>119</v>
      </c>
      <c r="F247" s="150" t="s">
        <v>124</v>
      </c>
      <c r="G247" s="150" t="s">
        <v>124</v>
      </c>
      <c r="H247" s="82" t="s">
        <v>1636</v>
      </c>
      <c r="I247" s="651" t="s">
        <v>1937</v>
      </c>
      <c r="J247" s="721" t="s">
        <v>2284</v>
      </c>
      <c r="K247" s="704" t="s">
        <v>2453</v>
      </c>
      <c r="L247" s="562">
        <v>5.0</v>
      </c>
      <c r="M247" s="705"/>
      <c r="N247" s="739">
        <v>4.0</v>
      </c>
      <c r="O247" s="705"/>
      <c r="P247" s="677" t="s">
        <v>2454</v>
      </c>
    </row>
    <row r="248" ht="15.75" customHeight="1">
      <c r="A248" s="702"/>
      <c r="B248" s="50"/>
      <c r="C248" s="82"/>
      <c r="D248" s="50"/>
      <c r="E248" s="82" t="s">
        <v>119</v>
      </c>
      <c r="F248" s="150" t="s">
        <v>124</v>
      </c>
      <c r="G248" s="150" t="s">
        <v>124</v>
      </c>
      <c r="H248" s="708" t="s">
        <v>1643</v>
      </c>
      <c r="I248" s="627" t="s">
        <v>1942</v>
      </c>
      <c r="J248" s="715"/>
      <c r="K248" s="710"/>
      <c r="L248" s="711"/>
      <c r="M248" s="536"/>
      <c r="N248" s="536"/>
      <c r="O248" s="536"/>
      <c r="P248" s="536"/>
    </row>
    <row r="249" ht="15.75" customHeight="1">
      <c r="A249" s="702"/>
      <c r="B249" s="50"/>
      <c r="C249" s="82"/>
      <c r="D249" s="50"/>
      <c r="E249" s="82" t="s">
        <v>119</v>
      </c>
      <c r="F249" s="150" t="s">
        <v>124</v>
      </c>
      <c r="G249" s="150" t="s">
        <v>124</v>
      </c>
      <c r="H249" s="717" t="s">
        <v>1645</v>
      </c>
      <c r="I249" s="627" t="s">
        <v>1943</v>
      </c>
      <c r="J249" s="715"/>
      <c r="K249" s="710"/>
      <c r="L249" s="711"/>
      <c r="M249" s="536"/>
      <c r="N249" s="536"/>
      <c r="O249" s="536"/>
      <c r="P249" s="536"/>
    </row>
    <row r="250" ht="15.75" customHeight="1">
      <c r="A250" s="702"/>
      <c r="B250" s="50"/>
      <c r="C250" s="82"/>
      <c r="D250" s="50"/>
      <c r="E250" s="82" t="s">
        <v>119</v>
      </c>
      <c r="F250" s="150" t="s">
        <v>124</v>
      </c>
      <c r="G250" s="150" t="s">
        <v>124</v>
      </c>
      <c r="H250" s="708" t="s">
        <v>1638</v>
      </c>
      <c r="I250" s="627" t="s">
        <v>1944</v>
      </c>
      <c r="J250" s="715"/>
      <c r="K250" s="710"/>
      <c r="L250" s="711"/>
      <c r="M250" s="536"/>
      <c r="N250" s="536"/>
      <c r="O250" s="536"/>
      <c r="P250" s="536"/>
    </row>
    <row r="251" ht="15.75" customHeight="1">
      <c r="A251" s="702"/>
      <c r="B251" s="50"/>
      <c r="C251" s="82"/>
      <c r="D251" s="50"/>
      <c r="E251" s="82" t="s">
        <v>119</v>
      </c>
      <c r="F251" s="150" t="s">
        <v>124</v>
      </c>
      <c r="G251" s="150" t="s">
        <v>124</v>
      </c>
      <c r="H251" s="708" t="s">
        <v>1648</v>
      </c>
      <c r="I251" s="627" t="s">
        <v>1945</v>
      </c>
      <c r="J251" s="715"/>
      <c r="K251" s="713"/>
      <c r="L251" s="714"/>
      <c r="M251" s="210"/>
      <c r="N251" s="210"/>
      <c r="O251" s="210"/>
      <c r="P251" s="210"/>
    </row>
    <row r="252" ht="15.75" customHeight="1">
      <c r="A252" s="702"/>
      <c r="B252" s="50"/>
      <c r="C252" s="82">
        <v>2.0</v>
      </c>
      <c r="D252" s="50" t="s">
        <v>1946</v>
      </c>
      <c r="E252" s="82" t="s">
        <v>119</v>
      </c>
      <c r="F252" s="82" t="s">
        <v>120</v>
      </c>
      <c r="G252" s="160" t="s">
        <v>124</v>
      </c>
      <c r="H252" s="708" t="s">
        <v>1636</v>
      </c>
      <c r="I252" s="636" t="s">
        <v>1947</v>
      </c>
      <c r="J252" s="715" t="s">
        <v>2284</v>
      </c>
      <c r="K252" s="704" t="s">
        <v>2455</v>
      </c>
      <c r="L252" s="562">
        <v>3.0</v>
      </c>
      <c r="M252" s="705"/>
      <c r="N252" s="739">
        <v>3.0</v>
      </c>
      <c r="O252" s="705"/>
      <c r="P252" s="677" t="s">
        <v>2456</v>
      </c>
    </row>
    <row r="253" ht="15.75" customHeight="1">
      <c r="A253" s="702"/>
      <c r="B253" s="50"/>
      <c r="C253" s="82"/>
      <c r="D253" s="50"/>
      <c r="E253" s="82" t="s">
        <v>119</v>
      </c>
      <c r="F253" s="82" t="s">
        <v>120</v>
      </c>
      <c r="G253" s="160" t="s">
        <v>124</v>
      </c>
      <c r="H253" s="708" t="s">
        <v>1643</v>
      </c>
      <c r="I253" s="636" t="s">
        <v>1951</v>
      </c>
      <c r="J253" s="715"/>
      <c r="K253" s="710"/>
      <c r="L253" s="711"/>
      <c r="M253" s="536"/>
      <c r="N253" s="536"/>
      <c r="O253" s="536"/>
      <c r="P253" s="536"/>
    </row>
    <row r="254" ht="15.75" customHeight="1">
      <c r="A254" s="702"/>
      <c r="B254" s="50"/>
      <c r="C254" s="82"/>
      <c r="D254" s="50"/>
      <c r="E254" s="82" t="s">
        <v>119</v>
      </c>
      <c r="F254" s="82" t="s">
        <v>120</v>
      </c>
      <c r="G254" s="160" t="s">
        <v>124</v>
      </c>
      <c r="H254" s="717" t="s">
        <v>1645</v>
      </c>
      <c r="I254" s="636" t="s">
        <v>1952</v>
      </c>
      <c r="J254" s="715"/>
      <c r="K254" s="710"/>
      <c r="L254" s="711"/>
      <c r="M254" s="536"/>
      <c r="N254" s="536"/>
      <c r="O254" s="536"/>
      <c r="P254" s="536"/>
    </row>
    <row r="255" ht="15.75" customHeight="1">
      <c r="A255" s="702"/>
      <c r="B255" s="50"/>
      <c r="C255" s="82"/>
      <c r="D255" s="50"/>
      <c r="E255" s="82" t="s">
        <v>119</v>
      </c>
      <c r="F255" s="82" t="s">
        <v>120</v>
      </c>
      <c r="G255" s="160" t="s">
        <v>124</v>
      </c>
      <c r="H255" s="708" t="s">
        <v>1638</v>
      </c>
      <c r="I255" s="636" t="s">
        <v>1953</v>
      </c>
      <c r="J255" s="715"/>
      <c r="K255" s="710"/>
      <c r="L255" s="711"/>
      <c r="M255" s="536"/>
      <c r="N255" s="536"/>
      <c r="O255" s="536"/>
      <c r="P255" s="536"/>
    </row>
    <row r="256" ht="15.75" customHeight="1">
      <c r="A256" s="702"/>
      <c r="B256" s="50"/>
      <c r="C256" s="82"/>
      <c r="D256" s="50"/>
      <c r="E256" s="82" t="s">
        <v>119</v>
      </c>
      <c r="F256" s="82" t="s">
        <v>120</v>
      </c>
      <c r="G256" s="160" t="s">
        <v>124</v>
      </c>
      <c r="H256" s="708" t="s">
        <v>1648</v>
      </c>
      <c r="I256" s="636" t="s">
        <v>1954</v>
      </c>
      <c r="J256" s="715"/>
      <c r="K256" s="713"/>
      <c r="L256" s="714"/>
      <c r="M256" s="210"/>
      <c r="N256" s="210"/>
      <c r="O256" s="210"/>
      <c r="P256" s="210"/>
    </row>
    <row r="257" ht="15.75" customHeight="1">
      <c r="A257" s="702"/>
      <c r="B257" s="50"/>
      <c r="C257" s="82">
        <v>3.0</v>
      </c>
      <c r="D257" s="50" t="s">
        <v>217</v>
      </c>
      <c r="E257" s="82" t="s">
        <v>119</v>
      </c>
      <c r="F257" s="82" t="s">
        <v>120</v>
      </c>
      <c r="G257" s="160" t="s">
        <v>124</v>
      </c>
      <c r="H257" s="708" t="s">
        <v>1636</v>
      </c>
      <c r="I257" s="636" t="s">
        <v>1955</v>
      </c>
      <c r="J257" s="715" t="s">
        <v>2284</v>
      </c>
      <c r="K257" s="704" t="s">
        <v>2457</v>
      </c>
      <c r="L257" s="562">
        <v>3.0</v>
      </c>
      <c r="M257" s="705"/>
      <c r="N257" s="739">
        <v>3.0</v>
      </c>
      <c r="O257" s="705"/>
      <c r="P257" s="677" t="s">
        <v>2458</v>
      </c>
    </row>
    <row r="258" ht="15.75" customHeight="1">
      <c r="A258" s="702"/>
      <c r="B258" s="50"/>
      <c r="C258" s="82"/>
      <c r="D258" s="50"/>
      <c r="E258" s="82" t="s">
        <v>119</v>
      </c>
      <c r="F258" s="82" t="s">
        <v>120</v>
      </c>
      <c r="G258" s="160" t="s">
        <v>124</v>
      </c>
      <c r="H258" s="708" t="s">
        <v>1643</v>
      </c>
      <c r="I258" s="636" t="s">
        <v>1959</v>
      </c>
      <c r="J258" s="715"/>
      <c r="K258" s="710"/>
      <c r="L258" s="711"/>
      <c r="M258" s="536"/>
      <c r="N258" s="536"/>
      <c r="O258" s="536"/>
      <c r="P258" s="536"/>
    </row>
    <row r="259" ht="15.75" customHeight="1">
      <c r="A259" s="702"/>
      <c r="B259" s="50"/>
      <c r="C259" s="82"/>
      <c r="D259" s="50"/>
      <c r="E259" s="82" t="s">
        <v>119</v>
      </c>
      <c r="F259" s="82" t="s">
        <v>120</v>
      </c>
      <c r="G259" s="160" t="s">
        <v>124</v>
      </c>
      <c r="H259" s="717" t="s">
        <v>1645</v>
      </c>
      <c r="I259" s="636" t="s">
        <v>1960</v>
      </c>
      <c r="J259" s="715"/>
      <c r="K259" s="710"/>
      <c r="L259" s="711"/>
      <c r="M259" s="536"/>
      <c r="N259" s="536"/>
      <c r="O259" s="536"/>
      <c r="P259" s="536"/>
    </row>
    <row r="260" ht="15.75" customHeight="1">
      <c r="A260" s="702"/>
      <c r="B260" s="50"/>
      <c r="C260" s="82"/>
      <c r="D260" s="50"/>
      <c r="E260" s="82" t="s">
        <v>119</v>
      </c>
      <c r="F260" s="82" t="s">
        <v>120</v>
      </c>
      <c r="G260" s="160" t="s">
        <v>124</v>
      </c>
      <c r="H260" s="708" t="s">
        <v>1638</v>
      </c>
      <c r="I260" s="636" t="s">
        <v>1961</v>
      </c>
      <c r="J260" s="715"/>
      <c r="K260" s="710"/>
      <c r="L260" s="711"/>
      <c r="M260" s="536"/>
      <c r="N260" s="536"/>
      <c r="O260" s="536"/>
      <c r="P260" s="536"/>
    </row>
    <row r="261" ht="15.75" customHeight="1">
      <c r="A261" s="702"/>
      <c r="B261" s="50"/>
      <c r="C261" s="82"/>
      <c r="D261" s="50"/>
      <c r="E261" s="82" t="s">
        <v>119</v>
      </c>
      <c r="F261" s="82" t="s">
        <v>120</v>
      </c>
      <c r="G261" s="160" t="s">
        <v>124</v>
      </c>
      <c r="H261" s="708" t="s">
        <v>1648</v>
      </c>
      <c r="I261" s="636" t="s">
        <v>1962</v>
      </c>
      <c r="J261" s="715"/>
      <c r="K261" s="713"/>
      <c r="L261" s="714"/>
      <c r="M261" s="210"/>
      <c r="N261" s="210"/>
      <c r="O261" s="210"/>
      <c r="P261" s="210"/>
    </row>
    <row r="262" ht="15.75" customHeight="1">
      <c r="A262" s="702"/>
      <c r="B262" s="50"/>
      <c r="C262" s="82">
        <v>4.0</v>
      </c>
      <c r="D262" s="50" t="s">
        <v>218</v>
      </c>
      <c r="E262" s="82" t="s">
        <v>119</v>
      </c>
      <c r="F262" s="82" t="s">
        <v>120</v>
      </c>
      <c r="G262" s="160" t="s">
        <v>124</v>
      </c>
      <c r="H262" s="708" t="s">
        <v>1636</v>
      </c>
      <c r="I262" s="636" t="s">
        <v>1963</v>
      </c>
      <c r="J262" s="715" t="s">
        <v>2284</v>
      </c>
      <c r="K262" s="704" t="s">
        <v>2459</v>
      </c>
      <c r="L262" s="562">
        <v>3.0</v>
      </c>
      <c r="M262" s="705"/>
      <c r="N262" s="739">
        <v>3.0</v>
      </c>
      <c r="O262" s="705"/>
      <c r="P262" s="677" t="s">
        <v>2460</v>
      </c>
    </row>
    <row r="263" ht="15.75" customHeight="1">
      <c r="A263" s="702"/>
      <c r="B263" s="50"/>
      <c r="C263" s="82"/>
      <c r="D263" s="50"/>
      <c r="E263" s="82" t="s">
        <v>119</v>
      </c>
      <c r="F263" s="82" t="s">
        <v>120</v>
      </c>
      <c r="G263" s="160" t="s">
        <v>124</v>
      </c>
      <c r="H263" s="708" t="s">
        <v>1643</v>
      </c>
      <c r="I263" s="636" t="s">
        <v>1967</v>
      </c>
      <c r="J263" s="715"/>
      <c r="K263" s="710"/>
      <c r="L263" s="711"/>
      <c r="M263" s="536"/>
      <c r="N263" s="536"/>
      <c r="O263" s="536"/>
      <c r="P263" s="536"/>
    </row>
    <row r="264" ht="15.75" customHeight="1">
      <c r="A264" s="702"/>
      <c r="B264" s="50"/>
      <c r="C264" s="82"/>
      <c r="D264" s="50"/>
      <c r="E264" s="82" t="s">
        <v>119</v>
      </c>
      <c r="F264" s="82" t="s">
        <v>120</v>
      </c>
      <c r="G264" s="160" t="s">
        <v>124</v>
      </c>
      <c r="H264" s="717" t="s">
        <v>1645</v>
      </c>
      <c r="I264" s="636" t="s">
        <v>1968</v>
      </c>
      <c r="J264" s="715"/>
      <c r="K264" s="710"/>
      <c r="L264" s="711"/>
      <c r="M264" s="536"/>
      <c r="N264" s="536"/>
      <c r="O264" s="536"/>
      <c r="P264" s="536"/>
    </row>
    <row r="265" ht="15.75" customHeight="1">
      <c r="A265" s="702"/>
      <c r="B265" s="50"/>
      <c r="C265" s="82"/>
      <c r="D265" s="50"/>
      <c r="E265" s="82" t="s">
        <v>119</v>
      </c>
      <c r="F265" s="82" t="s">
        <v>120</v>
      </c>
      <c r="G265" s="160" t="s">
        <v>124</v>
      </c>
      <c r="H265" s="708" t="s">
        <v>1638</v>
      </c>
      <c r="I265" s="627" t="s">
        <v>1969</v>
      </c>
      <c r="J265" s="715"/>
      <c r="K265" s="710"/>
      <c r="L265" s="711"/>
      <c r="M265" s="536"/>
      <c r="N265" s="536"/>
      <c r="O265" s="536"/>
      <c r="P265" s="536"/>
    </row>
    <row r="266" ht="15.75" customHeight="1">
      <c r="A266" s="702"/>
      <c r="B266" s="50"/>
      <c r="C266" s="82"/>
      <c r="D266" s="50"/>
      <c r="E266" s="82" t="s">
        <v>119</v>
      </c>
      <c r="F266" s="82" t="s">
        <v>120</v>
      </c>
      <c r="G266" s="160" t="s">
        <v>124</v>
      </c>
      <c r="H266" s="708" t="s">
        <v>1648</v>
      </c>
      <c r="I266" s="627" t="s">
        <v>1970</v>
      </c>
      <c r="J266" s="715"/>
      <c r="K266" s="713"/>
      <c r="L266" s="714"/>
      <c r="M266" s="210"/>
      <c r="N266" s="210"/>
      <c r="O266" s="210"/>
      <c r="P266" s="210"/>
    </row>
    <row r="267" ht="15.75" customHeight="1">
      <c r="A267" s="702"/>
      <c r="B267" s="50"/>
      <c r="C267" s="82">
        <v>5.0</v>
      </c>
      <c r="D267" s="50" t="s">
        <v>2461</v>
      </c>
      <c r="E267" s="82" t="s">
        <v>119</v>
      </c>
      <c r="F267" s="160" t="s">
        <v>124</v>
      </c>
      <c r="G267" s="150" t="s">
        <v>58</v>
      </c>
      <c r="H267" s="708" t="s">
        <v>1636</v>
      </c>
      <c r="I267" s="627" t="s">
        <v>2462</v>
      </c>
      <c r="J267" s="715" t="s">
        <v>2284</v>
      </c>
      <c r="K267" s="716" t="s">
        <v>2463</v>
      </c>
      <c r="L267" s="562">
        <v>4.0</v>
      </c>
      <c r="M267" s="705"/>
      <c r="N267" s="739">
        <v>3.0</v>
      </c>
      <c r="O267" s="705"/>
      <c r="P267" s="677" t="s">
        <v>2464</v>
      </c>
    </row>
    <row r="268" ht="15.75" customHeight="1">
      <c r="A268" s="702"/>
      <c r="B268" s="50"/>
      <c r="C268" s="82"/>
      <c r="D268" s="50"/>
      <c r="E268" s="82" t="s">
        <v>119</v>
      </c>
      <c r="F268" s="160" t="s">
        <v>124</v>
      </c>
      <c r="G268" s="150" t="s">
        <v>58</v>
      </c>
      <c r="H268" s="717" t="s">
        <v>1643</v>
      </c>
      <c r="I268" s="627" t="s">
        <v>2465</v>
      </c>
      <c r="J268" s="715"/>
      <c r="K268" s="710"/>
      <c r="L268" s="711"/>
      <c r="M268" s="536"/>
      <c r="N268" s="536"/>
      <c r="O268" s="536"/>
      <c r="P268" s="536"/>
    </row>
    <row r="269" ht="15.75" customHeight="1">
      <c r="A269" s="702"/>
      <c r="B269" s="50"/>
      <c r="C269" s="82"/>
      <c r="D269" s="50"/>
      <c r="E269" s="82" t="s">
        <v>119</v>
      </c>
      <c r="F269" s="160" t="s">
        <v>124</v>
      </c>
      <c r="G269" s="150" t="s">
        <v>58</v>
      </c>
      <c r="H269" s="708" t="s">
        <v>1645</v>
      </c>
      <c r="I269" s="627" t="s">
        <v>2466</v>
      </c>
      <c r="J269" s="715"/>
      <c r="K269" s="710"/>
      <c r="L269" s="711"/>
      <c r="M269" s="536"/>
      <c r="N269" s="536"/>
      <c r="O269" s="536"/>
      <c r="P269" s="536"/>
    </row>
    <row r="270" ht="15.75" customHeight="1">
      <c r="A270" s="702"/>
      <c r="B270" s="50"/>
      <c r="C270" s="82"/>
      <c r="D270" s="50"/>
      <c r="E270" s="82" t="s">
        <v>119</v>
      </c>
      <c r="F270" s="160" t="s">
        <v>124</v>
      </c>
      <c r="G270" s="150" t="s">
        <v>58</v>
      </c>
      <c r="H270" s="708" t="s">
        <v>1638</v>
      </c>
      <c r="I270" s="627" t="s">
        <v>2467</v>
      </c>
      <c r="J270" s="715"/>
      <c r="K270" s="710"/>
      <c r="L270" s="711"/>
      <c r="M270" s="536"/>
      <c r="N270" s="536"/>
      <c r="O270" s="536"/>
      <c r="P270" s="536"/>
    </row>
    <row r="271" ht="15.75" customHeight="1">
      <c r="A271" s="702"/>
      <c r="B271" s="50"/>
      <c r="C271" s="82"/>
      <c r="D271" s="50"/>
      <c r="E271" s="82" t="s">
        <v>119</v>
      </c>
      <c r="F271" s="160" t="s">
        <v>124</v>
      </c>
      <c r="G271" s="150" t="s">
        <v>58</v>
      </c>
      <c r="H271" s="708" t="s">
        <v>1648</v>
      </c>
      <c r="I271" s="627" t="s">
        <v>2468</v>
      </c>
      <c r="J271" s="715"/>
      <c r="K271" s="713"/>
      <c r="L271" s="714"/>
      <c r="M271" s="210"/>
      <c r="N271" s="210"/>
      <c r="O271" s="210"/>
      <c r="P271" s="210"/>
    </row>
    <row r="272" ht="15.75" customHeight="1">
      <c r="A272" s="728">
        <v>45326.0</v>
      </c>
      <c r="B272" s="143" t="s">
        <v>221</v>
      </c>
      <c r="C272" s="62"/>
      <c r="D272" s="62"/>
      <c r="E272" s="62"/>
      <c r="F272" s="62"/>
      <c r="G272" s="62"/>
      <c r="H272" s="62"/>
      <c r="I272" s="63"/>
      <c r="J272" s="144"/>
      <c r="K272" s="719"/>
      <c r="L272" s="720">
        <v>5.0</v>
      </c>
      <c r="M272" s="615"/>
      <c r="N272" s="738"/>
      <c r="O272" s="615"/>
      <c r="P272" s="487"/>
    </row>
    <row r="273" ht="15.75" customHeight="1">
      <c r="A273" s="82"/>
      <c r="B273" s="50"/>
      <c r="C273" s="82">
        <v>1.0</v>
      </c>
      <c r="D273" s="50" t="s">
        <v>2469</v>
      </c>
      <c r="E273" s="82" t="s">
        <v>119</v>
      </c>
      <c r="F273" s="160" t="s">
        <v>124</v>
      </c>
      <c r="G273" s="160" t="s">
        <v>124</v>
      </c>
      <c r="H273" s="703" t="s">
        <v>1636</v>
      </c>
      <c r="I273" s="651" t="s">
        <v>1971</v>
      </c>
      <c r="J273" s="721" t="s">
        <v>2284</v>
      </c>
      <c r="K273" s="704" t="s">
        <v>2470</v>
      </c>
      <c r="L273" s="562">
        <v>5.0</v>
      </c>
      <c r="M273" s="705"/>
      <c r="N273" s="739">
        <v>4.0</v>
      </c>
      <c r="O273" s="705"/>
      <c r="P273" s="677" t="s">
        <v>2471</v>
      </c>
    </row>
    <row r="274" ht="15.75" customHeight="1">
      <c r="A274" s="82"/>
      <c r="B274" s="50"/>
      <c r="C274" s="82"/>
      <c r="D274" s="50"/>
      <c r="E274" s="82" t="s">
        <v>119</v>
      </c>
      <c r="F274" s="160" t="s">
        <v>124</v>
      </c>
      <c r="G274" s="160" t="s">
        <v>124</v>
      </c>
      <c r="H274" s="708" t="s">
        <v>1643</v>
      </c>
      <c r="I274" s="627" t="s">
        <v>1975</v>
      </c>
      <c r="J274" s="715"/>
      <c r="K274" s="710"/>
      <c r="L274" s="711"/>
      <c r="M274" s="536"/>
      <c r="N274" s="536"/>
      <c r="O274" s="536"/>
      <c r="P274" s="536"/>
    </row>
    <row r="275" ht="15.75" customHeight="1">
      <c r="A275" s="82"/>
      <c r="B275" s="50"/>
      <c r="C275" s="82"/>
      <c r="D275" s="50"/>
      <c r="E275" s="82" t="s">
        <v>119</v>
      </c>
      <c r="F275" s="160" t="s">
        <v>124</v>
      </c>
      <c r="G275" s="160" t="s">
        <v>124</v>
      </c>
      <c r="H275" s="708" t="s">
        <v>1645</v>
      </c>
      <c r="I275" s="627" t="s">
        <v>1974</v>
      </c>
      <c r="J275" s="715"/>
      <c r="K275" s="710"/>
      <c r="L275" s="711"/>
      <c r="M275" s="536"/>
      <c r="N275" s="536"/>
      <c r="O275" s="536"/>
      <c r="P275" s="536"/>
    </row>
    <row r="276" ht="15.75" customHeight="1">
      <c r="A276" s="82"/>
      <c r="B276" s="50"/>
      <c r="C276" s="82"/>
      <c r="D276" s="50"/>
      <c r="E276" s="82" t="s">
        <v>119</v>
      </c>
      <c r="F276" s="160" t="s">
        <v>124</v>
      </c>
      <c r="G276" s="160" t="s">
        <v>124</v>
      </c>
      <c r="H276" s="708" t="s">
        <v>1638</v>
      </c>
      <c r="I276" s="627" t="s">
        <v>1976</v>
      </c>
      <c r="J276" s="715"/>
      <c r="K276" s="710"/>
      <c r="L276" s="711"/>
      <c r="M276" s="536"/>
      <c r="N276" s="536"/>
      <c r="O276" s="536"/>
      <c r="P276" s="536"/>
    </row>
    <row r="277" ht="15.75" customHeight="1">
      <c r="A277" s="82"/>
      <c r="B277" s="50"/>
      <c r="C277" s="82"/>
      <c r="D277" s="50"/>
      <c r="E277" s="82" t="s">
        <v>119</v>
      </c>
      <c r="F277" s="160" t="s">
        <v>124</v>
      </c>
      <c r="G277" s="160" t="s">
        <v>124</v>
      </c>
      <c r="H277" s="708" t="s">
        <v>1648</v>
      </c>
      <c r="I277" s="652" t="s">
        <v>1977</v>
      </c>
      <c r="J277" s="715"/>
      <c r="K277" s="713"/>
      <c r="L277" s="714"/>
      <c r="M277" s="210"/>
      <c r="N277" s="210"/>
      <c r="O277" s="210"/>
      <c r="P277" s="210"/>
    </row>
    <row r="278" ht="15.75" customHeight="1">
      <c r="A278" s="728">
        <v>45296.0</v>
      </c>
      <c r="B278" s="143" t="s">
        <v>224</v>
      </c>
      <c r="C278" s="62"/>
      <c r="D278" s="62"/>
      <c r="E278" s="62"/>
      <c r="F278" s="62"/>
      <c r="G278" s="62"/>
      <c r="H278" s="62"/>
      <c r="I278" s="63"/>
      <c r="J278" s="144"/>
      <c r="K278" s="719"/>
      <c r="L278" s="720">
        <v>3.0</v>
      </c>
      <c r="M278" s="615"/>
      <c r="N278" s="701"/>
      <c r="O278" s="615"/>
      <c r="P278" s="487"/>
    </row>
    <row r="279" ht="15.75" customHeight="1">
      <c r="A279" s="94"/>
      <c r="B279" s="50"/>
      <c r="C279" s="82">
        <v>1.0</v>
      </c>
      <c r="D279" s="50" t="s">
        <v>2472</v>
      </c>
      <c r="E279" s="82" t="s">
        <v>119</v>
      </c>
      <c r="F279" s="160" t="s">
        <v>124</v>
      </c>
      <c r="G279" s="160" t="s">
        <v>124</v>
      </c>
      <c r="H279" s="82" t="s">
        <v>1636</v>
      </c>
      <c r="I279" s="620" t="s">
        <v>1979</v>
      </c>
      <c r="J279" s="721" t="s">
        <v>2284</v>
      </c>
      <c r="K279" s="704" t="s">
        <v>2473</v>
      </c>
      <c r="L279" s="562">
        <v>3.0</v>
      </c>
      <c r="M279" s="705"/>
      <c r="N279" s="706">
        <v>3.0</v>
      </c>
      <c r="O279" s="705"/>
      <c r="P279" s="677" t="s">
        <v>2474</v>
      </c>
    </row>
    <row r="280" ht="15.75" customHeight="1">
      <c r="A280" s="94"/>
      <c r="B280" s="50"/>
      <c r="C280" s="82"/>
      <c r="D280" s="50"/>
      <c r="E280" s="82" t="s">
        <v>119</v>
      </c>
      <c r="F280" s="160" t="s">
        <v>124</v>
      </c>
      <c r="G280" s="160" t="s">
        <v>124</v>
      </c>
      <c r="H280" s="708" t="s">
        <v>1643</v>
      </c>
      <c r="I280" s="652" t="s">
        <v>1983</v>
      </c>
      <c r="J280" s="715"/>
      <c r="K280" s="710"/>
      <c r="L280" s="711"/>
      <c r="M280" s="536"/>
      <c r="N280" s="536"/>
      <c r="O280" s="536"/>
      <c r="P280" s="536"/>
    </row>
    <row r="281" ht="15.75" customHeight="1">
      <c r="A281" s="94"/>
      <c r="B281" s="50"/>
      <c r="C281" s="82"/>
      <c r="D281" s="50"/>
      <c r="E281" s="82" t="s">
        <v>119</v>
      </c>
      <c r="F281" s="160" t="s">
        <v>124</v>
      </c>
      <c r="G281" s="160" t="s">
        <v>124</v>
      </c>
      <c r="H281" s="717" t="s">
        <v>1645</v>
      </c>
      <c r="I281" s="627" t="s">
        <v>1984</v>
      </c>
      <c r="J281" s="715"/>
      <c r="K281" s="710"/>
      <c r="L281" s="711"/>
      <c r="M281" s="536"/>
      <c r="N281" s="536"/>
      <c r="O281" s="536"/>
      <c r="P281" s="536"/>
    </row>
    <row r="282" ht="15.75" customHeight="1">
      <c r="A282" s="94"/>
      <c r="B282" s="50"/>
      <c r="C282" s="82"/>
      <c r="D282" s="50"/>
      <c r="E282" s="82" t="s">
        <v>119</v>
      </c>
      <c r="F282" s="160" t="s">
        <v>124</v>
      </c>
      <c r="G282" s="160" t="s">
        <v>124</v>
      </c>
      <c r="H282" s="708" t="s">
        <v>1638</v>
      </c>
      <c r="I282" s="627" t="s">
        <v>1985</v>
      </c>
      <c r="J282" s="715"/>
      <c r="K282" s="710"/>
      <c r="L282" s="711"/>
      <c r="M282" s="536"/>
      <c r="N282" s="536"/>
      <c r="O282" s="536"/>
      <c r="P282" s="536"/>
    </row>
    <row r="283" ht="15.75" customHeight="1">
      <c r="A283" s="94"/>
      <c r="B283" s="50"/>
      <c r="C283" s="82"/>
      <c r="D283" s="50"/>
      <c r="E283" s="82" t="s">
        <v>119</v>
      </c>
      <c r="F283" s="160" t="s">
        <v>124</v>
      </c>
      <c r="G283" s="160" t="s">
        <v>124</v>
      </c>
      <c r="H283" s="708" t="s">
        <v>1648</v>
      </c>
      <c r="I283" s="627" t="s">
        <v>1986</v>
      </c>
      <c r="J283" s="715"/>
      <c r="K283" s="713"/>
      <c r="L283" s="714"/>
      <c r="M283" s="210"/>
      <c r="N283" s="210"/>
      <c r="O283" s="210"/>
      <c r="P283" s="210"/>
    </row>
    <row r="284" ht="15.75" customHeight="1">
      <c r="A284" s="94"/>
      <c r="B284" s="50"/>
      <c r="C284" s="82">
        <v>2.0</v>
      </c>
      <c r="D284" s="50" t="s">
        <v>226</v>
      </c>
      <c r="E284" s="82" t="s">
        <v>119</v>
      </c>
      <c r="F284" s="82" t="s">
        <v>120</v>
      </c>
      <c r="G284" s="160" t="s">
        <v>124</v>
      </c>
      <c r="H284" s="708" t="s">
        <v>1636</v>
      </c>
      <c r="I284" s="627" t="s">
        <v>1987</v>
      </c>
      <c r="J284" s="715" t="s">
        <v>2284</v>
      </c>
      <c r="K284" s="704" t="s">
        <v>2475</v>
      </c>
      <c r="L284" s="562">
        <v>3.0</v>
      </c>
      <c r="M284" s="705"/>
      <c r="N284" s="706">
        <v>3.0</v>
      </c>
      <c r="O284" s="705"/>
      <c r="P284" s="677" t="s">
        <v>2476</v>
      </c>
    </row>
    <row r="285" ht="15.75" customHeight="1">
      <c r="A285" s="94"/>
      <c r="B285" s="50"/>
      <c r="C285" s="82"/>
      <c r="D285" s="50"/>
      <c r="E285" s="82" t="s">
        <v>119</v>
      </c>
      <c r="F285" s="82" t="s">
        <v>120</v>
      </c>
      <c r="G285" s="160" t="s">
        <v>124</v>
      </c>
      <c r="H285" s="708" t="s">
        <v>1643</v>
      </c>
      <c r="I285" s="627" t="s">
        <v>1991</v>
      </c>
      <c r="J285" s="715"/>
      <c r="K285" s="710"/>
      <c r="L285" s="711"/>
      <c r="M285" s="536"/>
      <c r="N285" s="536"/>
      <c r="O285" s="536"/>
      <c r="P285" s="536"/>
    </row>
    <row r="286" ht="15.75" customHeight="1">
      <c r="A286" s="94"/>
      <c r="B286" s="50"/>
      <c r="C286" s="82"/>
      <c r="D286" s="50"/>
      <c r="E286" s="82" t="s">
        <v>119</v>
      </c>
      <c r="F286" s="82" t="s">
        <v>120</v>
      </c>
      <c r="G286" s="160" t="s">
        <v>124</v>
      </c>
      <c r="H286" s="717" t="s">
        <v>1645</v>
      </c>
      <c r="I286" s="740" t="s">
        <v>1992</v>
      </c>
      <c r="J286" s="715"/>
      <c r="K286" s="710"/>
      <c r="L286" s="711"/>
      <c r="M286" s="536"/>
      <c r="N286" s="536"/>
      <c r="O286" s="536"/>
      <c r="P286" s="536"/>
    </row>
    <row r="287" ht="15.75" customHeight="1">
      <c r="A287" s="94"/>
      <c r="B287" s="50"/>
      <c r="C287" s="82"/>
      <c r="D287" s="50"/>
      <c r="E287" s="82" t="s">
        <v>119</v>
      </c>
      <c r="F287" s="82" t="s">
        <v>120</v>
      </c>
      <c r="G287" s="160" t="s">
        <v>124</v>
      </c>
      <c r="H287" s="708" t="s">
        <v>1638</v>
      </c>
      <c r="I287" s="627" t="s">
        <v>1993</v>
      </c>
      <c r="J287" s="715"/>
      <c r="K287" s="710"/>
      <c r="L287" s="711"/>
      <c r="M287" s="536"/>
      <c r="N287" s="536"/>
      <c r="O287" s="536"/>
      <c r="P287" s="536"/>
    </row>
    <row r="288" ht="15.75" customHeight="1">
      <c r="A288" s="94"/>
      <c r="B288" s="50"/>
      <c r="C288" s="82"/>
      <c r="D288" s="50"/>
      <c r="E288" s="82" t="s">
        <v>119</v>
      </c>
      <c r="F288" s="82" t="s">
        <v>120</v>
      </c>
      <c r="G288" s="160" t="s">
        <v>124</v>
      </c>
      <c r="H288" s="708" t="s">
        <v>1648</v>
      </c>
      <c r="I288" s="627" t="s">
        <v>1994</v>
      </c>
      <c r="J288" s="715"/>
      <c r="K288" s="713"/>
      <c r="L288" s="714"/>
      <c r="M288" s="210"/>
      <c r="N288" s="210"/>
      <c r="O288" s="210"/>
      <c r="P288" s="210"/>
    </row>
    <row r="289" ht="15.75" customHeight="1">
      <c r="A289" s="94"/>
      <c r="B289" s="50"/>
      <c r="C289" s="82">
        <v>3.0</v>
      </c>
      <c r="D289" s="50" t="s">
        <v>227</v>
      </c>
      <c r="E289" s="82" t="s">
        <v>119</v>
      </c>
      <c r="F289" s="82" t="s">
        <v>120</v>
      </c>
      <c r="G289" s="160" t="s">
        <v>124</v>
      </c>
      <c r="H289" s="708" t="s">
        <v>1636</v>
      </c>
      <c r="I289" s="627" t="s">
        <v>1995</v>
      </c>
      <c r="J289" s="715" t="s">
        <v>2284</v>
      </c>
      <c r="K289" s="704" t="s">
        <v>2477</v>
      </c>
      <c r="L289" s="562">
        <v>3.0</v>
      </c>
      <c r="M289" s="705"/>
      <c r="N289" s="706">
        <v>3.0</v>
      </c>
      <c r="O289" s="705"/>
      <c r="P289" s="677" t="s">
        <v>2478</v>
      </c>
    </row>
    <row r="290" ht="15.75" customHeight="1">
      <c r="A290" s="94"/>
      <c r="B290" s="50"/>
      <c r="C290" s="82"/>
      <c r="D290" s="50"/>
      <c r="E290" s="82" t="s">
        <v>119</v>
      </c>
      <c r="F290" s="82" t="s">
        <v>120</v>
      </c>
      <c r="G290" s="160" t="s">
        <v>124</v>
      </c>
      <c r="H290" s="708" t="s">
        <v>1643</v>
      </c>
      <c r="I290" s="627" t="s">
        <v>1998</v>
      </c>
      <c r="J290" s="715"/>
      <c r="K290" s="710"/>
      <c r="L290" s="711"/>
      <c r="M290" s="536"/>
      <c r="N290" s="536"/>
      <c r="O290" s="536"/>
      <c r="P290" s="536"/>
    </row>
    <row r="291" ht="15.75" customHeight="1">
      <c r="A291" s="94"/>
      <c r="B291" s="50"/>
      <c r="C291" s="82"/>
      <c r="D291" s="50"/>
      <c r="E291" s="82" t="s">
        <v>119</v>
      </c>
      <c r="F291" s="82" t="s">
        <v>120</v>
      </c>
      <c r="G291" s="160" t="s">
        <v>124</v>
      </c>
      <c r="H291" s="717" t="s">
        <v>1645</v>
      </c>
      <c r="I291" s="627" t="s">
        <v>1999</v>
      </c>
      <c r="J291" s="715"/>
      <c r="K291" s="710"/>
      <c r="L291" s="711"/>
      <c r="M291" s="536"/>
      <c r="N291" s="536"/>
      <c r="O291" s="536"/>
      <c r="P291" s="536"/>
    </row>
    <row r="292" ht="15.75" customHeight="1">
      <c r="A292" s="94"/>
      <c r="B292" s="50"/>
      <c r="C292" s="82"/>
      <c r="D292" s="50"/>
      <c r="E292" s="82" t="s">
        <v>119</v>
      </c>
      <c r="F292" s="82" t="s">
        <v>120</v>
      </c>
      <c r="G292" s="160" t="s">
        <v>124</v>
      </c>
      <c r="H292" s="708" t="s">
        <v>1638</v>
      </c>
      <c r="I292" s="627" t="s">
        <v>2000</v>
      </c>
      <c r="J292" s="715"/>
      <c r="K292" s="710"/>
      <c r="L292" s="711"/>
      <c r="M292" s="536"/>
      <c r="N292" s="536"/>
      <c r="O292" s="536"/>
      <c r="P292" s="536"/>
    </row>
    <row r="293" ht="15.75" customHeight="1">
      <c r="A293" s="94"/>
      <c r="B293" s="50"/>
      <c r="C293" s="82"/>
      <c r="D293" s="50"/>
      <c r="E293" s="82" t="s">
        <v>119</v>
      </c>
      <c r="F293" s="82" t="s">
        <v>120</v>
      </c>
      <c r="G293" s="160" t="s">
        <v>124</v>
      </c>
      <c r="H293" s="708" t="s">
        <v>1648</v>
      </c>
      <c r="I293" s="627" t="s">
        <v>2001</v>
      </c>
      <c r="J293" s="715"/>
      <c r="K293" s="713"/>
      <c r="L293" s="714"/>
      <c r="M293" s="210"/>
      <c r="N293" s="210"/>
      <c r="O293" s="210"/>
      <c r="P293" s="210"/>
    </row>
    <row r="294" ht="15.75" customHeight="1">
      <c r="A294" s="728">
        <v>45327.0</v>
      </c>
      <c r="B294" s="143" t="s">
        <v>229</v>
      </c>
      <c r="C294" s="62"/>
      <c r="D294" s="62"/>
      <c r="E294" s="62"/>
      <c r="F294" s="62"/>
      <c r="G294" s="62"/>
      <c r="H294" s="62"/>
      <c r="I294" s="63"/>
      <c r="J294" s="144"/>
      <c r="K294" s="719"/>
      <c r="L294" s="737">
        <v>45415.0</v>
      </c>
      <c r="M294" s="615"/>
      <c r="N294" s="701"/>
      <c r="O294" s="615"/>
      <c r="P294" s="487"/>
    </row>
    <row r="295" ht="15.75" customHeight="1">
      <c r="A295" s="82"/>
      <c r="B295" s="50"/>
      <c r="C295" s="82">
        <v>1.0</v>
      </c>
      <c r="D295" s="50" t="s">
        <v>2479</v>
      </c>
      <c r="E295" s="82" t="s">
        <v>119</v>
      </c>
      <c r="F295" s="160" t="s">
        <v>124</v>
      </c>
      <c r="G295" s="160" t="s">
        <v>124</v>
      </c>
      <c r="H295" s="82" t="s">
        <v>1636</v>
      </c>
      <c r="I295" s="620" t="s">
        <v>2002</v>
      </c>
      <c r="J295" s="721" t="s">
        <v>2284</v>
      </c>
      <c r="K295" s="704" t="s">
        <v>2480</v>
      </c>
      <c r="L295" s="562">
        <v>4.0</v>
      </c>
      <c r="M295" s="705"/>
      <c r="N295" s="723">
        <v>2.0</v>
      </c>
      <c r="O295" s="705"/>
      <c r="P295" s="677" t="s">
        <v>2481</v>
      </c>
    </row>
    <row r="296" ht="15.75" customHeight="1">
      <c r="A296" s="82"/>
      <c r="B296" s="50"/>
      <c r="C296" s="82"/>
      <c r="D296" s="50"/>
      <c r="E296" s="82" t="s">
        <v>119</v>
      </c>
      <c r="F296" s="160" t="s">
        <v>124</v>
      </c>
      <c r="G296" s="160" t="s">
        <v>124</v>
      </c>
      <c r="H296" s="708" t="s">
        <v>1643</v>
      </c>
      <c r="I296" s="652" t="s">
        <v>2007</v>
      </c>
      <c r="J296" s="715"/>
      <c r="K296" s="710"/>
      <c r="L296" s="711"/>
      <c r="M296" s="536"/>
      <c r="N296" s="536"/>
      <c r="O296" s="536"/>
      <c r="P296" s="536"/>
    </row>
    <row r="297" ht="15.75" customHeight="1">
      <c r="A297" s="82"/>
      <c r="B297" s="50"/>
      <c r="C297" s="82"/>
      <c r="D297" s="50"/>
      <c r="E297" s="82" t="s">
        <v>119</v>
      </c>
      <c r="F297" s="160" t="s">
        <v>124</v>
      </c>
      <c r="G297" s="160" t="s">
        <v>124</v>
      </c>
      <c r="H297" s="717" t="s">
        <v>1645</v>
      </c>
      <c r="I297" s="627" t="s">
        <v>2008</v>
      </c>
      <c r="J297" s="715"/>
      <c r="K297" s="710"/>
      <c r="L297" s="711"/>
      <c r="M297" s="536"/>
      <c r="N297" s="536"/>
      <c r="O297" s="536"/>
      <c r="P297" s="536"/>
    </row>
    <row r="298" ht="15.75" customHeight="1">
      <c r="A298" s="82"/>
      <c r="B298" s="50"/>
      <c r="C298" s="82"/>
      <c r="D298" s="50"/>
      <c r="E298" s="82" t="s">
        <v>119</v>
      </c>
      <c r="F298" s="160" t="s">
        <v>124</v>
      </c>
      <c r="G298" s="160" t="s">
        <v>124</v>
      </c>
      <c r="H298" s="708" t="s">
        <v>1638</v>
      </c>
      <c r="I298" s="627" t="s">
        <v>2009</v>
      </c>
      <c r="J298" s="715"/>
      <c r="K298" s="710"/>
      <c r="L298" s="711"/>
      <c r="M298" s="536"/>
      <c r="N298" s="536"/>
      <c r="O298" s="536"/>
      <c r="P298" s="536"/>
    </row>
    <row r="299" ht="15.75" customHeight="1">
      <c r="A299" s="82"/>
      <c r="B299" s="50"/>
      <c r="C299" s="82"/>
      <c r="D299" s="50"/>
      <c r="E299" s="82" t="s">
        <v>119</v>
      </c>
      <c r="F299" s="160" t="s">
        <v>124</v>
      </c>
      <c r="G299" s="160" t="s">
        <v>124</v>
      </c>
      <c r="H299" s="708" t="s">
        <v>1648</v>
      </c>
      <c r="I299" s="627" t="s">
        <v>2010</v>
      </c>
      <c r="J299" s="715"/>
      <c r="K299" s="713"/>
      <c r="L299" s="714"/>
      <c r="M299" s="210"/>
      <c r="N299" s="210"/>
      <c r="O299" s="210"/>
      <c r="P299" s="210"/>
    </row>
    <row r="300" ht="15.75" customHeight="1">
      <c r="A300" s="82"/>
      <c r="B300" s="50"/>
      <c r="C300" s="82">
        <v>2.0</v>
      </c>
      <c r="D300" s="50" t="s">
        <v>231</v>
      </c>
      <c r="E300" s="82" t="s">
        <v>119</v>
      </c>
      <c r="F300" s="82" t="s">
        <v>120</v>
      </c>
      <c r="G300" s="160" t="s">
        <v>124</v>
      </c>
      <c r="H300" s="708" t="s">
        <v>1636</v>
      </c>
      <c r="I300" s="627" t="s">
        <v>2011</v>
      </c>
      <c r="J300" s="715" t="s">
        <v>2284</v>
      </c>
      <c r="K300" s="704" t="s">
        <v>2482</v>
      </c>
      <c r="L300" s="562">
        <v>3.0</v>
      </c>
      <c r="M300" s="705"/>
      <c r="N300" s="723">
        <v>2.0</v>
      </c>
      <c r="O300" s="705"/>
      <c r="P300" s="677" t="s">
        <v>2483</v>
      </c>
    </row>
    <row r="301" ht="15.75" customHeight="1">
      <c r="A301" s="82"/>
      <c r="B301" s="50"/>
      <c r="C301" s="82"/>
      <c r="D301" s="50"/>
      <c r="E301" s="82" t="s">
        <v>119</v>
      </c>
      <c r="F301" s="82" t="s">
        <v>120</v>
      </c>
      <c r="G301" s="160" t="s">
        <v>124</v>
      </c>
      <c r="H301" s="708" t="s">
        <v>1643</v>
      </c>
      <c r="I301" s="627" t="s">
        <v>2014</v>
      </c>
      <c r="J301" s="715"/>
      <c r="K301" s="710"/>
      <c r="L301" s="711"/>
      <c r="M301" s="536"/>
      <c r="N301" s="536"/>
      <c r="O301" s="536"/>
      <c r="P301" s="536"/>
    </row>
    <row r="302" ht="15.75" customHeight="1">
      <c r="A302" s="82"/>
      <c r="B302" s="50"/>
      <c r="C302" s="82"/>
      <c r="D302" s="50"/>
      <c r="E302" s="82" t="s">
        <v>119</v>
      </c>
      <c r="F302" s="82" t="s">
        <v>120</v>
      </c>
      <c r="G302" s="160" t="s">
        <v>124</v>
      </c>
      <c r="H302" s="717" t="s">
        <v>1645</v>
      </c>
      <c r="I302" s="627" t="s">
        <v>2015</v>
      </c>
      <c r="J302" s="715"/>
      <c r="K302" s="710"/>
      <c r="L302" s="711"/>
      <c r="M302" s="536"/>
      <c r="N302" s="536"/>
      <c r="O302" s="536"/>
      <c r="P302" s="536"/>
    </row>
    <row r="303" ht="15.75" customHeight="1">
      <c r="A303" s="82"/>
      <c r="B303" s="50"/>
      <c r="C303" s="82"/>
      <c r="D303" s="50"/>
      <c r="E303" s="82" t="s">
        <v>119</v>
      </c>
      <c r="F303" s="82" t="s">
        <v>120</v>
      </c>
      <c r="G303" s="160" t="s">
        <v>124</v>
      </c>
      <c r="H303" s="708" t="s">
        <v>1638</v>
      </c>
      <c r="I303" s="627" t="s">
        <v>2016</v>
      </c>
      <c r="J303" s="715"/>
      <c r="K303" s="710"/>
      <c r="L303" s="711"/>
      <c r="M303" s="536"/>
      <c r="N303" s="536"/>
      <c r="O303" s="536"/>
      <c r="P303" s="536"/>
    </row>
    <row r="304" ht="15.75" customHeight="1">
      <c r="A304" s="82"/>
      <c r="B304" s="50"/>
      <c r="C304" s="82"/>
      <c r="D304" s="50"/>
      <c r="E304" s="82" t="s">
        <v>119</v>
      </c>
      <c r="F304" s="82" t="s">
        <v>120</v>
      </c>
      <c r="G304" s="160" t="s">
        <v>124</v>
      </c>
      <c r="H304" s="741" t="s">
        <v>1648</v>
      </c>
      <c r="I304" s="656" t="s">
        <v>2017</v>
      </c>
      <c r="J304" s="742"/>
      <c r="K304" s="743"/>
      <c r="L304" s="744"/>
      <c r="M304" s="210"/>
      <c r="N304" s="210"/>
      <c r="O304" s="210"/>
      <c r="P304" s="210"/>
    </row>
    <row r="305" ht="15.75" customHeight="1">
      <c r="A305" s="8"/>
      <c r="B305" s="8"/>
      <c r="C305" s="9"/>
      <c r="D305" s="8"/>
      <c r="E305" s="8"/>
      <c r="F305" s="8"/>
      <c r="G305" s="9"/>
      <c r="H305" s="9"/>
      <c r="I305" s="8"/>
      <c r="J305" s="8"/>
      <c r="K305" s="8"/>
      <c r="L305" s="745">
        <f>SUM(L5:L304)</f>
        <v>3807124</v>
      </c>
      <c r="M305" s="8"/>
      <c r="N305" s="8">
        <f>SUM(N5:N304)</f>
        <v>175</v>
      </c>
      <c r="O305" s="8"/>
      <c r="P305" s="293"/>
    </row>
    <row r="306">
      <c r="K306" s="293"/>
      <c r="P306" s="293"/>
    </row>
    <row r="307">
      <c r="K307" s="293"/>
      <c r="P307" s="293"/>
    </row>
    <row r="308">
      <c r="K308" s="293"/>
      <c r="P308" s="293"/>
    </row>
    <row r="309">
      <c r="K309" s="293"/>
      <c r="P309" s="293"/>
    </row>
    <row r="310">
      <c r="K310" s="293"/>
      <c r="P310" s="293"/>
    </row>
    <row r="311">
      <c r="K311" s="293"/>
      <c r="P311" s="293"/>
    </row>
    <row r="312">
      <c r="K312" s="293"/>
      <c r="P312" s="293"/>
    </row>
    <row r="313">
      <c r="K313" s="293"/>
      <c r="P313" s="293"/>
    </row>
    <row r="314">
      <c r="K314" s="293"/>
      <c r="P314" s="293"/>
    </row>
    <row r="315">
      <c r="K315" s="293"/>
      <c r="P315" s="293"/>
    </row>
    <row r="316">
      <c r="K316" s="293"/>
      <c r="P316" s="293"/>
    </row>
    <row r="317">
      <c r="K317" s="293"/>
      <c r="P317" s="293"/>
    </row>
    <row r="318">
      <c r="K318" s="293"/>
      <c r="P318" s="293"/>
    </row>
    <row r="319">
      <c r="K319" s="293"/>
      <c r="P319" s="293"/>
    </row>
    <row r="320">
      <c r="K320" s="293"/>
      <c r="P320" s="293"/>
    </row>
    <row r="321">
      <c r="K321" s="293"/>
      <c r="P321" s="293"/>
    </row>
    <row r="322">
      <c r="K322" s="293"/>
      <c r="P322" s="293"/>
    </row>
    <row r="323">
      <c r="K323" s="293"/>
      <c r="P323" s="293"/>
    </row>
    <row r="324">
      <c r="K324" s="293"/>
      <c r="P324" s="293"/>
    </row>
    <row r="325">
      <c r="K325" s="293"/>
      <c r="P325" s="293"/>
    </row>
    <row r="326">
      <c r="K326" s="293"/>
      <c r="P326" s="293"/>
    </row>
    <row r="327">
      <c r="K327" s="293"/>
      <c r="P327" s="293"/>
    </row>
    <row r="328">
      <c r="K328" s="293"/>
      <c r="P328" s="293"/>
    </row>
    <row r="329">
      <c r="K329" s="293"/>
      <c r="P329" s="293"/>
    </row>
    <row r="330">
      <c r="K330" s="293"/>
      <c r="P330" s="293"/>
    </row>
    <row r="331">
      <c r="K331" s="293"/>
      <c r="P331" s="293"/>
    </row>
    <row r="332">
      <c r="K332" s="293"/>
      <c r="P332" s="293"/>
    </row>
    <row r="333">
      <c r="K333" s="293"/>
      <c r="P333" s="293"/>
    </row>
    <row r="334">
      <c r="K334" s="293"/>
      <c r="P334" s="293"/>
    </row>
    <row r="335">
      <c r="K335" s="293"/>
      <c r="P335" s="293"/>
    </row>
    <row r="336">
      <c r="K336" s="293"/>
      <c r="P336" s="293"/>
    </row>
    <row r="337">
      <c r="K337" s="293"/>
      <c r="P337" s="293"/>
    </row>
    <row r="338">
      <c r="K338" s="293"/>
      <c r="P338" s="293"/>
    </row>
    <row r="339">
      <c r="K339" s="293"/>
      <c r="P339" s="293"/>
    </row>
    <row r="340">
      <c r="K340" s="293"/>
      <c r="P340" s="293"/>
    </row>
    <row r="341">
      <c r="K341" s="293"/>
      <c r="P341" s="293"/>
    </row>
    <row r="342">
      <c r="K342" s="293"/>
      <c r="P342" s="293"/>
    </row>
    <row r="343">
      <c r="K343" s="293"/>
      <c r="P343" s="293"/>
    </row>
    <row r="344">
      <c r="K344" s="293"/>
      <c r="P344" s="293"/>
    </row>
    <row r="345">
      <c r="K345" s="293"/>
      <c r="P345" s="293"/>
    </row>
    <row r="346">
      <c r="K346" s="293"/>
      <c r="P346" s="293"/>
    </row>
    <row r="347">
      <c r="K347" s="293"/>
      <c r="P347" s="293"/>
    </row>
    <row r="348">
      <c r="K348" s="293"/>
      <c r="P348" s="293"/>
    </row>
    <row r="349">
      <c r="K349" s="293"/>
      <c r="P349" s="293"/>
    </row>
    <row r="350">
      <c r="K350" s="293"/>
      <c r="P350" s="293"/>
    </row>
    <row r="351">
      <c r="K351" s="293"/>
      <c r="P351" s="293"/>
    </row>
    <row r="352">
      <c r="K352" s="293"/>
      <c r="P352" s="293"/>
    </row>
    <row r="353">
      <c r="K353" s="293"/>
      <c r="P353" s="293"/>
    </row>
    <row r="354">
      <c r="K354" s="293"/>
      <c r="P354" s="293"/>
    </row>
    <row r="355">
      <c r="K355" s="293"/>
      <c r="P355" s="293"/>
    </row>
    <row r="356">
      <c r="K356" s="293"/>
      <c r="P356" s="293"/>
    </row>
    <row r="357">
      <c r="K357" s="293"/>
      <c r="P357" s="293"/>
    </row>
    <row r="358">
      <c r="K358" s="293"/>
      <c r="P358" s="293"/>
    </row>
    <row r="359">
      <c r="K359" s="293"/>
      <c r="P359" s="293"/>
    </row>
    <row r="360">
      <c r="K360" s="293"/>
      <c r="P360" s="293"/>
    </row>
    <row r="361">
      <c r="K361" s="293"/>
      <c r="P361" s="293"/>
    </row>
    <row r="362">
      <c r="K362" s="293"/>
      <c r="P362" s="293"/>
    </row>
    <row r="363">
      <c r="K363" s="293"/>
      <c r="P363" s="293"/>
    </row>
    <row r="364">
      <c r="K364" s="293"/>
      <c r="P364" s="293"/>
    </row>
    <row r="365">
      <c r="K365" s="293"/>
      <c r="P365" s="293"/>
    </row>
    <row r="366">
      <c r="K366" s="293"/>
      <c r="P366" s="293"/>
    </row>
    <row r="367">
      <c r="K367" s="293"/>
      <c r="P367" s="293"/>
    </row>
    <row r="368">
      <c r="K368" s="293"/>
      <c r="P368" s="293"/>
    </row>
    <row r="369">
      <c r="K369" s="293"/>
      <c r="P369" s="293"/>
    </row>
    <row r="370">
      <c r="K370" s="293"/>
      <c r="P370" s="293"/>
    </row>
    <row r="371">
      <c r="K371" s="293"/>
      <c r="P371" s="293"/>
    </row>
    <row r="372">
      <c r="K372" s="293"/>
      <c r="P372" s="293"/>
    </row>
    <row r="373">
      <c r="K373" s="293"/>
      <c r="P373" s="293"/>
    </row>
    <row r="374">
      <c r="K374" s="293"/>
      <c r="P374" s="293"/>
    </row>
    <row r="375">
      <c r="K375" s="293"/>
      <c r="P375" s="293"/>
    </row>
    <row r="376">
      <c r="K376" s="293"/>
      <c r="P376" s="293"/>
    </row>
    <row r="377">
      <c r="K377" s="293"/>
      <c r="P377" s="293"/>
    </row>
    <row r="378">
      <c r="K378" s="293"/>
      <c r="P378" s="293"/>
    </row>
    <row r="379">
      <c r="K379" s="293"/>
      <c r="P379" s="293"/>
    </row>
    <row r="380">
      <c r="K380" s="293"/>
      <c r="P380" s="293"/>
    </row>
    <row r="381">
      <c r="K381" s="293"/>
      <c r="P381" s="293"/>
    </row>
    <row r="382">
      <c r="K382" s="293"/>
      <c r="P382" s="293"/>
    </row>
    <row r="383">
      <c r="K383" s="293"/>
      <c r="P383" s="293"/>
    </row>
    <row r="384">
      <c r="K384" s="293"/>
      <c r="P384" s="293"/>
    </row>
    <row r="385">
      <c r="K385" s="293"/>
      <c r="P385" s="293"/>
    </row>
    <row r="386">
      <c r="K386" s="293"/>
      <c r="P386" s="293"/>
    </row>
    <row r="387">
      <c r="K387" s="293"/>
      <c r="P387" s="293"/>
    </row>
    <row r="388">
      <c r="K388" s="293"/>
      <c r="P388" s="293"/>
    </row>
    <row r="389">
      <c r="K389" s="293"/>
      <c r="P389" s="293"/>
    </row>
    <row r="390">
      <c r="K390" s="293"/>
      <c r="P390" s="293"/>
    </row>
    <row r="391">
      <c r="K391" s="293"/>
      <c r="P391" s="293"/>
    </row>
    <row r="392">
      <c r="K392" s="293"/>
      <c r="P392" s="293"/>
    </row>
    <row r="393">
      <c r="K393" s="293"/>
      <c r="P393" s="293"/>
    </row>
    <row r="394">
      <c r="K394" s="293"/>
      <c r="P394" s="293"/>
    </row>
    <row r="395">
      <c r="K395" s="293"/>
      <c r="P395" s="293"/>
    </row>
    <row r="396">
      <c r="K396" s="293"/>
      <c r="P396" s="293"/>
    </row>
    <row r="397">
      <c r="K397" s="293"/>
      <c r="P397" s="293"/>
    </row>
    <row r="398">
      <c r="K398" s="293"/>
      <c r="P398" s="293"/>
    </row>
    <row r="399">
      <c r="K399" s="293"/>
      <c r="P399" s="293"/>
    </row>
    <row r="400">
      <c r="K400" s="293"/>
      <c r="P400" s="293"/>
    </row>
    <row r="401">
      <c r="K401" s="293"/>
      <c r="P401" s="293"/>
    </row>
    <row r="402">
      <c r="K402" s="293"/>
      <c r="P402" s="293"/>
    </row>
    <row r="403">
      <c r="K403" s="293"/>
      <c r="P403" s="293"/>
    </row>
    <row r="404">
      <c r="K404" s="293"/>
      <c r="P404" s="293"/>
    </row>
    <row r="405">
      <c r="K405" s="293"/>
      <c r="P405" s="293"/>
    </row>
    <row r="406">
      <c r="K406" s="293"/>
      <c r="P406" s="293"/>
    </row>
    <row r="407">
      <c r="K407" s="293"/>
      <c r="P407" s="293"/>
    </row>
    <row r="408">
      <c r="K408" s="293"/>
      <c r="P408" s="293"/>
    </row>
    <row r="409">
      <c r="K409" s="293"/>
      <c r="P409" s="293"/>
    </row>
    <row r="410">
      <c r="K410" s="293"/>
      <c r="P410" s="293"/>
    </row>
    <row r="411">
      <c r="K411" s="293"/>
      <c r="P411" s="293"/>
    </row>
    <row r="412">
      <c r="K412" s="293"/>
      <c r="P412" s="293"/>
    </row>
    <row r="413">
      <c r="K413" s="293"/>
      <c r="P413" s="293"/>
    </row>
    <row r="414">
      <c r="K414" s="293"/>
      <c r="P414" s="293"/>
    </row>
    <row r="415">
      <c r="K415" s="293"/>
      <c r="P415" s="293"/>
    </row>
    <row r="416">
      <c r="K416" s="293"/>
      <c r="P416" s="293"/>
    </row>
    <row r="417">
      <c r="K417" s="293"/>
      <c r="P417" s="293"/>
    </row>
    <row r="418">
      <c r="K418" s="293"/>
      <c r="P418" s="293"/>
    </row>
    <row r="419">
      <c r="K419" s="293"/>
      <c r="P419" s="293"/>
    </row>
    <row r="420">
      <c r="K420" s="293"/>
      <c r="P420" s="293"/>
    </row>
    <row r="421">
      <c r="K421" s="293"/>
      <c r="P421" s="293"/>
    </row>
    <row r="422">
      <c r="K422" s="293"/>
      <c r="P422" s="293"/>
    </row>
    <row r="423">
      <c r="K423" s="293"/>
      <c r="P423" s="293"/>
    </row>
    <row r="424">
      <c r="K424" s="293"/>
      <c r="P424" s="293"/>
    </row>
    <row r="425">
      <c r="K425" s="293"/>
      <c r="P425" s="293"/>
    </row>
    <row r="426">
      <c r="K426" s="293"/>
      <c r="P426" s="293"/>
    </row>
    <row r="427">
      <c r="K427" s="293"/>
      <c r="P427" s="293"/>
    </row>
    <row r="428">
      <c r="K428" s="293"/>
      <c r="P428" s="293"/>
    </row>
    <row r="429">
      <c r="K429" s="293"/>
      <c r="P429" s="293"/>
    </row>
    <row r="430">
      <c r="K430" s="293"/>
      <c r="P430" s="293"/>
    </row>
    <row r="431">
      <c r="K431" s="293"/>
      <c r="P431" s="293"/>
    </row>
    <row r="432">
      <c r="K432" s="293"/>
      <c r="P432" s="293"/>
    </row>
    <row r="433">
      <c r="K433" s="293"/>
      <c r="P433" s="293"/>
    </row>
    <row r="434">
      <c r="K434" s="293"/>
      <c r="P434" s="293"/>
    </row>
    <row r="435">
      <c r="K435" s="293"/>
      <c r="P435" s="293"/>
    </row>
    <row r="436">
      <c r="K436" s="293"/>
      <c r="P436" s="293"/>
    </row>
    <row r="437">
      <c r="K437" s="293"/>
      <c r="P437" s="293"/>
    </row>
    <row r="438">
      <c r="K438" s="293"/>
      <c r="P438" s="293"/>
    </row>
    <row r="439">
      <c r="K439" s="293"/>
      <c r="P439" s="293"/>
    </row>
    <row r="440">
      <c r="K440" s="293"/>
      <c r="P440" s="293"/>
    </row>
    <row r="441">
      <c r="K441" s="293"/>
      <c r="P441" s="293"/>
    </row>
    <row r="442">
      <c r="K442" s="293"/>
      <c r="P442" s="293"/>
    </row>
    <row r="443">
      <c r="K443" s="293"/>
      <c r="P443" s="293"/>
    </row>
    <row r="444">
      <c r="K444" s="293"/>
      <c r="P444" s="293"/>
    </row>
    <row r="445">
      <c r="K445" s="293"/>
      <c r="P445" s="293"/>
    </row>
    <row r="446">
      <c r="K446" s="293"/>
      <c r="P446" s="293"/>
    </row>
    <row r="447">
      <c r="K447" s="293"/>
      <c r="P447" s="293"/>
    </row>
    <row r="448">
      <c r="K448" s="293"/>
      <c r="P448" s="293"/>
    </row>
    <row r="449">
      <c r="K449" s="293"/>
      <c r="P449" s="293"/>
    </row>
    <row r="450">
      <c r="K450" s="293"/>
      <c r="P450" s="293"/>
    </row>
    <row r="451">
      <c r="K451" s="293"/>
      <c r="P451" s="293"/>
    </row>
    <row r="452">
      <c r="K452" s="293"/>
      <c r="P452" s="293"/>
    </row>
    <row r="453">
      <c r="K453" s="293"/>
      <c r="P453" s="293"/>
    </row>
    <row r="454">
      <c r="K454" s="293"/>
      <c r="P454" s="293"/>
    </row>
    <row r="455">
      <c r="K455" s="293"/>
      <c r="P455" s="293"/>
    </row>
    <row r="456">
      <c r="K456" s="293"/>
      <c r="P456" s="293"/>
    </row>
    <row r="457">
      <c r="K457" s="293"/>
      <c r="P457" s="293"/>
    </row>
    <row r="458">
      <c r="K458" s="293"/>
      <c r="P458" s="293"/>
    </row>
    <row r="459">
      <c r="K459" s="293"/>
      <c r="P459" s="293"/>
    </row>
    <row r="460">
      <c r="K460" s="293"/>
      <c r="P460" s="293"/>
    </row>
    <row r="461">
      <c r="K461" s="293"/>
      <c r="P461" s="293"/>
    </row>
    <row r="462">
      <c r="K462" s="293"/>
      <c r="P462" s="293"/>
    </row>
    <row r="463">
      <c r="K463" s="293"/>
      <c r="P463" s="293"/>
    </row>
    <row r="464">
      <c r="K464" s="293"/>
      <c r="P464" s="293"/>
    </row>
    <row r="465">
      <c r="K465" s="293"/>
      <c r="P465" s="293"/>
    </row>
    <row r="466">
      <c r="K466" s="293"/>
      <c r="P466" s="293"/>
    </row>
    <row r="467">
      <c r="K467" s="293"/>
      <c r="P467" s="293"/>
    </row>
    <row r="468">
      <c r="K468" s="293"/>
      <c r="P468" s="293"/>
    </row>
    <row r="469">
      <c r="K469" s="293"/>
      <c r="P469" s="293"/>
    </row>
    <row r="470">
      <c r="K470" s="293"/>
      <c r="P470" s="293"/>
    </row>
    <row r="471">
      <c r="K471" s="293"/>
      <c r="P471" s="293"/>
    </row>
    <row r="472">
      <c r="K472" s="293"/>
      <c r="P472" s="293"/>
    </row>
    <row r="473">
      <c r="K473" s="293"/>
      <c r="P473" s="293"/>
    </row>
    <row r="474">
      <c r="K474" s="293"/>
      <c r="P474" s="293"/>
    </row>
    <row r="475">
      <c r="K475" s="293"/>
      <c r="P475" s="293"/>
    </row>
    <row r="476">
      <c r="K476" s="293"/>
      <c r="P476" s="293"/>
    </row>
    <row r="477">
      <c r="K477" s="293"/>
      <c r="P477" s="293"/>
    </row>
    <row r="478">
      <c r="K478" s="293"/>
      <c r="P478" s="293"/>
    </row>
    <row r="479">
      <c r="K479" s="293"/>
      <c r="P479" s="293"/>
    </row>
    <row r="480">
      <c r="K480" s="293"/>
      <c r="P480" s="293"/>
    </row>
    <row r="481">
      <c r="K481" s="293"/>
      <c r="P481" s="293"/>
    </row>
    <row r="482">
      <c r="K482" s="293"/>
      <c r="P482" s="293"/>
    </row>
    <row r="483">
      <c r="K483" s="293"/>
      <c r="P483" s="293"/>
    </row>
    <row r="484">
      <c r="K484" s="293"/>
      <c r="P484" s="293"/>
    </row>
    <row r="485">
      <c r="K485" s="293"/>
      <c r="P485" s="293"/>
    </row>
    <row r="486">
      <c r="K486" s="293"/>
      <c r="P486" s="293"/>
    </row>
    <row r="487">
      <c r="K487" s="293"/>
      <c r="P487" s="293"/>
    </row>
    <row r="488">
      <c r="K488" s="293"/>
      <c r="P488" s="293"/>
    </row>
    <row r="489">
      <c r="K489" s="293"/>
      <c r="P489" s="293"/>
    </row>
    <row r="490">
      <c r="K490" s="293"/>
      <c r="P490" s="293"/>
    </row>
    <row r="491">
      <c r="K491" s="293"/>
      <c r="P491" s="293"/>
    </row>
    <row r="492">
      <c r="K492" s="293"/>
      <c r="P492" s="293"/>
    </row>
    <row r="493">
      <c r="K493" s="293"/>
      <c r="P493" s="293"/>
    </row>
    <row r="494">
      <c r="K494" s="293"/>
      <c r="P494" s="293"/>
    </row>
    <row r="495">
      <c r="K495" s="293"/>
      <c r="P495" s="293"/>
    </row>
    <row r="496">
      <c r="K496" s="293"/>
      <c r="P496" s="293"/>
    </row>
    <row r="497">
      <c r="K497" s="293"/>
      <c r="P497" s="293"/>
    </row>
    <row r="498">
      <c r="K498" s="293"/>
      <c r="P498" s="293"/>
    </row>
    <row r="499">
      <c r="K499" s="293"/>
      <c r="P499" s="293"/>
    </row>
    <row r="500">
      <c r="K500" s="293"/>
      <c r="P500" s="293"/>
    </row>
    <row r="501">
      <c r="K501" s="293"/>
      <c r="P501" s="293"/>
    </row>
    <row r="502">
      <c r="K502" s="293"/>
      <c r="P502" s="293"/>
    </row>
    <row r="503">
      <c r="K503" s="293"/>
      <c r="P503" s="293"/>
    </row>
    <row r="504">
      <c r="K504" s="293"/>
      <c r="P504" s="293"/>
    </row>
    <row r="505">
      <c r="K505" s="293"/>
      <c r="P505" s="293"/>
    </row>
    <row r="506">
      <c r="K506" s="293"/>
      <c r="P506" s="293"/>
    </row>
    <row r="507">
      <c r="K507" s="293"/>
      <c r="P507" s="293"/>
    </row>
    <row r="508">
      <c r="K508" s="293"/>
      <c r="P508" s="293"/>
    </row>
    <row r="509">
      <c r="K509" s="293"/>
      <c r="P509" s="293"/>
    </row>
    <row r="510">
      <c r="K510" s="293"/>
      <c r="P510" s="293"/>
    </row>
    <row r="511">
      <c r="K511" s="293"/>
      <c r="P511" s="293"/>
    </row>
    <row r="512">
      <c r="K512" s="293"/>
      <c r="P512" s="293"/>
    </row>
    <row r="513">
      <c r="K513" s="293"/>
      <c r="P513" s="293"/>
    </row>
    <row r="514">
      <c r="K514" s="293"/>
      <c r="P514" s="293"/>
    </row>
    <row r="515">
      <c r="K515" s="293"/>
      <c r="P515" s="293"/>
    </row>
    <row r="516">
      <c r="K516" s="293"/>
      <c r="P516" s="293"/>
    </row>
    <row r="517">
      <c r="K517" s="293"/>
      <c r="P517" s="293"/>
    </row>
    <row r="518">
      <c r="K518" s="293"/>
      <c r="P518" s="293"/>
    </row>
    <row r="519">
      <c r="K519" s="293"/>
      <c r="P519" s="293"/>
    </row>
    <row r="520">
      <c r="K520" s="293"/>
      <c r="P520" s="293"/>
    </row>
    <row r="521">
      <c r="K521" s="293"/>
      <c r="P521" s="293"/>
    </row>
    <row r="522">
      <c r="K522" s="293"/>
      <c r="P522" s="293"/>
    </row>
    <row r="523">
      <c r="K523" s="293"/>
      <c r="P523" s="293"/>
    </row>
    <row r="524">
      <c r="K524" s="293"/>
      <c r="P524" s="293"/>
    </row>
    <row r="525">
      <c r="K525" s="293"/>
      <c r="P525" s="293"/>
    </row>
    <row r="526">
      <c r="K526" s="293"/>
      <c r="P526" s="293"/>
    </row>
    <row r="527">
      <c r="K527" s="293"/>
      <c r="P527" s="293"/>
    </row>
    <row r="528">
      <c r="K528" s="293"/>
      <c r="P528" s="293"/>
    </row>
    <row r="529">
      <c r="K529" s="293"/>
      <c r="P529" s="293"/>
    </row>
    <row r="530">
      <c r="K530" s="293"/>
      <c r="P530" s="293"/>
    </row>
    <row r="531">
      <c r="K531" s="293"/>
      <c r="P531" s="293"/>
    </row>
    <row r="532">
      <c r="K532" s="293"/>
      <c r="P532" s="293"/>
    </row>
    <row r="533">
      <c r="K533" s="293"/>
      <c r="P533" s="293"/>
    </row>
    <row r="534">
      <c r="K534" s="293"/>
      <c r="P534" s="293"/>
    </row>
    <row r="535">
      <c r="K535" s="293"/>
      <c r="P535" s="293"/>
    </row>
    <row r="536">
      <c r="K536" s="293"/>
      <c r="P536" s="293"/>
    </row>
    <row r="537">
      <c r="K537" s="293"/>
      <c r="P537" s="293"/>
    </row>
    <row r="538">
      <c r="K538" s="293"/>
      <c r="P538" s="293"/>
    </row>
    <row r="539">
      <c r="K539" s="293"/>
      <c r="P539" s="293"/>
    </row>
    <row r="540">
      <c r="K540" s="293"/>
      <c r="P540" s="293"/>
    </row>
    <row r="541">
      <c r="K541" s="293"/>
      <c r="P541" s="293"/>
    </row>
    <row r="542">
      <c r="K542" s="293"/>
      <c r="P542" s="293"/>
    </row>
    <row r="543">
      <c r="K543" s="293"/>
      <c r="P543" s="293"/>
    </row>
    <row r="544">
      <c r="K544" s="293"/>
      <c r="P544" s="293"/>
    </row>
    <row r="545">
      <c r="K545" s="293"/>
      <c r="P545" s="293"/>
    </row>
    <row r="546">
      <c r="K546" s="293"/>
      <c r="P546" s="293"/>
    </row>
    <row r="547">
      <c r="K547" s="293"/>
      <c r="P547" s="293"/>
    </row>
    <row r="548">
      <c r="K548" s="293"/>
      <c r="P548" s="293"/>
    </row>
    <row r="549">
      <c r="K549" s="293"/>
      <c r="P549" s="293"/>
    </row>
    <row r="550">
      <c r="K550" s="293"/>
      <c r="P550" s="293"/>
    </row>
    <row r="551">
      <c r="K551" s="293"/>
      <c r="P551" s="293"/>
    </row>
    <row r="552">
      <c r="K552" s="293"/>
      <c r="P552" s="293"/>
    </row>
    <row r="553">
      <c r="K553" s="293"/>
      <c r="P553" s="293"/>
    </row>
    <row r="554">
      <c r="K554" s="293"/>
      <c r="P554" s="293"/>
    </row>
    <row r="555">
      <c r="K555" s="293"/>
      <c r="P555" s="293"/>
    </row>
    <row r="556">
      <c r="K556" s="293"/>
      <c r="P556" s="293"/>
    </row>
    <row r="557">
      <c r="K557" s="293"/>
      <c r="P557" s="293"/>
    </row>
    <row r="558">
      <c r="K558" s="293"/>
      <c r="P558" s="293"/>
    </row>
    <row r="559">
      <c r="K559" s="293"/>
      <c r="P559" s="293"/>
    </row>
    <row r="560">
      <c r="K560" s="293"/>
      <c r="P560" s="293"/>
    </row>
    <row r="561">
      <c r="K561" s="293"/>
      <c r="P561" s="293"/>
    </row>
    <row r="562">
      <c r="K562" s="293"/>
      <c r="P562" s="293"/>
    </row>
    <row r="563">
      <c r="K563" s="293"/>
      <c r="P563" s="293"/>
    </row>
    <row r="564">
      <c r="K564" s="293"/>
      <c r="P564" s="293"/>
    </row>
    <row r="565">
      <c r="K565" s="293"/>
      <c r="P565" s="293"/>
    </row>
    <row r="566">
      <c r="K566" s="293"/>
      <c r="P566" s="293"/>
    </row>
    <row r="567">
      <c r="K567" s="293"/>
      <c r="P567" s="293"/>
    </row>
    <row r="568">
      <c r="K568" s="293"/>
      <c r="P568" s="293"/>
    </row>
    <row r="569">
      <c r="K569" s="293"/>
      <c r="P569" s="293"/>
    </row>
    <row r="570">
      <c r="K570" s="293"/>
      <c r="P570" s="293"/>
    </row>
    <row r="571">
      <c r="K571" s="293"/>
      <c r="P571" s="293"/>
    </row>
    <row r="572">
      <c r="K572" s="293"/>
      <c r="P572" s="293"/>
    </row>
    <row r="573">
      <c r="K573" s="293"/>
      <c r="P573" s="293"/>
    </row>
    <row r="574">
      <c r="K574" s="293"/>
      <c r="P574" s="293"/>
    </row>
    <row r="575">
      <c r="K575" s="293"/>
      <c r="P575" s="293"/>
    </row>
    <row r="576">
      <c r="K576" s="293"/>
      <c r="P576" s="293"/>
    </row>
    <row r="577">
      <c r="K577" s="293"/>
      <c r="P577" s="293"/>
    </row>
    <row r="578">
      <c r="K578" s="293"/>
      <c r="P578" s="293"/>
    </row>
    <row r="579">
      <c r="K579" s="293"/>
      <c r="P579" s="293"/>
    </row>
    <row r="580">
      <c r="K580" s="293"/>
      <c r="P580" s="293"/>
    </row>
    <row r="581">
      <c r="K581" s="293"/>
      <c r="P581" s="293"/>
    </row>
    <row r="582">
      <c r="K582" s="293"/>
      <c r="P582" s="293"/>
    </row>
    <row r="583">
      <c r="K583" s="293"/>
      <c r="P583" s="293"/>
    </row>
    <row r="584">
      <c r="K584" s="293"/>
      <c r="P584" s="293"/>
    </row>
    <row r="585">
      <c r="K585" s="293"/>
      <c r="P585" s="293"/>
    </row>
    <row r="586">
      <c r="K586" s="293"/>
      <c r="P586" s="293"/>
    </row>
    <row r="587">
      <c r="K587" s="293"/>
      <c r="P587" s="293"/>
    </row>
    <row r="588">
      <c r="K588" s="293"/>
      <c r="P588" s="293"/>
    </row>
    <row r="589">
      <c r="K589" s="293"/>
      <c r="P589" s="293"/>
    </row>
    <row r="590">
      <c r="K590" s="293"/>
      <c r="P590" s="293"/>
    </row>
    <row r="591">
      <c r="K591" s="293"/>
      <c r="P591" s="293"/>
    </row>
    <row r="592">
      <c r="K592" s="293"/>
      <c r="P592" s="293"/>
    </row>
    <row r="593">
      <c r="K593" s="293"/>
      <c r="P593" s="293"/>
    </row>
    <row r="594">
      <c r="K594" s="293"/>
      <c r="P594" s="293"/>
    </row>
    <row r="595">
      <c r="K595" s="293"/>
      <c r="P595" s="293"/>
    </row>
    <row r="596">
      <c r="K596" s="293"/>
      <c r="P596" s="293"/>
    </row>
    <row r="597">
      <c r="K597" s="293"/>
      <c r="P597" s="293"/>
    </row>
    <row r="598">
      <c r="K598" s="293"/>
      <c r="P598" s="293"/>
    </row>
    <row r="599">
      <c r="K599" s="293"/>
      <c r="P599" s="293"/>
    </row>
    <row r="600">
      <c r="K600" s="293"/>
      <c r="P600" s="293"/>
    </row>
    <row r="601">
      <c r="K601" s="293"/>
      <c r="P601" s="293"/>
    </row>
    <row r="602">
      <c r="K602" s="293"/>
      <c r="P602" s="293"/>
    </row>
    <row r="603">
      <c r="K603" s="293"/>
      <c r="P603" s="293"/>
    </row>
    <row r="604">
      <c r="K604" s="293"/>
      <c r="P604" s="293"/>
    </row>
    <row r="605">
      <c r="K605" s="293"/>
      <c r="P605" s="293"/>
    </row>
    <row r="606">
      <c r="K606" s="293"/>
      <c r="P606" s="293"/>
    </row>
    <row r="607">
      <c r="K607" s="293"/>
      <c r="P607" s="293"/>
    </row>
    <row r="608">
      <c r="K608" s="293"/>
      <c r="P608" s="293"/>
    </row>
    <row r="609">
      <c r="K609" s="293"/>
      <c r="P609" s="293"/>
    </row>
    <row r="610">
      <c r="K610" s="293"/>
      <c r="P610" s="293"/>
    </row>
    <row r="611">
      <c r="K611" s="293"/>
      <c r="P611" s="293"/>
    </row>
    <row r="612">
      <c r="K612" s="293"/>
      <c r="P612" s="293"/>
    </row>
    <row r="613">
      <c r="K613" s="293"/>
      <c r="P613" s="293"/>
    </row>
    <row r="614">
      <c r="K614" s="293"/>
      <c r="P614" s="293"/>
    </row>
    <row r="615">
      <c r="K615" s="293"/>
      <c r="P615" s="293"/>
    </row>
    <row r="616">
      <c r="K616" s="293"/>
      <c r="P616" s="293"/>
    </row>
    <row r="617">
      <c r="K617" s="293"/>
      <c r="P617" s="293"/>
    </row>
    <row r="618">
      <c r="K618" s="293"/>
      <c r="P618" s="293"/>
    </row>
    <row r="619">
      <c r="K619" s="293"/>
      <c r="P619" s="293"/>
    </row>
    <row r="620">
      <c r="K620" s="293"/>
      <c r="P620" s="293"/>
    </row>
    <row r="621">
      <c r="K621" s="293"/>
      <c r="P621" s="293"/>
    </row>
    <row r="622">
      <c r="K622" s="293"/>
      <c r="P622" s="293"/>
    </row>
    <row r="623">
      <c r="K623" s="293"/>
      <c r="P623" s="293"/>
    </row>
    <row r="624">
      <c r="K624" s="293"/>
      <c r="P624" s="293"/>
    </row>
    <row r="625">
      <c r="K625" s="293"/>
      <c r="P625" s="293"/>
    </row>
    <row r="626">
      <c r="K626" s="293"/>
      <c r="P626" s="293"/>
    </row>
    <row r="627">
      <c r="K627" s="293"/>
      <c r="P627" s="293"/>
    </row>
    <row r="628">
      <c r="K628" s="293"/>
      <c r="P628" s="293"/>
    </row>
    <row r="629">
      <c r="K629" s="293"/>
      <c r="P629" s="293"/>
    </row>
    <row r="630">
      <c r="K630" s="293"/>
      <c r="P630" s="293"/>
    </row>
    <row r="631">
      <c r="K631" s="293"/>
      <c r="P631" s="293"/>
    </row>
    <row r="632">
      <c r="K632" s="293"/>
      <c r="P632" s="293"/>
    </row>
    <row r="633">
      <c r="K633" s="293"/>
      <c r="P633" s="293"/>
    </row>
    <row r="634">
      <c r="K634" s="293"/>
      <c r="P634" s="293"/>
    </row>
    <row r="635">
      <c r="K635" s="293"/>
      <c r="P635" s="293"/>
    </row>
    <row r="636">
      <c r="K636" s="293"/>
      <c r="P636" s="293"/>
    </row>
    <row r="637">
      <c r="K637" s="293"/>
      <c r="P637" s="293"/>
    </row>
    <row r="638">
      <c r="K638" s="293"/>
      <c r="P638" s="293"/>
    </row>
    <row r="639">
      <c r="K639" s="293"/>
      <c r="P639" s="293"/>
    </row>
    <row r="640">
      <c r="K640" s="293"/>
      <c r="P640" s="293"/>
    </row>
    <row r="641">
      <c r="K641" s="293"/>
      <c r="P641" s="293"/>
    </row>
    <row r="642">
      <c r="K642" s="293"/>
      <c r="P642" s="293"/>
    </row>
    <row r="643">
      <c r="K643" s="293"/>
      <c r="P643" s="293"/>
    </row>
    <row r="644">
      <c r="K644" s="293"/>
      <c r="P644" s="293"/>
    </row>
    <row r="645">
      <c r="K645" s="293"/>
      <c r="P645" s="293"/>
    </row>
    <row r="646">
      <c r="K646" s="293"/>
      <c r="P646" s="293"/>
    </row>
    <row r="647">
      <c r="K647" s="293"/>
      <c r="P647" s="293"/>
    </row>
    <row r="648">
      <c r="K648" s="293"/>
      <c r="P648" s="293"/>
    </row>
    <row r="649">
      <c r="K649" s="293"/>
      <c r="P649" s="293"/>
    </row>
    <row r="650">
      <c r="K650" s="293"/>
      <c r="P650" s="293"/>
    </row>
    <row r="651">
      <c r="K651" s="293"/>
      <c r="P651" s="293"/>
    </row>
    <row r="652">
      <c r="K652" s="293"/>
      <c r="P652" s="293"/>
    </row>
    <row r="653">
      <c r="K653" s="293"/>
      <c r="P653" s="293"/>
    </row>
    <row r="654">
      <c r="K654" s="293"/>
      <c r="P654" s="293"/>
    </row>
    <row r="655">
      <c r="K655" s="293"/>
      <c r="P655" s="293"/>
    </row>
    <row r="656">
      <c r="K656" s="293"/>
      <c r="P656" s="293"/>
    </row>
    <row r="657">
      <c r="K657" s="293"/>
      <c r="P657" s="293"/>
    </row>
    <row r="658">
      <c r="K658" s="293"/>
      <c r="P658" s="293"/>
    </row>
    <row r="659">
      <c r="K659" s="293"/>
      <c r="P659" s="293"/>
    </row>
    <row r="660">
      <c r="K660" s="293"/>
      <c r="P660" s="293"/>
    </row>
    <row r="661">
      <c r="K661" s="293"/>
      <c r="P661" s="293"/>
    </row>
    <row r="662">
      <c r="K662" s="293"/>
      <c r="P662" s="293"/>
    </row>
    <row r="663">
      <c r="K663" s="293"/>
      <c r="P663" s="293"/>
    </row>
    <row r="664">
      <c r="K664" s="293"/>
      <c r="P664" s="293"/>
    </row>
    <row r="665">
      <c r="K665" s="293"/>
      <c r="P665" s="293"/>
    </row>
    <row r="666">
      <c r="K666" s="293"/>
      <c r="P666" s="293"/>
    </row>
    <row r="667">
      <c r="K667" s="293"/>
      <c r="P667" s="293"/>
    </row>
    <row r="668">
      <c r="K668" s="293"/>
      <c r="P668" s="293"/>
    </row>
    <row r="669">
      <c r="K669" s="293"/>
      <c r="P669" s="293"/>
    </row>
    <row r="670">
      <c r="K670" s="293"/>
      <c r="P670" s="293"/>
    </row>
    <row r="671">
      <c r="K671" s="293"/>
      <c r="P671" s="293"/>
    </row>
    <row r="672">
      <c r="K672" s="293"/>
      <c r="P672" s="293"/>
    </row>
    <row r="673">
      <c r="K673" s="293"/>
      <c r="P673" s="293"/>
    </row>
    <row r="674">
      <c r="K674" s="293"/>
      <c r="P674" s="293"/>
    </row>
    <row r="675">
      <c r="K675" s="293"/>
      <c r="P675" s="293"/>
    </row>
    <row r="676">
      <c r="K676" s="293"/>
      <c r="P676" s="293"/>
    </row>
    <row r="677">
      <c r="K677" s="293"/>
      <c r="P677" s="293"/>
    </row>
    <row r="678">
      <c r="K678" s="293"/>
      <c r="P678" s="293"/>
    </row>
    <row r="679">
      <c r="K679" s="293"/>
      <c r="P679" s="293"/>
    </row>
    <row r="680">
      <c r="K680" s="293"/>
      <c r="P680" s="293"/>
    </row>
    <row r="681">
      <c r="K681" s="293"/>
      <c r="P681" s="293"/>
    </row>
    <row r="682">
      <c r="K682" s="293"/>
      <c r="P682" s="293"/>
    </row>
    <row r="683">
      <c r="K683" s="293"/>
      <c r="P683" s="293"/>
    </row>
    <row r="684">
      <c r="K684" s="293"/>
      <c r="P684" s="293"/>
    </row>
    <row r="685">
      <c r="K685" s="293"/>
      <c r="P685" s="293"/>
    </row>
    <row r="686">
      <c r="K686" s="293"/>
      <c r="P686" s="293"/>
    </row>
    <row r="687">
      <c r="K687" s="293"/>
      <c r="P687" s="293"/>
    </row>
    <row r="688">
      <c r="K688" s="293"/>
      <c r="P688" s="293"/>
    </row>
    <row r="689">
      <c r="K689" s="293"/>
      <c r="P689" s="293"/>
    </row>
    <row r="690">
      <c r="K690" s="293"/>
      <c r="P690" s="293"/>
    </row>
    <row r="691">
      <c r="K691" s="293"/>
      <c r="P691" s="293"/>
    </row>
    <row r="692">
      <c r="K692" s="293"/>
      <c r="P692" s="293"/>
    </row>
    <row r="693">
      <c r="K693" s="293"/>
      <c r="P693" s="293"/>
    </row>
    <row r="694">
      <c r="K694" s="293"/>
      <c r="P694" s="293"/>
    </row>
    <row r="695">
      <c r="K695" s="293"/>
      <c r="P695" s="293"/>
    </row>
    <row r="696">
      <c r="K696" s="293"/>
      <c r="P696" s="293"/>
    </row>
    <row r="697">
      <c r="K697" s="293"/>
      <c r="P697" s="293"/>
    </row>
    <row r="698">
      <c r="K698" s="293"/>
      <c r="P698" s="293"/>
    </row>
    <row r="699">
      <c r="K699" s="293"/>
      <c r="P699" s="293"/>
    </row>
    <row r="700">
      <c r="K700" s="293"/>
      <c r="P700" s="293"/>
    </row>
    <row r="701">
      <c r="K701" s="293"/>
      <c r="P701" s="293"/>
    </row>
    <row r="702">
      <c r="K702" s="293"/>
      <c r="P702" s="293"/>
    </row>
    <row r="703">
      <c r="K703" s="293"/>
      <c r="P703" s="293"/>
    </row>
    <row r="704">
      <c r="K704" s="293"/>
      <c r="P704" s="293"/>
    </row>
    <row r="705">
      <c r="K705" s="293"/>
      <c r="P705" s="293"/>
    </row>
    <row r="706">
      <c r="K706" s="293"/>
      <c r="P706" s="293"/>
    </row>
    <row r="707">
      <c r="K707" s="293"/>
      <c r="P707" s="293"/>
    </row>
    <row r="708">
      <c r="K708" s="293"/>
      <c r="P708" s="293"/>
    </row>
    <row r="709">
      <c r="K709" s="293"/>
      <c r="P709" s="293"/>
    </row>
    <row r="710">
      <c r="K710" s="293"/>
      <c r="P710" s="293"/>
    </row>
    <row r="711">
      <c r="K711" s="293"/>
      <c r="P711" s="293"/>
    </row>
    <row r="712">
      <c r="K712" s="293"/>
      <c r="P712" s="293"/>
    </row>
    <row r="713">
      <c r="K713" s="293"/>
      <c r="P713" s="293"/>
    </row>
    <row r="714">
      <c r="K714" s="293"/>
      <c r="P714" s="293"/>
    </row>
    <row r="715">
      <c r="K715" s="293"/>
      <c r="P715" s="293"/>
    </row>
    <row r="716">
      <c r="K716" s="293"/>
      <c r="P716" s="293"/>
    </row>
    <row r="717">
      <c r="K717" s="293"/>
      <c r="P717" s="293"/>
    </row>
    <row r="718">
      <c r="K718" s="293"/>
      <c r="P718" s="293"/>
    </row>
    <row r="719">
      <c r="K719" s="293"/>
      <c r="P719" s="293"/>
    </row>
    <row r="720">
      <c r="K720" s="293"/>
      <c r="P720" s="293"/>
    </row>
    <row r="721">
      <c r="K721" s="293"/>
      <c r="P721" s="293"/>
    </row>
    <row r="722">
      <c r="K722" s="293"/>
      <c r="P722" s="293"/>
    </row>
    <row r="723">
      <c r="K723" s="293"/>
      <c r="P723" s="293"/>
    </row>
    <row r="724">
      <c r="K724" s="293"/>
      <c r="P724" s="293"/>
    </row>
    <row r="725">
      <c r="K725" s="293"/>
      <c r="P725" s="293"/>
    </row>
    <row r="726">
      <c r="K726" s="293"/>
      <c r="P726" s="293"/>
    </row>
    <row r="727">
      <c r="K727" s="293"/>
      <c r="P727" s="293"/>
    </row>
    <row r="728">
      <c r="K728" s="293"/>
      <c r="P728" s="293"/>
    </row>
    <row r="729">
      <c r="K729" s="293"/>
      <c r="P729" s="293"/>
    </row>
    <row r="730">
      <c r="K730" s="293"/>
      <c r="P730" s="293"/>
    </row>
    <row r="731">
      <c r="K731" s="293"/>
      <c r="P731" s="293"/>
    </row>
    <row r="732">
      <c r="K732" s="293"/>
      <c r="P732" s="293"/>
    </row>
    <row r="733">
      <c r="K733" s="293"/>
      <c r="P733" s="293"/>
    </row>
    <row r="734">
      <c r="K734" s="293"/>
      <c r="P734" s="293"/>
    </row>
    <row r="735">
      <c r="K735" s="293"/>
      <c r="P735" s="293"/>
    </row>
    <row r="736">
      <c r="K736" s="293"/>
      <c r="P736" s="293"/>
    </row>
    <row r="737">
      <c r="K737" s="293"/>
      <c r="P737" s="293"/>
    </row>
    <row r="738">
      <c r="K738" s="293"/>
      <c r="P738" s="293"/>
    </row>
    <row r="739">
      <c r="K739" s="293"/>
      <c r="P739" s="293"/>
    </row>
    <row r="740">
      <c r="K740" s="293"/>
      <c r="P740" s="293"/>
    </row>
    <row r="741">
      <c r="K741" s="293"/>
      <c r="P741" s="293"/>
    </row>
    <row r="742">
      <c r="K742" s="293"/>
      <c r="P742" s="293"/>
    </row>
    <row r="743">
      <c r="K743" s="293"/>
      <c r="P743" s="293"/>
    </row>
    <row r="744">
      <c r="K744" s="293"/>
      <c r="P744" s="293"/>
    </row>
    <row r="745">
      <c r="K745" s="293"/>
      <c r="P745" s="293"/>
    </row>
    <row r="746">
      <c r="K746" s="293"/>
      <c r="P746" s="293"/>
    </row>
    <row r="747">
      <c r="K747" s="293"/>
      <c r="P747" s="293"/>
    </row>
    <row r="748">
      <c r="K748" s="293"/>
      <c r="P748" s="293"/>
    </row>
    <row r="749">
      <c r="K749" s="293"/>
      <c r="P749" s="293"/>
    </row>
    <row r="750">
      <c r="K750" s="293"/>
      <c r="P750" s="293"/>
    </row>
    <row r="751">
      <c r="K751" s="293"/>
      <c r="P751" s="293"/>
    </row>
    <row r="752">
      <c r="K752" s="293"/>
      <c r="P752" s="293"/>
    </row>
    <row r="753">
      <c r="K753" s="293"/>
      <c r="P753" s="293"/>
    </row>
    <row r="754">
      <c r="K754" s="293"/>
      <c r="P754" s="293"/>
    </row>
    <row r="755">
      <c r="K755" s="293"/>
      <c r="P755" s="293"/>
    </row>
    <row r="756">
      <c r="K756" s="293"/>
      <c r="P756" s="293"/>
    </row>
    <row r="757">
      <c r="K757" s="293"/>
      <c r="P757" s="293"/>
    </row>
    <row r="758">
      <c r="K758" s="293"/>
      <c r="P758" s="293"/>
    </row>
    <row r="759">
      <c r="K759" s="293"/>
      <c r="P759" s="293"/>
    </row>
    <row r="760">
      <c r="K760" s="293"/>
      <c r="P760" s="293"/>
    </row>
    <row r="761">
      <c r="K761" s="293"/>
      <c r="P761" s="293"/>
    </row>
    <row r="762">
      <c r="K762" s="293"/>
      <c r="P762" s="293"/>
    </row>
    <row r="763">
      <c r="K763" s="293"/>
      <c r="P763" s="293"/>
    </row>
    <row r="764">
      <c r="K764" s="293"/>
      <c r="P764" s="293"/>
    </row>
    <row r="765">
      <c r="K765" s="293"/>
      <c r="P765" s="293"/>
    </row>
    <row r="766">
      <c r="K766" s="293"/>
      <c r="P766" s="293"/>
    </row>
    <row r="767">
      <c r="K767" s="293"/>
      <c r="P767" s="293"/>
    </row>
    <row r="768">
      <c r="K768" s="293"/>
      <c r="P768" s="293"/>
    </row>
    <row r="769">
      <c r="K769" s="293"/>
      <c r="P769" s="293"/>
    </row>
    <row r="770">
      <c r="K770" s="293"/>
      <c r="P770" s="293"/>
    </row>
    <row r="771">
      <c r="K771" s="293"/>
      <c r="P771" s="293"/>
    </row>
    <row r="772">
      <c r="K772" s="293"/>
      <c r="P772" s="293"/>
    </row>
    <row r="773">
      <c r="K773" s="293"/>
      <c r="P773" s="293"/>
    </row>
    <row r="774">
      <c r="K774" s="293"/>
      <c r="P774" s="293"/>
    </row>
    <row r="775">
      <c r="K775" s="293"/>
      <c r="P775" s="293"/>
    </row>
    <row r="776">
      <c r="K776" s="293"/>
      <c r="P776" s="293"/>
    </row>
    <row r="777">
      <c r="K777" s="293"/>
      <c r="P777" s="293"/>
    </row>
    <row r="778">
      <c r="K778" s="293"/>
      <c r="P778" s="293"/>
    </row>
    <row r="779">
      <c r="K779" s="293"/>
      <c r="P779" s="293"/>
    </row>
    <row r="780">
      <c r="K780" s="293"/>
      <c r="P780" s="293"/>
    </row>
    <row r="781">
      <c r="K781" s="293"/>
      <c r="P781" s="293"/>
    </row>
    <row r="782">
      <c r="K782" s="293"/>
      <c r="P782" s="293"/>
    </row>
    <row r="783">
      <c r="K783" s="293"/>
      <c r="P783" s="293"/>
    </row>
    <row r="784">
      <c r="K784" s="293"/>
      <c r="P784" s="293"/>
    </row>
    <row r="785">
      <c r="K785" s="293"/>
      <c r="P785" s="293"/>
    </row>
    <row r="786">
      <c r="K786" s="293"/>
      <c r="P786" s="293"/>
    </row>
    <row r="787">
      <c r="K787" s="293"/>
      <c r="P787" s="293"/>
    </row>
    <row r="788">
      <c r="K788" s="293"/>
      <c r="P788" s="293"/>
    </row>
    <row r="789">
      <c r="K789" s="293"/>
      <c r="P789" s="293"/>
    </row>
    <row r="790">
      <c r="K790" s="293"/>
      <c r="P790" s="293"/>
    </row>
    <row r="791">
      <c r="K791" s="293"/>
      <c r="P791" s="293"/>
    </row>
    <row r="792">
      <c r="K792" s="293"/>
      <c r="P792" s="293"/>
    </row>
    <row r="793">
      <c r="K793" s="293"/>
      <c r="P793" s="293"/>
    </row>
    <row r="794">
      <c r="K794" s="293"/>
      <c r="P794" s="293"/>
    </row>
    <row r="795">
      <c r="K795" s="293"/>
      <c r="P795" s="293"/>
    </row>
    <row r="796">
      <c r="K796" s="293"/>
      <c r="P796" s="293"/>
    </row>
    <row r="797">
      <c r="K797" s="293"/>
      <c r="P797" s="293"/>
    </row>
    <row r="798">
      <c r="K798" s="293"/>
      <c r="P798" s="293"/>
    </row>
    <row r="799">
      <c r="K799" s="293"/>
      <c r="P799" s="293"/>
    </row>
    <row r="800">
      <c r="K800" s="293"/>
      <c r="P800" s="293"/>
    </row>
    <row r="801">
      <c r="K801" s="293"/>
      <c r="P801" s="293"/>
    </row>
    <row r="802">
      <c r="K802" s="293"/>
      <c r="P802" s="293"/>
    </row>
    <row r="803">
      <c r="K803" s="293"/>
      <c r="P803" s="293"/>
    </row>
    <row r="804">
      <c r="K804" s="293"/>
      <c r="P804" s="293"/>
    </row>
    <row r="805">
      <c r="K805" s="293"/>
      <c r="P805" s="293"/>
    </row>
    <row r="806">
      <c r="K806" s="293"/>
      <c r="P806" s="293"/>
    </row>
    <row r="807">
      <c r="K807" s="293"/>
      <c r="P807" s="293"/>
    </row>
    <row r="808">
      <c r="K808" s="293"/>
      <c r="P808" s="293"/>
    </row>
    <row r="809">
      <c r="K809" s="293"/>
      <c r="P809" s="293"/>
    </row>
    <row r="810">
      <c r="K810" s="293"/>
      <c r="P810" s="293"/>
    </row>
    <row r="811">
      <c r="K811" s="293"/>
      <c r="P811" s="293"/>
    </row>
    <row r="812">
      <c r="K812" s="293"/>
      <c r="P812" s="293"/>
    </row>
    <row r="813">
      <c r="K813" s="293"/>
      <c r="P813" s="293"/>
    </row>
    <row r="814">
      <c r="K814" s="293"/>
      <c r="P814" s="293"/>
    </row>
    <row r="815">
      <c r="K815" s="293"/>
      <c r="P815" s="293"/>
    </row>
    <row r="816">
      <c r="K816" s="293"/>
      <c r="P816" s="293"/>
    </row>
    <row r="817">
      <c r="K817" s="293"/>
      <c r="P817" s="293"/>
    </row>
    <row r="818">
      <c r="K818" s="293"/>
      <c r="P818" s="293"/>
    </row>
    <row r="819">
      <c r="K819" s="293"/>
      <c r="P819" s="293"/>
    </row>
    <row r="820">
      <c r="K820" s="293"/>
      <c r="P820" s="293"/>
    </row>
    <row r="821">
      <c r="K821" s="293"/>
      <c r="P821" s="293"/>
    </row>
    <row r="822">
      <c r="K822" s="293"/>
      <c r="P822" s="293"/>
    </row>
    <row r="823">
      <c r="K823" s="293"/>
      <c r="P823" s="293"/>
    </row>
    <row r="824">
      <c r="K824" s="293"/>
      <c r="P824" s="293"/>
    </row>
    <row r="825">
      <c r="K825" s="293"/>
      <c r="P825" s="293"/>
    </row>
    <row r="826">
      <c r="K826" s="293"/>
      <c r="P826" s="293"/>
    </row>
    <row r="827">
      <c r="K827" s="293"/>
      <c r="P827" s="293"/>
    </row>
    <row r="828">
      <c r="K828" s="293"/>
      <c r="P828" s="293"/>
    </row>
    <row r="829">
      <c r="K829" s="293"/>
      <c r="P829" s="293"/>
    </row>
    <row r="830">
      <c r="K830" s="293"/>
      <c r="P830" s="293"/>
    </row>
    <row r="831">
      <c r="K831" s="293"/>
      <c r="P831" s="293"/>
    </row>
    <row r="832">
      <c r="K832" s="293"/>
      <c r="P832" s="293"/>
    </row>
    <row r="833">
      <c r="K833" s="293"/>
      <c r="P833" s="293"/>
    </row>
    <row r="834">
      <c r="K834" s="293"/>
      <c r="P834" s="293"/>
    </row>
    <row r="835">
      <c r="K835" s="293"/>
      <c r="P835" s="293"/>
    </row>
    <row r="836">
      <c r="K836" s="293"/>
      <c r="P836" s="293"/>
    </row>
    <row r="837">
      <c r="K837" s="293"/>
      <c r="P837" s="293"/>
    </row>
    <row r="838">
      <c r="K838" s="293"/>
      <c r="P838" s="293"/>
    </row>
    <row r="839">
      <c r="K839" s="293"/>
      <c r="P839" s="293"/>
    </row>
    <row r="840">
      <c r="K840" s="293"/>
      <c r="P840" s="293"/>
    </row>
    <row r="841">
      <c r="K841" s="293"/>
      <c r="P841" s="293"/>
    </row>
    <row r="842">
      <c r="K842" s="293"/>
      <c r="P842" s="293"/>
    </row>
    <row r="843">
      <c r="K843" s="293"/>
      <c r="P843" s="293"/>
    </row>
    <row r="844">
      <c r="K844" s="293"/>
      <c r="P844" s="293"/>
    </row>
    <row r="845">
      <c r="K845" s="293"/>
      <c r="P845" s="293"/>
    </row>
    <row r="846">
      <c r="K846" s="293"/>
      <c r="P846" s="293"/>
    </row>
    <row r="847">
      <c r="K847" s="293"/>
      <c r="P847" s="293"/>
    </row>
    <row r="848">
      <c r="K848" s="293"/>
      <c r="P848" s="293"/>
    </row>
    <row r="849">
      <c r="K849" s="293"/>
      <c r="P849" s="293"/>
    </row>
    <row r="850">
      <c r="K850" s="293"/>
      <c r="P850" s="293"/>
    </row>
    <row r="851">
      <c r="K851" s="293"/>
      <c r="P851" s="293"/>
    </row>
    <row r="852">
      <c r="K852" s="293"/>
      <c r="P852" s="293"/>
    </row>
    <row r="853">
      <c r="K853" s="293"/>
      <c r="P853" s="293"/>
    </row>
    <row r="854">
      <c r="K854" s="293"/>
      <c r="P854" s="293"/>
    </row>
    <row r="855">
      <c r="K855" s="293"/>
      <c r="P855" s="293"/>
    </row>
    <row r="856">
      <c r="K856" s="293"/>
      <c r="P856" s="293"/>
    </row>
    <row r="857">
      <c r="K857" s="293"/>
      <c r="P857" s="293"/>
    </row>
    <row r="858">
      <c r="K858" s="293"/>
      <c r="P858" s="293"/>
    </row>
    <row r="859">
      <c r="K859" s="293"/>
      <c r="P859" s="293"/>
    </row>
    <row r="860">
      <c r="K860" s="293"/>
      <c r="P860" s="293"/>
    </row>
    <row r="861">
      <c r="K861" s="293"/>
      <c r="P861" s="293"/>
    </row>
    <row r="862">
      <c r="K862" s="293"/>
      <c r="P862" s="293"/>
    </row>
    <row r="863">
      <c r="K863" s="293"/>
      <c r="P863" s="293"/>
    </row>
    <row r="864">
      <c r="K864" s="293"/>
      <c r="P864" s="293"/>
    </row>
    <row r="865">
      <c r="K865" s="293"/>
      <c r="P865" s="293"/>
    </row>
    <row r="866">
      <c r="K866" s="293"/>
      <c r="P866" s="293"/>
    </row>
    <row r="867">
      <c r="K867" s="293"/>
      <c r="P867" s="293"/>
    </row>
    <row r="868">
      <c r="K868" s="293"/>
      <c r="P868" s="293"/>
    </row>
    <row r="869">
      <c r="K869" s="293"/>
      <c r="P869" s="293"/>
    </row>
    <row r="870">
      <c r="K870" s="293"/>
      <c r="P870" s="293"/>
    </row>
    <row r="871">
      <c r="K871" s="293"/>
      <c r="P871" s="293"/>
    </row>
    <row r="872">
      <c r="K872" s="293"/>
      <c r="P872" s="293"/>
    </row>
    <row r="873">
      <c r="K873" s="293"/>
      <c r="P873" s="293"/>
    </row>
    <row r="874">
      <c r="K874" s="293"/>
      <c r="P874" s="293"/>
    </row>
    <row r="875">
      <c r="K875" s="293"/>
      <c r="P875" s="293"/>
    </row>
    <row r="876">
      <c r="K876" s="293"/>
      <c r="P876" s="293"/>
    </row>
    <row r="877">
      <c r="K877" s="293"/>
      <c r="P877" s="293"/>
    </row>
    <row r="878">
      <c r="K878" s="293"/>
      <c r="P878" s="293"/>
    </row>
    <row r="879">
      <c r="K879" s="293"/>
      <c r="P879" s="293"/>
    </row>
    <row r="880">
      <c r="K880" s="293"/>
      <c r="P880" s="293"/>
    </row>
    <row r="881">
      <c r="K881" s="293"/>
      <c r="P881" s="293"/>
    </row>
    <row r="882">
      <c r="K882" s="293"/>
      <c r="P882" s="293"/>
    </row>
    <row r="883">
      <c r="K883" s="293"/>
      <c r="P883" s="293"/>
    </row>
    <row r="884">
      <c r="K884" s="293"/>
      <c r="P884" s="293"/>
    </row>
    <row r="885">
      <c r="K885" s="293"/>
      <c r="P885" s="293"/>
    </row>
    <row r="886">
      <c r="K886" s="293"/>
      <c r="P886" s="293"/>
    </row>
    <row r="887">
      <c r="K887" s="293"/>
      <c r="P887" s="293"/>
    </row>
    <row r="888">
      <c r="K888" s="293"/>
      <c r="P888" s="293"/>
    </row>
    <row r="889">
      <c r="K889" s="293"/>
      <c r="P889" s="293"/>
    </row>
    <row r="890">
      <c r="K890" s="293"/>
      <c r="P890" s="293"/>
    </row>
    <row r="891">
      <c r="K891" s="293"/>
      <c r="P891" s="293"/>
    </row>
    <row r="892">
      <c r="K892" s="293"/>
      <c r="P892" s="293"/>
    </row>
    <row r="893">
      <c r="K893" s="293"/>
      <c r="P893" s="293"/>
    </row>
    <row r="894">
      <c r="K894" s="293"/>
      <c r="P894" s="293"/>
    </row>
    <row r="895">
      <c r="K895" s="293"/>
      <c r="P895" s="293"/>
    </row>
    <row r="896">
      <c r="K896" s="293"/>
      <c r="P896" s="293"/>
    </row>
    <row r="897">
      <c r="K897" s="293"/>
      <c r="P897" s="293"/>
    </row>
    <row r="898">
      <c r="K898" s="293"/>
      <c r="P898" s="293"/>
    </row>
    <row r="899">
      <c r="K899" s="293"/>
      <c r="P899" s="293"/>
    </row>
    <row r="900">
      <c r="K900" s="293"/>
      <c r="P900" s="293"/>
    </row>
    <row r="901">
      <c r="K901" s="293"/>
      <c r="P901" s="293"/>
    </row>
    <row r="902">
      <c r="K902" s="293"/>
      <c r="P902" s="293"/>
    </row>
    <row r="903">
      <c r="K903" s="293"/>
      <c r="P903" s="293"/>
    </row>
    <row r="904">
      <c r="K904" s="293"/>
      <c r="P904" s="293"/>
    </row>
    <row r="905">
      <c r="K905" s="293"/>
      <c r="P905" s="293"/>
    </row>
    <row r="906">
      <c r="K906" s="293"/>
      <c r="P906" s="293"/>
    </row>
    <row r="907">
      <c r="K907" s="293"/>
      <c r="P907" s="293"/>
    </row>
    <row r="908">
      <c r="K908" s="293"/>
      <c r="P908" s="293"/>
    </row>
    <row r="909">
      <c r="K909" s="293"/>
      <c r="P909" s="293"/>
    </row>
    <row r="910">
      <c r="K910" s="293"/>
      <c r="P910" s="293"/>
    </row>
    <row r="911">
      <c r="K911" s="293"/>
      <c r="P911" s="293"/>
    </row>
    <row r="912">
      <c r="K912" s="293"/>
      <c r="P912" s="293"/>
    </row>
    <row r="913">
      <c r="K913" s="293"/>
      <c r="P913" s="293"/>
    </row>
    <row r="914">
      <c r="K914" s="293"/>
      <c r="P914" s="293"/>
    </row>
    <row r="915">
      <c r="K915" s="293"/>
      <c r="P915" s="293"/>
    </row>
    <row r="916">
      <c r="K916" s="293"/>
      <c r="P916" s="293"/>
    </row>
    <row r="917">
      <c r="K917" s="293"/>
      <c r="P917" s="293"/>
    </row>
    <row r="918">
      <c r="K918" s="293"/>
      <c r="P918" s="293"/>
    </row>
    <row r="919">
      <c r="K919" s="293"/>
      <c r="P919" s="293"/>
    </row>
    <row r="920">
      <c r="K920" s="293"/>
      <c r="P920" s="293"/>
    </row>
    <row r="921">
      <c r="K921" s="293"/>
      <c r="P921" s="293"/>
    </row>
    <row r="922">
      <c r="K922" s="293"/>
      <c r="P922" s="293"/>
    </row>
    <row r="923">
      <c r="K923" s="293"/>
      <c r="P923" s="293"/>
    </row>
    <row r="924">
      <c r="K924" s="293"/>
      <c r="P924" s="293"/>
    </row>
    <row r="925">
      <c r="K925" s="293"/>
      <c r="P925" s="293"/>
    </row>
    <row r="926">
      <c r="K926" s="293"/>
      <c r="P926" s="293"/>
    </row>
    <row r="927">
      <c r="K927" s="293"/>
      <c r="P927" s="293"/>
    </row>
    <row r="928">
      <c r="K928" s="293"/>
      <c r="P928" s="293"/>
    </row>
    <row r="929">
      <c r="K929" s="293"/>
      <c r="P929" s="293"/>
    </row>
    <row r="930">
      <c r="K930" s="293"/>
      <c r="P930" s="293"/>
    </row>
    <row r="931">
      <c r="K931" s="293"/>
      <c r="P931" s="293"/>
    </row>
    <row r="932">
      <c r="K932" s="293"/>
      <c r="P932" s="293"/>
    </row>
    <row r="933">
      <c r="K933" s="293"/>
      <c r="P933" s="293"/>
    </row>
    <row r="934">
      <c r="K934" s="293"/>
      <c r="P934" s="293"/>
    </row>
    <row r="935">
      <c r="K935" s="293"/>
      <c r="P935" s="293"/>
    </row>
    <row r="936">
      <c r="K936" s="293"/>
      <c r="P936" s="293"/>
    </row>
    <row r="937">
      <c r="K937" s="293"/>
      <c r="P937" s="293"/>
    </row>
    <row r="938">
      <c r="K938" s="293"/>
      <c r="P938" s="293"/>
    </row>
    <row r="939">
      <c r="K939" s="293"/>
      <c r="P939" s="293"/>
    </row>
    <row r="940">
      <c r="K940" s="293"/>
      <c r="P940" s="293"/>
    </row>
    <row r="941">
      <c r="K941" s="293"/>
      <c r="P941" s="293"/>
    </row>
    <row r="942">
      <c r="K942" s="293"/>
      <c r="P942" s="293"/>
    </row>
    <row r="943">
      <c r="K943" s="293"/>
      <c r="P943" s="293"/>
    </row>
    <row r="944">
      <c r="K944" s="293"/>
      <c r="P944" s="293"/>
    </row>
    <row r="945">
      <c r="K945" s="293"/>
      <c r="P945" s="293"/>
    </row>
    <row r="946">
      <c r="K946" s="293"/>
      <c r="P946" s="293"/>
    </row>
    <row r="947">
      <c r="K947" s="293"/>
      <c r="P947" s="293"/>
    </row>
    <row r="948">
      <c r="K948" s="293"/>
      <c r="P948" s="293"/>
    </row>
    <row r="949">
      <c r="K949" s="293"/>
      <c r="P949" s="293"/>
    </row>
    <row r="950">
      <c r="K950" s="293"/>
      <c r="P950" s="293"/>
    </row>
    <row r="951">
      <c r="K951" s="293"/>
      <c r="P951" s="293"/>
    </row>
    <row r="952">
      <c r="K952" s="293"/>
      <c r="P952" s="293"/>
    </row>
    <row r="953">
      <c r="K953" s="293"/>
      <c r="P953" s="293"/>
    </row>
    <row r="954">
      <c r="K954" s="293"/>
      <c r="P954" s="293"/>
    </row>
    <row r="955">
      <c r="K955" s="293"/>
      <c r="P955" s="293"/>
    </row>
    <row r="956">
      <c r="K956" s="293"/>
      <c r="P956" s="293"/>
    </row>
    <row r="957">
      <c r="K957" s="293"/>
      <c r="P957" s="293"/>
    </row>
    <row r="958">
      <c r="K958" s="293"/>
      <c r="P958" s="293"/>
    </row>
    <row r="959">
      <c r="K959" s="293"/>
      <c r="P959" s="293"/>
    </row>
    <row r="960">
      <c r="K960" s="293"/>
      <c r="P960" s="293"/>
    </row>
    <row r="961">
      <c r="K961" s="293"/>
      <c r="P961" s="293"/>
    </row>
    <row r="962">
      <c r="K962" s="293"/>
      <c r="P962" s="293"/>
    </row>
    <row r="963">
      <c r="K963" s="293"/>
      <c r="P963" s="293"/>
    </row>
    <row r="964">
      <c r="K964" s="293"/>
      <c r="P964" s="293"/>
    </row>
    <row r="965">
      <c r="K965" s="293"/>
      <c r="P965" s="293"/>
    </row>
    <row r="966">
      <c r="K966" s="293"/>
      <c r="P966" s="293"/>
    </row>
    <row r="967">
      <c r="K967" s="293"/>
      <c r="P967" s="293"/>
    </row>
    <row r="968">
      <c r="K968" s="293"/>
      <c r="P968" s="293"/>
    </row>
    <row r="969">
      <c r="K969" s="293"/>
      <c r="P969" s="293"/>
    </row>
    <row r="970">
      <c r="K970" s="293"/>
      <c r="P970" s="293"/>
    </row>
    <row r="971">
      <c r="K971" s="293"/>
      <c r="P971" s="293"/>
    </row>
    <row r="972">
      <c r="K972" s="293"/>
      <c r="P972" s="293"/>
    </row>
    <row r="973">
      <c r="K973" s="293"/>
      <c r="P973" s="293"/>
    </row>
    <row r="974">
      <c r="K974" s="293"/>
      <c r="P974" s="293"/>
    </row>
    <row r="975">
      <c r="K975" s="293"/>
      <c r="P975" s="293"/>
    </row>
    <row r="976">
      <c r="K976" s="293"/>
      <c r="P976" s="293"/>
    </row>
    <row r="977">
      <c r="K977" s="293"/>
      <c r="P977" s="293"/>
    </row>
    <row r="978">
      <c r="K978" s="293"/>
      <c r="P978" s="293"/>
    </row>
    <row r="979">
      <c r="K979" s="293"/>
      <c r="P979" s="293"/>
    </row>
    <row r="980">
      <c r="K980" s="293"/>
      <c r="P980" s="293"/>
    </row>
    <row r="981">
      <c r="K981" s="293"/>
      <c r="P981" s="293"/>
    </row>
    <row r="982">
      <c r="K982" s="293"/>
      <c r="P982" s="293"/>
    </row>
    <row r="983">
      <c r="K983" s="293"/>
      <c r="P983" s="293"/>
    </row>
    <row r="984">
      <c r="K984" s="293"/>
      <c r="P984" s="293"/>
    </row>
    <row r="985">
      <c r="K985" s="293"/>
      <c r="P985" s="293"/>
    </row>
    <row r="986">
      <c r="K986" s="293"/>
      <c r="P986" s="293"/>
    </row>
    <row r="987">
      <c r="K987" s="293"/>
      <c r="P987" s="293"/>
    </row>
    <row r="988">
      <c r="K988" s="293"/>
      <c r="P988" s="293"/>
    </row>
    <row r="989">
      <c r="K989" s="293"/>
      <c r="P989" s="293"/>
    </row>
    <row r="990">
      <c r="K990" s="293"/>
      <c r="P990" s="293"/>
    </row>
    <row r="991">
      <c r="K991" s="293"/>
      <c r="P991" s="293"/>
    </row>
    <row r="992">
      <c r="K992" s="293"/>
      <c r="P992" s="293"/>
    </row>
    <row r="993">
      <c r="K993" s="293"/>
      <c r="P993" s="293"/>
    </row>
    <row r="994">
      <c r="K994" s="293"/>
      <c r="P994" s="293"/>
    </row>
    <row r="995">
      <c r="K995" s="293"/>
      <c r="P995" s="293"/>
    </row>
    <row r="996">
      <c r="K996" s="293"/>
      <c r="P996" s="293"/>
    </row>
    <row r="997">
      <c r="K997" s="293"/>
      <c r="P997" s="293"/>
    </row>
    <row r="998">
      <c r="K998" s="293"/>
      <c r="P998" s="293"/>
    </row>
    <row r="999">
      <c r="K999" s="293"/>
      <c r="P999" s="293"/>
    </row>
    <row r="1000">
      <c r="K1000" s="293"/>
      <c r="P1000" s="293"/>
    </row>
  </sheetData>
  <autoFilter ref="$A$4:$L$305"/>
  <mergeCells count="254">
    <mergeCell ref="M139:M143"/>
    <mergeCell ref="N139:N143"/>
    <mergeCell ref="O139:O143"/>
    <mergeCell ref="P139:P143"/>
    <mergeCell ref="N144:N148"/>
    <mergeCell ref="O144:O148"/>
    <mergeCell ref="P144:P148"/>
    <mergeCell ref="M144:M148"/>
    <mergeCell ref="M150:M154"/>
    <mergeCell ref="N150:N154"/>
    <mergeCell ref="O150:O154"/>
    <mergeCell ref="P150:P154"/>
    <mergeCell ref="M155:M159"/>
    <mergeCell ref="N155:N159"/>
    <mergeCell ref="M181:M185"/>
    <mergeCell ref="N181:N185"/>
    <mergeCell ref="O181:O185"/>
    <mergeCell ref="P181:P185"/>
    <mergeCell ref="N187:N191"/>
    <mergeCell ref="O187:O191"/>
    <mergeCell ref="P187:P191"/>
    <mergeCell ref="M187:M191"/>
    <mergeCell ref="M193:M197"/>
    <mergeCell ref="N193:N197"/>
    <mergeCell ref="O193:O197"/>
    <mergeCell ref="P193:P197"/>
    <mergeCell ref="M199:M203"/>
    <mergeCell ref="N199:N203"/>
    <mergeCell ref="O199:O203"/>
    <mergeCell ref="P199:P203"/>
    <mergeCell ref="M205:M209"/>
    <mergeCell ref="N205:N209"/>
    <mergeCell ref="O205:O209"/>
    <mergeCell ref="P205:P209"/>
    <mergeCell ref="M211:M215"/>
    <mergeCell ref="P211:P215"/>
    <mergeCell ref="N211:N215"/>
    <mergeCell ref="O211:O215"/>
    <mergeCell ref="M217:M221"/>
    <mergeCell ref="N217:N221"/>
    <mergeCell ref="O217:O221"/>
    <mergeCell ref="P217:P221"/>
    <mergeCell ref="M223:M227"/>
    <mergeCell ref="P223:P227"/>
    <mergeCell ref="N223:N227"/>
    <mergeCell ref="O223:O227"/>
    <mergeCell ref="M229:M233"/>
    <mergeCell ref="N229:N233"/>
    <mergeCell ref="O229:O233"/>
    <mergeCell ref="P229:P233"/>
    <mergeCell ref="M235:M239"/>
    <mergeCell ref="P235:P239"/>
    <mergeCell ref="N235:N239"/>
    <mergeCell ref="O235:O239"/>
    <mergeCell ref="M241:M245"/>
    <mergeCell ref="N241:N245"/>
    <mergeCell ref="O241:O245"/>
    <mergeCell ref="P241:P245"/>
    <mergeCell ref="M247:M251"/>
    <mergeCell ref="P247:P251"/>
    <mergeCell ref="N257:N261"/>
    <mergeCell ref="O257:O261"/>
    <mergeCell ref="N247:N251"/>
    <mergeCell ref="O247:O251"/>
    <mergeCell ref="M252:M256"/>
    <mergeCell ref="N252:N256"/>
    <mergeCell ref="O252:O256"/>
    <mergeCell ref="P252:P256"/>
    <mergeCell ref="P257:P261"/>
    <mergeCell ref="O267:O271"/>
    <mergeCell ref="P267:P271"/>
    <mergeCell ref="M257:M261"/>
    <mergeCell ref="M262:M266"/>
    <mergeCell ref="N262:N266"/>
    <mergeCell ref="O262:O266"/>
    <mergeCell ref="P262:P266"/>
    <mergeCell ref="M267:M271"/>
    <mergeCell ref="N267:N271"/>
    <mergeCell ref="M273:M277"/>
    <mergeCell ref="N273:N277"/>
    <mergeCell ref="O273:O277"/>
    <mergeCell ref="P273:P277"/>
    <mergeCell ref="N279:N283"/>
    <mergeCell ref="O279:O283"/>
    <mergeCell ref="P279:P283"/>
    <mergeCell ref="M279:M283"/>
    <mergeCell ref="M284:M288"/>
    <mergeCell ref="N284:N288"/>
    <mergeCell ref="O284:O288"/>
    <mergeCell ref="P284:P288"/>
    <mergeCell ref="M289:M293"/>
    <mergeCell ref="N289:N293"/>
    <mergeCell ref="M26:M30"/>
    <mergeCell ref="N26:N30"/>
    <mergeCell ref="O26:O30"/>
    <mergeCell ref="P26:P30"/>
    <mergeCell ref="N31:N35"/>
    <mergeCell ref="O31:O35"/>
    <mergeCell ref="P31:P35"/>
    <mergeCell ref="M31:M35"/>
    <mergeCell ref="M36:M40"/>
    <mergeCell ref="N36:N40"/>
    <mergeCell ref="O36:O40"/>
    <mergeCell ref="P36:P40"/>
    <mergeCell ref="M41:M45"/>
    <mergeCell ref="N41:N45"/>
    <mergeCell ref="M53:M57"/>
    <mergeCell ref="N53:N57"/>
    <mergeCell ref="O53:O57"/>
    <mergeCell ref="P53:P57"/>
    <mergeCell ref="N58:N62"/>
    <mergeCell ref="O58:O62"/>
    <mergeCell ref="P58:P62"/>
    <mergeCell ref="O68:O72"/>
    <mergeCell ref="P68:P72"/>
    <mergeCell ref="M58:M62"/>
    <mergeCell ref="M63:M67"/>
    <mergeCell ref="N63:N67"/>
    <mergeCell ref="O63:O67"/>
    <mergeCell ref="P63:P67"/>
    <mergeCell ref="M68:M72"/>
    <mergeCell ref="N68:N72"/>
    <mergeCell ref="O89:O93"/>
    <mergeCell ref="P89:P93"/>
    <mergeCell ref="N300:N304"/>
    <mergeCell ref="O300:O304"/>
    <mergeCell ref="O289:O293"/>
    <mergeCell ref="P289:P293"/>
    <mergeCell ref="M295:M299"/>
    <mergeCell ref="N295:N299"/>
    <mergeCell ref="O295:O299"/>
    <mergeCell ref="P295:P299"/>
    <mergeCell ref="M300:M304"/>
    <mergeCell ref="P300:P304"/>
    <mergeCell ref="A1:O1"/>
    <mergeCell ref="A2:I2"/>
    <mergeCell ref="J2:K2"/>
    <mergeCell ref="L2:M2"/>
    <mergeCell ref="E3:G3"/>
    <mergeCell ref="M3:M4"/>
    <mergeCell ref="N3:N4"/>
    <mergeCell ref="B5:I5"/>
    <mergeCell ref="N11:N15"/>
    <mergeCell ref="O11:O15"/>
    <mergeCell ref="O3:O4"/>
    <mergeCell ref="P3:P5"/>
    <mergeCell ref="M6:M10"/>
    <mergeCell ref="N6:N10"/>
    <mergeCell ref="O6:O10"/>
    <mergeCell ref="P6:P10"/>
    <mergeCell ref="P11:P15"/>
    <mergeCell ref="O21:O25"/>
    <mergeCell ref="P21:P25"/>
    <mergeCell ref="M11:M15"/>
    <mergeCell ref="M16:M20"/>
    <mergeCell ref="N16:N20"/>
    <mergeCell ref="O16:O20"/>
    <mergeCell ref="P16:P20"/>
    <mergeCell ref="M21:M25"/>
    <mergeCell ref="N21:N25"/>
    <mergeCell ref="O41:O45"/>
    <mergeCell ref="P41:P45"/>
    <mergeCell ref="B46:I46"/>
    <mergeCell ref="M47:M51"/>
    <mergeCell ref="N47:N51"/>
    <mergeCell ref="O47:O51"/>
    <mergeCell ref="P47:P51"/>
    <mergeCell ref="B52:I52"/>
    <mergeCell ref="B88:I88"/>
    <mergeCell ref="B94:I94"/>
    <mergeCell ref="B100:I100"/>
    <mergeCell ref="M73:M77"/>
    <mergeCell ref="N73:N77"/>
    <mergeCell ref="O73:O77"/>
    <mergeCell ref="P73:P77"/>
    <mergeCell ref="N78:N82"/>
    <mergeCell ref="O78:O82"/>
    <mergeCell ref="P78:P82"/>
    <mergeCell ref="M78:M82"/>
    <mergeCell ref="M83:M87"/>
    <mergeCell ref="N83:N87"/>
    <mergeCell ref="O83:O87"/>
    <mergeCell ref="P83:P87"/>
    <mergeCell ref="M89:M93"/>
    <mergeCell ref="N89:N93"/>
    <mergeCell ref="M95:M99"/>
    <mergeCell ref="N95:N99"/>
    <mergeCell ref="O95:O99"/>
    <mergeCell ref="P95:P99"/>
    <mergeCell ref="N101:N105"/>
    <mergeCell ref="O101:O105"/>
    <mergeCell ref="P101:P105"/>
    <mergeCell ref="B116:I116"/>
    <mergeCell ref="B122:I122"/>
    <mergeCell ref="B133:I133"/>
    <mergeCell ref="B149:I149"/>
    <mergeCell ref="M101:M105"/>
    <mergeCell ref="M106:M110"/>
    <mergeCell ref="N106:N110"/>
    <mergeCell ref="O106:O110"/>
    <mergeCell ref="P106:P110"/>
    <mergeCell ref="M111:M115"/>
    <mergeCell ref="N111:N115"/>
    <mergeCell ref="N123:N127"/>
    <mergeCell ref="O123:O127"/>
    <mergeCell ref="O111:O115"/>
    <mergeCell ref="P111:P115"/>
    <mergeCell ref="M117:M121"/>
    <mergeCell ref="N117:N121"/>
    <mergeCell ref="O117:O121"/>
    <mergeCell ref="P117:P121"/>
    <mergeCell ref="P123:P127"/>
    <mergeCell ref="O134:O138"/>
    <mergeCell ref="P134:P138"/>
    <mergeCell ref="M123:M127"/>
    <mergeCell ref="M128:M132"/>
    <mergeCell ref="N128:N132"/>
    <mergeCell ref="O128:O132"/>
    <mergeCell ref="P128:P132"/>
    <mergeCell ref="M134:M138"/>
    <mergeCell ref="N134:N138"/>
    <mergeCell ref="O155:O159"/>
    <mergeCell ref="P155:P159"/>
    <mergeCell ref="M160:M164"/>
    <mergeCell ref="N160:N164"/>
    <mergeCell ref="O160:O164"/>
    <mergeCell ref="P160:P164"/>
    <mergeCell ref="P165:P169"/>
    <mergeCell ref="N165:N169"/>
    <mergeCell ref="O165:O169"/>
    <mergeCell ref="B180:I180"/>
    <mergeCell ref="B186:I186"/>
    <mergeCell ref="B192:I192"/>
    <mergeCell ref="B198:I198"/>
    <mergeCell ref="B204:I204"/>
    <mergeCell ref="B272:I272"/>
    <mergeCell ref="B278:I278"/>
    <mergeCell ref="B294:I294"/>
    <mergeCell ref="B210:I210"/>
    <mergeCell ref="B216:I216"/>
    <mergeCell ref="B222:I222"/>
    <mergeCell ref="B228:I228"/>
    <mergeCell ref="B234:I234"/>
    <mergeCell ref="B240:I240"/>
    <mergeCell ref="B246:I246"/>
    <mergeCell ref="O175:O179"/>
    <mergeCell ref="P175:P179"/>
    <mergeCell ref="M165:M169"/>
    <mergeCell ref="M170:M174"/>
    <mergeCell ref="N170:N174"/>
    <mergeCell ref="O170:O174"/>
    <mergeCell ref="P170:P174"/>
    <mergeCell ref="M175:M179"/>
    <mergeCell ref="N175:N179"/>
  </mergeCells>
  <conditionalFormatting sqref="M6:M45">
    <cfRule type="containsText" dxfId="7" priority="1" operator="containsText" text="T">
      <formula>NOT(ISERROR(SEARCH(("T"),(M6))))</formula>
    </cfRule>
  </conditionalFormatting>
  <conditionalFormatting sqref="M47:M51">
    <cfRule type="containsText" dxfId="7" priority="2" operator="containsText" text="T">
      <formula>NOT(ISERROR(SEARCH(("T"),(M47))))</formula>
    </cfRule>
  </conditionalFormatting>
  <conditionalFormatting sqref="M53:M87">
    <cfRule type="containsText" dxfId="7" priority="3" operator="containsText" text="T">
      <formula>NOT(ISERROR(SEARCH(("T"),(M53))))</formula>
    </cfRule>
  </conditionalFormatting>
  <conditionalFormatting sqref="M89:M93">
    <cfRule type="containsText" dxfId="7" priority="4" operator="containsText" text="T">
      <formula>NOT(ISERROR(SEARCH(("T"),(M89))))</formula>
    </cfRule>
  </conditionalFormatting>
  <conditionalFormatting sqref="M95:M99">
    <cfRule type="containsText" dxfId="7" priority="5" operator="containsText" text="T">
      <formula>NOT(ISERROR(SEARCH(("T"),(M95))))</formula>
    </cfRule>
  </conditionalFormatting>
  <conditionalFormatting sqref="M101:M115">
    <cfRule type="containsText" dxfId="7" priority="6" operator="containsText" text="T">
      <formula>NOT(ISERROR(SEARCH(("T"),(M101))))</formula>
    </cfRule>
  </conditionalFormatting>
  <conditionalFormatting sqref="M117:M121">
    <cfRule type="containsText" dxfId="7" priority="7" operator="containsText" text="T">
      <formula>NOT(ISERROR(SEARCH(("T"),(M117))))</formula>
    </cfRule>
  </conditionalFormatting>
  <conditionalFormatting sqref="M123:M132">
    <cfRule type="containsText" dxfId="7" priority="8" operator="containsText" text="T">
      <formula>NOT(ISERROR(SEARCH(("T"),(M123))))</formula>
    </cfRule>
  </conditionalFormatting>
  <conditionalFormatting sqref="M134:M148">
    <cfRule type="containsText" dxfId="7" priority="9" operator="containsText" text="T">
      <formula>NOT(ISERROR(SEARCH(("T"),(M134))))</formula>
    </cfRule>
  </conditionalFormatting>
  <conditionalFormatting sqref="M150:M179">
    <cfRule type="containsText" dxfId="7" priority="10" operator="containsText" text="T">
      <formula>NOT(ISERROR(SEARCH(("T"),(M150))))</formula>
    </cfRule>
  </conditionalFormatting>
  <conditionalFormatting sqref="M181:M185">
    <cfRule type="containsText" dxfId="7" priority="11" operator="containsText" text="T">
      <formula>NOT(ISERROR(SEARCH(("T"),(M181))))</formula>
    </cfRule>
  </conditionalFormatting>
  <conditionalFormatting sqref="M187:M191">
    <cfRule type="containsText" dxfId="7" priority="12" operator="containsText" text="T">
      <formula>NOT(ISERROR(SEARCH(("T"),(M187))))</formula>
    </cfRule>
  </conditionalFormatting>
  <conditionalFormatting sqref="M193:M197">
    <cfRule type="containsText" dxfId="7" priority="13" operator="containsText" text="T">
      <formula>NOT(ISERROR(SEARCH(("T"),(M193))))</formula>
    </cfRule>
  </conditionalFormatting>
  <conditionalFormatting sqref="M199:M203">
    <cfRule type="containsText" dxfId="7" priority="14" operator="containsText" text="T">
      <formula>NOT(ISERROR(SEARCH(("T"),(M199))))</formula>
    </cfRule>
  </conditionalFormatting>
  <conditionalFormatting sqref="M205:M209">
    <cfRule type="containsText" dxfId="7" priority="15" operator="containsText" text="T">
      <formula>NOT(ISERROR(SEARCH(("T"),(M205))))</formula>
    </cfRule>
  </conditionalFormatting>
  <conditionalFormatting sqref="M211:M215">
    <cfRule type="containsText" dxfId="7" priority="16" operator="containsText" text="T">
      <formula>NOT(ISERROR(SEARCH(("T"),(M211))))</formula>
    </cfRule>
  </conditionalFormatting>
  <conditionalFormatting sqref="M217:M221">
    <cfRule type="containsText" dxfId="7" priority="17" operator="containsText" text="T">
      <formula>NOT(ISERROR(SEARCH(("T"),(M217))))</formula>
    </cfRule>
  </conditionalFormatting>
  <conditionalFormatting sqref="M223:M227">
    <cfRule type="containsText" dxfId="7" priority="18" operator="containsText" text="T">
      <formula>NOT(ISERROR(SEARCH(("T"),(M223))))</formula>
    </cfRule>
  </conditionalFormatting>
  <conditionalFormatting sqref="M229:M233">
    <cfRule type="containsText" dxfId="7" priority="19" operator="containsText" text="T">
      <formula>NOT(ISERROR(SEARCH(("T"),(M229))))</formula>
    </cfRule>
  </conditionalFormatting>
  <conditionalFormatting sqref="M235:M239">
    <cfRule type="containsText" dxfId="7" priority="20" operator="containsText" text="T">
      <formula>NOT(ISERROR(SEARCH(("T"),(M235))))</formula>
    </cfRule>
  </conditionalFormatting>
  <conditionalFormatting sqref="M241:M245">
    <cfRule type="containsText" dxfId="7" priority="21" operator="containsText" text="T">
      <formula>NOT(ISERROR(SEARCH(("T"),(M241))))</formula>
    </cfRule>
  </conditionalFormatting>
  <conditionalFormatting sqref="M247:M271">
    <cfRule type="containsText" dxfId="7" priority="22" operator="containsText" text="T">
      <formula>NOT(ISERROR(SEARCH(("T"),(M247))))</formula>
    </cfRule>
  </conditionalFormatting>
  <conditionalFormatting sqref="M273:M277">
    <cfRule type="containsText" dxfId="7" priority="23" operator="containsText" text="T">
      <formula>NOT(ISERROR(SEARCH(("T"),(M273))))</formula>
    </cfRule>
  </conditionalFormatting>
  <conditionalFormatting sqref="M279:M293">
    <cfRule type="containsText" dxfId="7" priority="24" operator="containsText" text="T">
      <formula>NOT(ISERROR(SEARCH(("T"),(M279))))</formula>
    </cfRule>
  </conditionalFormatting>
  <conditionalFormatting sqref="M295:M304">
    <cfRule type="containsText" dxfId="7" priority="25" operator="containsText" text="T">
      <formula>NOT(ISERROR(SEARCH(("T"),(M295))))</formula>
    </cfRule>
  </conditionalFormatting>
  <dataValidations>
    <dataValidation type="list" allowBlank="1" showErrorMessage="1" sqref="L6 N6 L11 N11 L16 N16 L21 N21 L26 N26 L31 N31 L36 N36 L41 N41 L47 N47 L53 N53 L58 N58 L63 N63 L68 N68 L73 N73 L78 N78 L83 N83 L89 N89 L95 N95 L101 N101 L106 N106 L111 N111 L117 N117 L123 N123 L128 N128 L134 N134 L139 N139 L144 N144 L150 N150 L155 N155 L160 N160 L165 N165 L170 N170 L175 N175 L181 N181 L187 N187 L193 N193 L199 N199 L205 N205 L211 N211 L217 N217 L223 N223 L229 N229 L235 N235 L241 N241 L247 N247 L252 N252 L257 N257 L262 N262 L267 N267 L273 N273 L279 N279 L284 N284 L289 N289 L295 N295 L300 N300">
      <formula1>"1,2,3,4,5"</formula1>
    </dataValidation>
    <dataValidation type="list" allowBlank="1" showErrorMessage="1" sqref="M6 M11 M16 M21 M26 M31 M36 M41 M47 M53 M58 M63 M68 M73 M78 M83 M89 M95 M101 M106 M111 M117 M123 M128 M134 M139 M144 M150 M155 M160 M165 M170 M175 M181 M187 M193 M199 M205 M211 M217 M223 M229 M235 M241 M247 M252 M257 M262 M267 M273 M279 M284 M289 M295 M300">
      <formula1>"Y,T"</formula1>
    </dataValidation>
  </dataValidations>
  <hyperlinks>
    <hyperlink r:id="rId1" ref="P6"/>
    <hyperlink r:id="rId2" ref="P11"/>
    <hyperlink r:id="rId3" ref="P16"/>
    <hyperlink r:id="rId4" ref="P21"/>
    <hyperlink r:id="rId5" ref="P26"/>
    <hyperlink r:id="rId6" ref="P31"/>
    <hyperlink r:id="rId7" ref="P36"/>
    <hyperlink r:id="rId8" ref="P41"/>
    <hyperlink r:id="rId9" ref="P47"/>
    <hyperlink r:id="rId10" ref="P53"/>
    <hyperlink r:id="rId11" ref="P58"/>
    <hyperlink r:id="rId12" ref="P63"/>
    <hyperlink r:id="rId13" ref="P68"/>
    <hyperlink r:id="rId14" ref="P73"/>
    <hyperlink r:id="rId15" ref="P78"/>
    <hyperlink r:id="rId16" ref="P83"/>
    <hyperlink r:id="rId17" ref="P89"/>
    <hyperlink r:id="rId18" ref="P95"/>
    <hyperlink r:id="rId19" ref="P101"/>
    <hyperlink r:id="rId20" ref="P106"/>
    <hyperlink r:id="rId21" ref="P111"/>
    <hyperlink r:id="rId22" ref="P117"/>
    <hyperlink r:id="rId23" ref="P123"/>
    <hyperlink r:id="rId24" ref="P128"/>
    <hyperlink r:id="rId25" ref="P134"/>
    <hyperlink r:id="rId26" ref="P139"/>
    <hyperlink r:id="rId27" ref="P144"/>
    <hyperlink r:id="rId28" ref="P150"/>
    <hyperlink r:id="rId29" ref="P155"/>
    <hyperlink r:id="rId30" ref="P160"/>
    <hyperlink r:id="rId31" ref="P165"/>
    <hyperlink r:id="rId32" ref="P170"/>
    <hyperlink r:id="rId33" ref="P175"/>
    <hyperlink r:id="rId34" ref="P181"/>
    <hyperlink r:id="rId35" ref="P187"/>
    <hyperlink r:id="rId36" ref="P193"/>
    <hyperlink r:id="rId37" ref="P199"/>
    <hyperlink r:id="rId38" ref="P205"/>
    <hyperlink r:id="rId39" ref="P211"/>
    <hyperlink r:id="rId40" ref="P217"/>
    <hyperlink r:id="rId41" ref="P223"/>
    <hyperlink r:id="rId42" ref="P229"/>
    <hyperlink r:id="rId43" ref="P235"/>
    <hyperlink r:id="rId44" ref="P241"/>
    <hyperlink r:id="rId45" ref="P247"/>
    <hyperlink r:id="rId46" ref="P252"/>
    <hyperlink r:id="rId47" ref="P257"/>
    <hyperlink r:id="rId48" ref="P262"/>
    <hyperlink r:id="rId49" ref="P267"/>
    <hyperlink r:id="rId50" ref="P273"/>
    <hyperlink r:id="rId51" ref="P279"/>
    <hyperlink r:id="rId52" ref="P284"/>
    <hyperlink r:id="rId53" ref="P289"/>
    <hyperlink r:id="rId54" ref="P295"/>
    <hyperlink r:id="rId55" ref="P300"/>
  </hyperlinks>
  <printOptions/>
  <pageMargins bottom="0.75" footer="0.0" header="0.0" left="0.699305555555556" right="0.699305555555556" top="0.75"/>
  <pageSetup paperSize="9" orientation="portrait"/>
  <drawing r:id="rId5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1.22" defaultRowHeight="15.0"/>
  <cols>
    <col customWidth="1" min="1" max="1" width="6.22"/>
    <col customWidth="1" min="2" max="2" width="25.67"/>
    <col customWidth="1" min="3" max="4" width="24.67"/>
    <col customWidth="1" min="5" max="5" width="26.67"/>
    <col customWidth="1" min="6" max="6" width="24.67"/>
    <col customWidth="1" min="7" max="7" width="27.44"/>
    <col customWidth="1" min="8" max="26" width="9.0"/>
  </cols>
  <sheetData>
    <row r="1" ht="73.5" customHeight="1">
      <c r="A1" s="746" t="s">
        <v>2484</v>
      </c>
      <c r="B1" s="195"/>
      <c r="C1" s="195"/>
      <c r="D1" s="195"/>
      <c r="E1" s="195"/>
      <c r="F1" s="195"/>
      <c r="G1" s="196"/>
    </row>
    <row r="2" ht="67.5" customHeight="1">
      <c r="A2" s="747" t="s">
        <v>2485</v>
      </c>
      <c r="B2" s="195"/>
      <c r="C2" s="195"/>
      <c r="D2" s="195"/>
      <c r="E2" s="195"/>
      <c r="F2" s="748" t="s">
        <v>104</v>
      </c>
      <c r="G2" s="749" t="s">
        <v>105</v>
      </c>
    </row>
    <row r="3">
      <c r="A3" s="750" t="s">
        <v>2486</v>
      </c>
      <c r="B3" s="751" t="s">
        <v>2487</v>
      </c>
      <c r="C3" s="344"/>
      <c r="D3" s="344"/>
      <c r="E3" s="344"/>
      <c r="F3" s="345"/>
      <c r="G3" s="752" t="s">
        <v>2488</v>
      </c>
    </row>
    <row r="4">
      <c r="A4" s="680"/>
      <c r="B4" s="753" t="s">
        <v>2489</v>
      </c>
      <c r="C4" s="754" t="s">
        <v>2490</v>
      </c>
      <c r="D4" s="63"/>
      <c r="E4" s="754" t="s">
        <v>2491</v>
      </c>
      <c r="F4" s="63"/>
      <c r="G4" s="755"/>
    </row>
    <row r="5">
      <c r="A5" s="756" t="s">
        <v>1636</v>
      </c>
      <c r="B5" s="757" t="s">
        <v>2492</v>
      </c>
      <c r="C5" s="62"/>
      <c r="D5" s="62"/>
      <c r="E5" s="62"/>
      <c r="F5" s="62"/>
      <c r="G5" s="758"/>
    </row>
    <row r="6" ht="31.5" customHeight="1">
      <c r="A6" s="759" t="s">
        <v>2493</v>
      </c>
      <c r="B6" s="760" t="s">
        <v>2494</v>
      </c>
      <c r="C6" s="761" t="s">
        <v>2495</v>
      </c>
      <c r="D6" s="63"/>
      <c r="E6" s="761" t="s">
        <v>2496</v>
      </c>
      <c r="F6" s="63"/>
      <c r="G6" s="762" t="str">
        <f>IF('KK 5.1A'!N17="E","1",IF('KK 5.1A'!N17="D","2",IF('KK 5.1A'!N17="C","3",IF('KK 5.1A'!N17="B","4","5"))))</f>
        <v>5</v>
      </c>
    </row>
    <row r="7" ht="31.5" customHeight="1">
      <c r="A7" s="759"/>
      <c r="B7" s="760"/>
      <c r="C7" s="763"/>
      <c r="D7" s="63"/>
      <c r="E7" s="761" t="s">
        <v>2497</v>
      </c>
      <c r="F7" s="63"/>
      <c r="G7" s="762">
        <f>(IF('KK 5.1 B '!R72="E","1",IF('KK 5.1 B '!R72="D","2",IF('KK 5.1 B '!R72="C",3,IF('KK 5.1 B '!R72="B","4","5")))))*1</f>
        <v>5</v>
      </c>
    </row>
    <row r="8" ht="31.5" customHeight="1">
      <c r="A8" s="759" t="s">
        <v>2498</v>
      </c>
      <c r="B8" s="760" t="s">
        <v>2499</v>
      </c>
      <c r="C8" s="761" t="s">
        <v>2500</v>
      </c>
      <c r="D8" s="63"/>
      <c r="E8" s="761" t="s">
        <v>2501</v>
      </c>
      <c r="F8" s="63"/>
      <c r="G8" s="762">
        <f>(IF('KK 5.2 '!N224="E","1",IF('KK 5.2 '!N224="D","2",IF('KK 5.2 '!N224="C",3,IF('KK 5.2 '!N224="B","4","5")))))*1</f>
        <v>5</v>
      </c>
    </row>
    <row r="9">
      <c r="A9" s="756" t="s">
        <v>1643</v>
      </c>
      <c r="B9" s="764" t="s">
        <v>2502</v>
      </c>
      <c r="C9" s="62"/>
      <c r="D9" s="62"/>
      <c r="E9" s="62"/>
      <c r="F9" s="62"/>
      <c r="G9" s="758"/>
    </row>
    <row r="10" ht="111.0" customHeight="1">
      <c r="A10" s="765"/>
      <c r="B10" s="760" t="s">
        <v>2503</v>
      </c>
      <c r="C10" s="761" t="s">
        <v>2504</v>
      </c>
      <c r="D10" s="63"/>
      <c r="E10" s="761" t="s">
        <v>2505</v>
      </c>
      <c r="F10" s="63"/>
      <c r="G10" s="762" t="str">
        <f>IF('KK 6'!F10="E","1",IF('KK 6'!F10="D","2",IF('KK 6'!F10="C","3",IF('KK 6'!F10="B","4","5"))))</f>
        <v>3</v>
      </c>
    </row>
    <row r="11">
      <c r="A11" s="756" t="s">
        <v>1645</v>
      </c>
      <c r="B11" s="764" t="s">
        <v>2506</v>
      </c>
      <c r="C11" s="62"/>
      <c r="D11" s="62"/>
      <c r="E11" s="62"/>
      <c r="F11" s="62"/>
      <c r="G11" s="758"/>
    </row>
    <row r="12" ht="40.5" customHeight="1">
      <c r="A12" s="759"/>
      <c r="B12" s="760" t="s">
        <v>2507</v>
      </c>
      <c r="C12" s="761" t="s">
        <v>2508</v>
      </c>
      <c r="D12" s="63"/>
      <c r="E12" s="761" t="s">
        <v>2509</v>
      </c>
      <c r="F12" s="63"/>
      <c r="G12" s="762" t="str">
        <f>IF('KK 7'!E17="E","1",IF('KK 7'!E17="D","2",IF('KK 7'!E17="C","3",IF('KK 7'!E17="B","4","5"))))</f>
        <v>3</v>
      </c>
    </row>
    <row r="13">
      <c r="A13" s="756" t="s">
        <v>1638</v>
      </c>
      <c r="B13" s="764" t="s">
        <v>2510</v>
      </c>
      <c r="C13" s="62"/>
      <c r="D13" s="62"/>
      <c r="E13" s="62"/>
      <c r="F13" s="62"/>
      <c r="G13" s="758"/>
    </row>
    <row r="14">
      <c r="A14" s="759"/>
      <c r="B14" s="760" t="s">
        <v>2511</v>
      </c>
      <c r="C14" s="761" t="s">
        <v>2512</v>
      </c>
      <c r="D14" s="63"/>
      <c r="E14" s="761" t="s">
        <v>2513</v>
      </c>
      <c r="F14" s="63"/>
      <c r="G14" s="762" t="str">
        <f>IF('KK 8'!D18="E","1",IF('KK 8'!D18="D","2",IF('KK 8'!D18="C","3",IF('KK 8'!D18="B","4","5"))))</f>
        <v>2</v>
      </c>
    </row>
    <row r="15" ht="30.0" customHeight="1">
      <c r="A15" s="759"/>
      <c r="B15" s="760" t="s">
        <v>2514</v>
      </c>
      <c r="C15" s="761" t="s">
        <v>2515</v>
      </c>
      <c r="D15" s="63"/>
      <c r="E15" s="761"/>
      <c r="F15" s="63"/>
      <c r="G15" s="762" t="str">
        <f>'KK 8'!E7</f>
        <v>Tidak</v>
      </c>
    </row>
  </sheetData>
  <mergeCells count="25">
    <mergeCell ref="A1:G1"/>
    <mergeCell ref="A2:E2"/>
    <mergeCell ref="A3:A4"/>
    <mergeCell ref="B3:F3"/>
    <mergeCell ref="G3:G4"/>
    <mergeCell ref="E4:F4"/>
    <mergeCell ref="B5:G5"/>
    <mergeCell ref="C8:D8"/>
    <mergeCell ref="C10:D10"/>
    <mergeCell ref="C12:D12"/>
    <mergeCell ref="C14:D14"/>
    <mergeCell ref="C15:D15"/>
    <mergeCell ref="E10:F10"/>
    <mergeCell ref="B11:G11"/>
    <mergeCell ref="E12:F12"/>
    <mergeCell ref="B13:G13"/>
    <mergeCell ref="E14:F14"/>
    <mergeCell ref="E15:F15"/>
    <mergeCell ref="C4:D4"/>
    <mergeCell ref="C6:D6"/>
    <mergeCell ref="E6:F6"/>
    <mergeCell ref="C7:D7"/>
    <mergeCell ref="E7:F7"/>
    <mergeCell ref="E8:F8"/>
    <mergeCell ref="B9:G9"/>
  </mergeCells>
  <printOptions/>
  <pageMargins bottom="0.590277777777778" footer="0.0" header="0.0" left="0.471527777777778" right="0.275" top="0.629166666666667"/>
  <pageSetup paperSize="9" scale="80"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0"/>
    <col customWidth="1" min="2" max="2" width="56.22"/>
    <col customWidth="1" min="3" max="3" width="52.11"/>
    <col customWidth="1" min="4" max="7" width="15.89"/>
    <col customWidth="1" min="8" max="8" width="10.67"/>
    <col customWidth="1" min="9" max="9" width="13.11"/>
    <col customWidth="1" min="10" max="10" width="19.22"/>
    <col customWidth="1" min="11" max="12" width="21.11"/>
    <col customWidth="1" min="13" max="15" width="18.56"/>
    <col customWidth="1" min="16" max="26" width="9.0"/>
  </cols>
  <sheetData>
    <row r="1" ht="73.5" customHeight="1">
      <c r="A1" s="4" t="s">
        <v>2516</v>
      </c>
    </row>
    <row r="2" ht="73.5" customHeight="1">
      <c r="A2" s="507" t="s">
        <v>2517</v>
      </c>
      <c r="E2" s="507"/>
      <c r="H2" s="766"/>
      <c r="K2" s="767"/>
      <c r="L2" s="768" t="s">
        <v>104</v>
      </c>
      <c r="M2" s="212"/>
      <c r="N2" s="769" t="s">
        <v>105</v>
      </c>
      <c r="O2" s="767"/>
    </row>
    <row r="3" ht="14.25" customHeight="1">
      <c r="A3" s="770" t="s">
        <v>286</v>
      </c>
      <c r="B3" s="770" t="s">
        <v>2518</v>
      </c>
      <c r="C3" s="771" t="s">
        <v>991</v>
      </c>
      <c r="D3" s="772" t="s">
        <v>2519</v>
      </c>
      <c r="E3" s="62"/>
      <c r="F3" s="62"/>
      <c r="G3" s="63"/>
      <c r="H3" s="772" t="s">
        <v>2520</v>
      </c>
      <c r="I3" s="62"/>
      <c r="J3" s="63"/>
      <c r="K3" s="299" t="s">
        <v>291</v>
      </c>
      <c r="L3" s="62"/>
      <c r="M3" s="62"/>
      <c r="N3" s="62"/>
      <c r="O3" s="63"/>
    </row>
    <row r="4" ht="67.5" customHeight="1">
      <c r="A4" s="210"/>
      <c r="B4" s="210"/>
      <c r="C4" s="210"/>
      <c r="D4" s="773" t="s">
        <v>292</v>
      </c>
      <c r="E4" s="773" t="s">
        <v>293</v>
      </c>
      <c r="F4" s="773" t="s">
        <v>2521</v>
      </c>
      <c r="G4" s="773" t="s">
        <v>2522</v>
      </c>
      <c r="H4" s="774" t="s">
        <v>2523</v>
      </c>
      <c r="I4" s="774" t="s">
        <v>2524</v>
      </c>
      <c r="J4" s="774" t="s">
        <v>2525</v>
      </c>
      <c r="K4" s="302" t="s">
        <v>2526</v>
      </c>
      <c r="L4" s="302" t="s">
        <v>2527</v>
      </c>
      <c r="M4" s="302" t="s">
        <v>2528</v>
      </c>
      <c r="N4" s="302" t="s">
        <v>2529</v>
      </c>
      <c r="O4" s="302" t="s">
        <v>2530</v>
      </c>
    </row>
    <row r="5" ht="14.25" customHeight="1">
      <c r="A5" s="235"/>
      <c r="B5" s="78"/>
      <c r="C5" s="236"/>
      <c r="D5" s="235"/>
      <c r="E5" s="235"/>
      <c r="F5" s="235"/>
      <c r="G5" s="235"/>
      <c r="H5" s="235"/>
      <c r="I5" s="235"/>
      <c r="J5" s="235"/>
      <c r="K5" s="235"/>
      <c r="L5" s="235"/>
      <c r="M5" s="235"/>
      <c r="N5" s="775"/>
      <c r="O5" s="235"/>
    </row>
    <row r="6" ht="63.75" customHeight="1">
      <c r="A6" s="235">
        <v>1.0</v>
      </c>
      <c r="B6" s="776" t="s">
        <v>2531</v>
      </c>
      <c r="C6" s="777" t="s">
        <v>2532</v>
      </c>
      <c r="D6" s="235" t="s">
        <v>301</v>
      </c>
      <c r="E6" s="235" t="s">
        <v>301</v>
      </c>
      <c r="F6" s="235" t="s">
        <v>301</v>
      </c>
      <c r="G6" s="235" t="s">
        <v>301</v>
      </c>
      <c r="H6" s="778" t="s">
        <v>2533</v>
      </c>
      <c r="I6" s="778" t="s">
        <v>2534</v>
      </c>
      <c r="J6" s="779">
        <v>1.2</v>
      </c>
      <c r="K6" s="235" t="s">
        <v>301</v>
      </c>
      <c r="L6" s="780" t="s">
        <v>301</v>
      </c>
      <c r="M6" s="78" t="s">
        <v>271</v>
      </c>
      <c r="N6" s="781">
        <v>1.352</v>
      </c>
      <c r="O6" s="782" t="s">
        <v>2535</v>
      </c>
    </row>
    <row r="7" ht="63.75" customHeight="1">
      <c r="A7" s="783">
        <v>2.0</v>
      </c>
      <c r="B7" s="784" t="s">
        <v>2531</v>
      </c>
      <c r="C7" s="785" t="s">
        <v>2536</v>
      </c>
      <c r="D7" s="235" t="s">
        <v>301</v>
      </c>
      <c r="E7" s="235" t="s">
        <v>301</v>
      </c>
      <c r="F7" s="235" t="s">
        <v>301</v>
      </c>
      <c r="G7" s="783" t="s">
        <v>301</v>
      </c>
      <c r="H7" s="786" t="s">
        <v>2537</v>
      </c>
      <c r="I7" s="787">
        <v>1.0</v>
      </c>
      <c r="J7" s="786" t="s">
        <v>2538</v>
      </c>
      <c r="K7" s="235" t="s">
        <v>301</v>
      </c>
      <c r="L7" s="780" t="s">
        <v>301</v>
      </c>
      <c r="M7" s="78" t="s">
        <v>271</v>
      </c>
      <c r="N7" s="781">
        <v>14.9925</v>
      </c>
      <c r="O7" s="782" t="s">
        <v>2535</v>
      </c>
    </row>
    <row r="8" ht="39.75" customHeight="1">
      <c r="A8" s="235">
        <v>3.0</v>
      </c>
      <c r="B8" s="788" t="s">
        <v>2539</v>
      </c>
      <c r="C8" s="777" t="s">
        <v>2540</v>
      </c>
      <c r="D8" s="235" t="s">
        <v>301</v>
      </c>
      <c r="E8" s="235" t="s">
        <v>301</v>
      </c>
      <c r="F8" s="235" t="s">
        <v>301</v>
      </c>
      <c r="G8" s="235" t="s">
        <v>301</v>
      </c>
      <c r="H8" s="789" t="s">
        <v>2541</v>
      </c>
      <c r="I8" s="789" t="s">
        <v>1199</v>
      </c>
      <c r="J8" s="228">
        <v>1.0</v>
      </c>
      <c r="K8" s="235" t="s">
        <v>301</v>
      </c>
      <c r="L8" s="235" t="s">
        <v>301</v>
      </c>
      <c r="M8" s="235" t="s">
        <v>301</v>
      </c>
      <c r="N8" s="790">
        <v>1.2</v>
      </c>
      <c r="O8" s="235" t="s">
        <v>1121</v>
      </c>
    </row>
    <row r="9" ht="39.75" customHeight="1">
      <c r="A9" s="235">
        <v>4.0</v>
      </c>
      <c r="B9" s="788" t="s">
        <v>2542</v>
      </c>
      <c r="C9" s="777" t="s">
        <v>2543</v>
      </c>
      <c r="D9" s="235" t="s">
        <v>301</v>
      </c>
      <c r="E9" s="235" t="s">
        <v>301</v>
      </c>
      <c r="F9" s="235" t="s">
        <v>301</v>
      </c>
      <c r="G9" s="235" t="s">
        <v>301</v>
      </c>
      <c r="H9" s="400" t="s">
        <v>2544</v>
      </c>
      <c r="I9" s="400" t="s">
        <v>2545</v>
      </c>
      <c r="J9" s="775">
        <v>0.825</v>
      </c>
      <c r="K9" s="235" t="s">
        <v>301</v>
      </c>
      <c r="L9" s="235" t="s">
        <v>301</v>
      </c>
      <c r="M9" s="235" t="s">
        <v>301</v>
      </c>
      <c r="N9" s="775">
        <v>0.825</v>
      </c>
      <c r="O9" s="235" t="s">
        <v>1121</v>
      </c>
    </row>
    <row r="10" ht="39.75" customHeight="1">
      <c r="A10" s="235">
        <v>5.0</v>
      </c>
      <c r="B10" s="788" t="s">
        <v>2546</v>
      </c>
      <c r="C10" s="777" t="s">
        <v>2547</v>
      </c>
      <c r="D10" s="235" t="s">
        <v>301</v>
      </c>
      <c r="E10" s="235" t="s">
        <v>301</v>
      </c>
      <c r="F10" s="235" t="s">
        <v>301</v>
      </c>
      <c r="G10" s="235" t="s">
        <v>301</v>
      </c>
      <c r="H10" s="791" t="s">
        <v>2548</v>
      </c>
      <c r="I10" s="791" t="s">
        <v>2549</v>
      </c>
      <c r="J10" s="775">
        <v>1.0216</v>
      </c>
      <c r="K10" s="235" t="s">
        <v>301</v>
      </c>
      <c r="L10" s="235" t="s">
        <v>301</v>
      </c>
      <c r="M10" s="235" t="s">
        <v>301</v>
      </c>
      <c r="N10" s="775">
        <v>1.0216</v>
      </c>
      <c r="O10" s="235" t="s">
        <v>1121</v>
      </c>
    </row>
    <row r="11" ht="39.75" customHeight="1">
      <c r="A11" s="235">
        <v>6.0</v>
      </c>
      <c r="B11" s="788" t="s">
        <v>2546</v>
      </c>
      <c r="C11" s="777" t="s">
        <v>2550</v>
      </c>
      <c r="D11" s="235" t="s">
        <v>301</v>
      </c>
      <c r="E11" s="235" t="s">
        <v>301</v>
      </c>
      <c r="F11" s="235" t="s">
        <v>301</v>
      </c>
      <c r="G11" s="235" t="s">
        <v>301</v>
      </c>
      <c r="H11" s="792" t="s">
        <v>2551</v>
      </c>
      <c r="I11" s="792" t="s">
        <v>2552</v>
      </c>
      <c r="J11" s="779">
        <v>1.0408</v>
      </c>
      <c r="K11" s="235" t="s">
        <v>301</v>
      </c>
      <c r="L11" s="235" t="s">
        <v>301</v>
      </c>
      <c r="M11" s="235" t="s">
        <v>301</v>
      </c>
      <c r="N11" s="775">
        <v>1.0408</v>
      </c>
      <c r="O11" s="235" t="s">
        <v>1121</v>
      </c>
    </row>
    <row r="12" ht="39.75" customHeight="1">
      <c r="A12" s="235">
        <v>7.0</v>
      </c>
      <c r="B12" s="788" t="s">
        <v>2553</v>
      </c>
      <c r="C12" s="777" t="s">
        <v>2554</v>
      </c>
      <c r="D12" s="235" t="s">
        <v>301</v>
      </c>
      <c r="E12" s="235" t="s">
        <v>301</v>
      </c>
      <c r="F12" s="235" t="s">
        <v>301</v>
      </c>
      <c r="G12" s="783" t="s">
        <v>301</v>
      </c>
      <c r="H12" s="786" t="s">
        <v>2555</v>
      </c>
      <c r="I12" s="786" t="s">
        <v>2556</v>
      </c>
      <c r="J12" s="786" t="s">
        <v>2557</v>
      </c>
      <c r="K12" s="793" t="s">
        <v>301</v>
      </c>
      <c r="L12" s="235" t="s">
        <v>301</v>
      </c>
      <c r="M12" s="235" t="s">
        <v>301</v>
      </c>
      <c r="N12" s="775">
        <v>1.0719</v>
      </c>
      <c r="O12" s="235" t="s">
        <v>1121</v>
      </c>
    </row>
    <row r="13" ht="39.75" customHeight="1">
      <c r="A13" s="235">
        <v>8.0</v>
      </c>
      <c r="B13" s="788" t="s">
        <v>2558</v>
      </c>
      <c r="C13" s="777" t="s">
        <v>2559</v>
      </c>
      <c r="D13" s="235" t="s">
        <v>301</v>
      </c>
      <c r="E13" s="235" t="s">
        <v>301</v>
      </c>
      <c r="F13" s="235" t="s">
        <v>301</v>
      </c>
      <c r="G13" s="235" t="s">
        <v>301</v>
      </c>
      <c r="H13" s="794" t="s">
        <v>2560</v>
      </c>
      <c r="I13" s="794" t="s">
        <v>322</v>
      </c>
      <c r="J13" s="795">
        <v>0.75</v>
      </c>
      <c r="K13" s="235" t="s">
        <v>301</v>
      </c>
      <c r="L13" s="235" t="s">
        <v>301</v>
      </c>
      <c r="M13" s="235" t="s">
        <v>301</v>
      </c>
      <c r="N13" s="775">
        <v>0.75</v>
      </c>
      <c r="O13" s="235" t="s">
        <v>1121</v>
      </c>
    </row>
    <row r="14" ht="39.75" customHeight="1">
      <c r="A14" s="235">
        <v>9.0</v>
      </c>
      <c r="B14" s="788" t="s">
        <v>2558</v>
      </c>
      <c r="C14" s="777" t="s">
        <v>2561</v>
      </c>
      <c r="D14" s="235" t="s">
        <v>301</v>
      </c>
      <c r="E14" s="235" t="s">
        <v>301</v>
      </c>
      <c r="F14" s="235" t="s">
        <v>301</v>
      </c>
      <c r="G14" s="783" t="s">
        <v>301</v>
      </c>
      <c r="H14" s="786" t="s">
        <v>2562</v>
      </c>
      <c r="I14" s="786" t="s">
        <v>2563</v>
      </c>
      <c r="J14" s="786" t="s">
        <v>2564</v>
      </c>
      <c r="K14" s="793" t="s">
        <v>301</v>
      </c>
      <c r="L14" s="235" t="s">
        <v>301</v>
      </c>
      <c r="M14" s="235" t="s">
        <v>301</v>
      </c>
      <c r="N14" s="775">
        <v>1.1994</v>
      </c>
      <c r="O14" s="235" t="s">
        <v>1121</v>
      </c>
    </row>
    <row r="15" ht="39.75" customHeight="1">
      <c r="A15" s="235">
        <v>10.0</v>
      </c>
      <c r="B15" s="788" t="s">
        <v>2565</v>
      </c>
      <c r="C15" s="777" t="s">
        <v>2566</v>
      </c>
      <c r="D15" s="235" t="s">
        <v>301</v>
      </c>
      <c r="E15" s="235" t="s">
        <v>301</v>
      </c>
      <c r="F15" s="235" t="s">
        <v>301</v>
      </c>
      <c r="G15" s="235" t="s">
        <v>301</v>
      </c>
      <c r="H15" s="796" t="s">
        <v>2567</v>
      </c>
      <c r="I15" s="796" t="s">
        <v>2568</v>
      </c>
      <c r="J15" s="228" t="s">
        <v>2568</v>
      </c>
      <c r="K15" s="235" t="s">
        <v>301</v>
      </c>
      <c r="L15" s="235" t="s">
        <v>301</v>
      </c>
      <c r="M15" s="235" t="s">
        <v>301</v>
      </c>
      <c r="N15" s="775">
        <v>1.0297</v>
      </c>
      <c r="O15" s="235" t="s">
        <v>1121</v>
      </c>
    </row>
    <row r="16" ht="36.0" customHeight="1">
      <c r="A16" s="797"/>
      <c r="B16" s="26"/>
      <c r="C16" s="798"/>
      <c r="D16" s="82"/>
      <c r="E16" s="82"/>
      <c r="F16" s="82"/>
      <c r="G16" s="82"/>
      <c r="H16" s="236"/>
      <c r="I16" s="235"/>
      <c r="J16" s="799">
        <f>AVERAGE(J6:J15)</f>
        <v>0.9729</v>
      </c>
      <c r="K16" s="83"/>
      <c r="L16" s="83"/>
      <c r="M16" s="83"/>
      <c r="N16" s="799">
        <f>AVERAGE(N6:N15)</f>
        <v>2.44829</v>
      </c>
      <c r="O16" s="800"/>
    </row>
    <row r="17" ht="14.25" customHeight="1">
      <c r="A17" s="94"/>
      <c r="B17" s="50"/>
      <c r="C17" s="597"/>
      <c r="D17" s="702"/>
      <c r="E17" s="702"/>
      <c r="F17" s="702"/>
      <c r="G17" s="702"/>
      <c r="H17" s="800"/>
      <c r="I17" s="801" t="s">
        <v>2569</v>
      </c>
      <c r="J17" s="802" t="str">
        <f>IF(J16&gt;=90%,"A",IF(J16&gt;=70%,"B",IF(J16&gt;=50%,"C",IF(J16&gt;=30%,"D","E"))))</f>
        <v>A</v>
      </c>
      <c r="K17" s="800"/>
      <c r="L17" s="800"/>
      <c r="M17" s="801" t="s">
        <v>2569</v>
      </c>
      <c r="N17" s="802" t="str">
        <f>IF(N16&gt;=90%,"A",IF(N16&gt;=70%,"B",IF(N16&gt;=50%,"C",IF(N16&gt;=30%,"D","E"))))</f>
        <v>A</v>
      </c>
      <c r="O17" s="800"/>
    </row>
    <row r="18">
      <c r="B18" s="293"/>
      <c r="C18" s="185"/>
    </row>
    <row r="19" ht="14.25" customHeight="1">
      <c r="A19" s="255" t="s">
        <v>278</v>
      </c>
      <c r="B19" s="803"/>
      <c r="C19" s="185"/>
    </row>
    <row r="20" ht="14.25" customHeight="1">
      <c r="A20" s="256">
        <v>1.0</v>
      </c>
      <c r="B20" s="203" t="s">
        <v>2570</v>
      </c>
      <c r="C20" s="185"/>
    </row>
    <row r="21" ht="14.25" customHeight="1">
      <c r="A21" s="256">
        <v>2.0</v>
      </c>
      <c r="B21" s="804" t="s">
        <v>2571</v>
      </c>
      <c r="C21" s="185"/>
    </row>
    <row r="22" ht="14.25" customHeight="1">
      <c r="A22" s="256">
        <v>3.0</v>
      </c>
      <c r="B22" s="804" t="s">
        <v>2572</v>
      </c>
      <c r="C22" s="185"/>
    </row>
    <row r="23" ht="14.25" customHeight="1">
      <c r="A23" s="256">
        <v>4.0</v>
      </c>
      <c r="B23" s="804" t="s">
        <v>2573</v>
      </c>
      <c r="C23" s="185"/>
      <c r="I23" s="185"/>
    </row>
    <row r="24" ht="14.25" customHeight="1">
      <c r="A24" s="256">
        <v>5.0</v>
      </c>
      <c r="B24" s="804" t="s">
        <v>2574</v>
      </c>
      <c r="C24" s="185"/>
    </row>
    <row r="25">
      <c r="B25" s="293"/>
      <c r="C25" s="185"/>
    </row>
    <row r="26" ht="15.0" customHeight="1">
      <c r="B26" s="293"/>
      <c r="C26" s="185"/>
    </row>
    <row r="27">
      <c r="B27" s="293"/>
      <c r="C27" s="185"/>
    </row>
    <row r="28" ht="15.0" customHeight="1">
      <c r="B28" s="293"/>
      <c r="C28" s="185"/>
      <c r="I28" s="805"/>
      <c r="J28" s="806"/>
      <c r="K28" s="805"/>
    </row>
    <row r="29" ht="15.0" customHeight="1">
      <c r="B29" s="293"/>
      <c r="C29" s="185"/>
      <c r="I29" s="805"/>
      <c r="J29" s="805"/>
      <c r="K29" s="805"/>
    </row>
    <row r="30" ht="15.0" customHeight="1">
      <c r="B30" s="293"/>
      <c r="C30" s="185"/>
      <c r="K30" s="805"/>
    </row>
    <row r="31" ht="15.0" customHeight="1">
      <c r="B31" s="293"/>
      <c r="C31" s="185"/>
      <c r="I31" s="805"/>
      <c r="J31" s="805"/>
      <c r="K31" s="805"/>
    </row>
    <row r="32" ht="15.0" customHeight="1">
      <c r="B32" s="293"/>
      <c r="C32" s="185"/>
      <c r="I32" s="805"/>
      <c r="J32" s="805"/>
      <c r="K32" s="805"/>
    </row>
    <row r="33">
      <c r="B33" s="293"/>
      <c r="C33" s="185"/>
    </row>
    <row r="34">
      <c r="B34" s="293"/>
      <c r="C34" s="185"/>
    </row>
    <row r="35">
      <c r="B35" s="293"/>
      <c r="C35" s="185"/>
    </row>
    <row r="36">
      <c r="B36" s="293"/>
      <c r="C36" s="185"/>
    </row>
    <row r="37">
      <c r="B37" s="293"/>
      <c r="C37" s="185"/>
    </row>
    <row r="38">
      <c r="B38" s="293"/>
      <c r="C38" s="185"/>
    </row>
    <row r="39">
      <c r="B39" s="293"/>
      <c r="C39" s="185"/>
    </row>
    <row r="40">
      <c r="B40" s="293"/>
      <c r="C40" s="185"/>
    </row>
    <row r="41">
      <c r="B41" s="293"/>
      <c r="C41" s="185"/>
    </row>
    <row r="42">
      <c r="B42" s="293"/>
      <c r="C42" s="185"/>
    </row>
    <row r="43">
      <c r="B43" s="293"/>
      <c r="C43" s="185"/>
    </row>
    <row r="44">
      <c r="B44" s="293"/>
      <c r="C44" s="185"/>
    </row>
    <row r="45">
      <c r="B45" s="293"/>
      <c r="C45" s="185"/>
    </row>
    <row r="46">
      <c r="B46" s="293"/>
      <c r="C46" s="185"/>
    </row>
    <row r="47">
      <c r="B47" s="293"/>
      <c r="C47" s="185"/>
    </row>
    <row r="48">
      <c r="B48" s="293"/>
      <c r="C48" s="185"/>
    </row>
    <row r="49">
      <c r="B49" s="293"/>
      <c r="C49" s="185"/>
    </row>
    <row r="50">
      <c r="B50" s="293"/>
      <c r="C50" s="185"/>
    </row>
    <row r="51">
      <c r="B51" s="293"/>
      <c r="C51" s="185"/>
    </row>
    <row r="52">
      <c r="B52" s="293"/>
      <c r="C52" s="185"/>
    </row>
    <row r="53">
      <c r="B53" s="293"/>
      <c r="C53" s="185"/>
    </row>
    <row r="54">
      <c r="B54" s="293"/>
      <c r="C54" s="185"/>
    </row>
    <row r="55">
      <c r="B55" s="293"/>
      <c r="C55" s="185"/>
    </row>
    <row r="56">
      <c r="B56" s="293"/>
      <c r="C56" s="185"/>
    </row>
    <row r="57">
      <c r="B57" s="293"/>
      <c r="C57" s="185"/>
    </row>
    <row r="58">
      <c r="B58" s="293"/>
      <c r="C58" s="185"/>
    </row>
    <row r="59">
      <c r="B59" s="293"/>
      <c r="C59" s="185"/>
    </row>
    <row r="60">
      <c r="B60" s="293"/>
      <c r="C60" s="185"/>
    </row>
    <row r="61">
      <c r="B61" s="293"/>
      <c r="C61" s="185"/>
    </row>
    <row r="62">
      <c r="B62" s="293"/>
      <c r="C62" s="185"/>
    </row>
    <row r="63">
      <c r="B63" s="293"/>
      <c r="C63" s="185"/>
    </row>
    <row r="64">
      <c r="B64" s="293"/>
      <c r="C64" s="185"/>
    </row>
    <row r="65">
      <c r="B65" s="293"/>
      <c r="C65" s="185"/>
    </row>
    <row r="66">
      <c r="B66" s="293"/>
      <c r="C66" s="185"/>
    </row>
    <row r="67">
      <c r="B67" s="293"/>
      <c r="C67" s="185"/>
    </row>
    <row r="68">
      <c r="B68" s="293"/>
      <c r="C68" s="185"/>
    </row>
    <row r="69">
      <c r="B69" s="293"/>
      <c r="C69" s="185"/>
    </row>
    <row r="70">
      <c r="B70" s="293"/>
      <c r="C70" s="185"/>
    </row>
    <row r="71">
      <c r="B71" s="293"/>
      <c r="C71" s="185"/>
    </row>
    <row r="72">
      <c r="B72" s="293"/>
      <c r="C72" s="185"/>
    </row>
    <row r="73">
      <c r="B73" s="293"/>
      <c r="C73" s="185"/>
    </row>
    <row r="74">
      <c r="B74" s="293"/>
      <c r="C74" s="185"/>
    </row>
    <row r="75">
      <c r="B75" s="293"/>
      <c r="C75" s="185"/>
    </row>
    <row r="76">
      <c r="B76" s="293"/>
      <c r="C76" s="185"/>
    </row>
    <row r="77">
      <c r="B77" s="293"/>
      <c r="C77" s="185"/>
    </row>
    <row r="78">
      <c r="B78" s="293"/>
      <c r="C78" s="185"/>
    </row>
    <row r="79">
      <c r="B79" s="293"/>
      <c r="C79" s="185"/>
    </row>
    <row r="80">
      <c r="B80" s="293"/>
      <c r="C80" s="185"/>
    </row>
    <row r="81">
      <c r="B81" s="293"/>
      <c r="C81" s="185"/>
    </row>
    <row r="82">
      <c r="B82" s="293"/>
      <c r="C82" s="185"/>
    </row>
    <row r="83">
      <c r="B83" s="293"/>
      <c r="C83" s="185"/>
    </row>
    <row r="84">
      <c r="B84" s="293"/>
      <c r="C84" s="185"/>
    </row>
    <row r="85">
      <c r="B85" s="293"/>
      <c r="C85" s="185"/>
    </row>
    <row r="86">
      <c r="B86" s="293"/>
      <c r="C86" s="185"/>
    </row>
    <row r="87">
      <c r="B87" s="293"/>
      <c r="C87" s="185"/>
    </row>
    <row r="88">
      <c r="B88" s="293"/>
      <c r="C88" s="185"/>
    </row>
    <row r="89">
      <c r="B89" s="293"/>
      <c r="C89" s="185"/>
    </row>
    <row r="90">
      <c r="B90" s="293"/>
      <c r="C90" s="185"/>
    </row>
    <row r="91">
      <c r="B91" s="293"/>
      <c r="C91" s="185"/>
    </row>
    <row r="92">
      <c r="B92" s="293"/>
      <c r="C92" s="185"/>
    </row>
    <row r="93">
      <c r="B93" s="293"/>
      <c r="C93" s="185"/>
    </row>
    <row r="94">
      <c r="B94" s="293"/>
      <c r="C94" s="185"/>
    </row>
    <row r="95">
      <c r="B95" s="293"/>
      <c r="C95" s="185"/>
    </row>
    <row r="96">
      <c r="B96" s="293"/>
      <c r="C96" s="185"/>
    </row>
    <row r="97">
      <c r="B97" s="293"/>
      <c r="C97" s="185"/>
    </row>
    <row r="98">
      <c r="B98" s="293"/>
      <c r="C98" s="185"/>
    </row>
    <row r="99">
      <c r="B99" s="293"/>
      <c r="C99" s="185"/>
    </row>
    <row r="100">
      <c r="B100" s="293"/>
      <c r="C100" s="185"/>
    </row>
    <row r="101">
      <c r="B101" s="293"/>
      <c r="C101" s="185"/>
    </row>
    <row r="102">
      <c r="B102" s="293"/>
      <c r="C102" s="185"/>
    </row>
    <row r="103">
      <c r="B103" s="293"/>
      <c r="C103" s="185"/>
    </row>
    <row r="104">
      <c r="B104" s="293"/>
      <c r="C104" s="185"/>
    </row>
    <row r="105">
      <c r="B105" s="293"/>
      <c r="C105" s="185"/>
    </row>
    <row r="106">
      <c r="B106" s="293"/>
      <c r="C106" s="185"/>
    </row>
    <row r="107">
      <c r="B107" s="293"/>
      <c r="C107" s="185"/>
    </row>
    <row r="108">
      <c r="B108" s="293"/>
      <c r="C108" s="185"/>
    </row>
    <row r="109">
      <c r="B109" s="293"/>
      <c r="C109" s="185"/>
    </row>
    <row r="110">
      <c r="B110" s="293"/>
      <c r="C110" s="185"/>
    </row>
    <row r="111">
      <c r="B111" s="293"/>
      <c r="C111" s="185"/>
    </row>
    <row r="112">
      <c r="B112" s="293"/>
      <c r="C112" s="185"/>
    </row>
    <row r="113">
      <c r="B113" s="293"/>
      <c r="C113" s="185"/>
    </row>
    <row r="114">
      <c r="B114" s="293"/>
      <c r="C114" s="185"/>
    </row>
    <row r="115">
      <c r="B115" s="293"/>
      <c r="C115" s="185"/>
    </row>
    <row r="116">
      <c r="B116" s="293"/>
      <c r="C116" s="185"/>
    </row>
    <row r="117">
      <c r="B117" s="293"/>
      <c r="C117" s="185"/>
    </row>
    <row r="118">
      <c r="B118" s="293"/>
      <c r="C118" s="185"/>
    </row>
    <row r="119">
      <c r="B119" s="293"/>
      <c r="C119" s="185"/>
    </row>
    <row r="120">
      <c r="B120" s="293"/>
      <c r="C120" s="185"/>
    </row>
    <row r="121">
      <c r="B121" s="293"/>
      <c r="C121" s="185"/>
    </row>
    <row r="122">
      <c r="B122" s="293"/>
      <c r="C122" s="185"/>
    </row>
    <row r="123">
      <c r="B123" s="293"/>
      <c r="C123" s="185"/>
    </row>
    <row r="124">
      <c r="B124" s="293"/>
      <c r="C124" s="185"/>
    </row>
    <row r="125">
      <c r="B125" s="293"/>
      <c r="C125" s="185"/>
    </row>
    <row r="126">
      <c r="B126" s="293"/>
      <c r="C126" s="185"/>
    </row>
    <row r="127">
      <c r="B127" s="293"/>
      <c r="C127" s="185"/>
    </row>
    <row r="128">
      <c r="B128" s="293"/>
      <c r="C128" s="185"/>
    </row>
    <row r="129">
      <c r="B129" s="293"/>
      <c r="C129" s="185"/>
    </row>
    <row r="130">
      <c r="B130" s="293"/>
      <c r="C130" s="185"/>
    </row>
    <row r="131">
      <c r="B131" s="293"/>
      <c r="C131" s="185"/>
    </row>
    <row r="132">
      <c r="B132" s="293"/>
      <c r="C132" s="185"/>
    </row>
    <row r="133">
      <c r="B133" s="293"/>
      <c r="C133" s="185"/>
    </row>
    <row r="134">
      <c r="B134" s="293"/>
      <c r="C134" s="185"/>
    </row>
    <row r="135">
      <c r="B135" s="293"/>
      <c r="C135" s="185"/>
    </row>
    <row r="136">
      <c r="B136" s="293"/>
      <c r="C136" s="185"/>
    </row>
    <row r="137">
      <c r="B137" s="293"/>
      <c r="C137" s="185"/>
    </row>
    <row r="138">
      <c r="B138" s="293"/>
      <c r="C138" s="185"/>
    </row>
    <row r="139">
      <c r="B139" s="293"/>
      <c r="C139" s="185"/>
    </row>
    <row r="140">
      <c r="B140" s="293"/>
      <c r="C140" s="185"/>
    </row>
    <row r="141">
      <c r="B141" s="293"/>
      <c r="C141" s="185"/>
    </row>
    <row r="142">
      <c r="B142" s="293"/>
      <c r="C142" s="185"/>
    </row>
    <row r="143">
      <c r="B143" s="293"/>
      <c r="C143" s="185"/>
    </row>
    <row r="144">
      <c r="B144" s="293"/>
      <c r="C144" s="185"/>
    </row>
    <row r="145">
      <c r="B145" s="293"/>
      <c r="C145" s="185"/>
    </row>
    <row r="146">
      <c r="B146" s="293"/>
      <c r="C146" s="185"/>
    </row>
    <row r="147">
      <c r="B147" s="293"/>
      <c r="C147" s="185"/>
    </row>
    <row r="148">
      <c r="B148" s="293"/>
      <c r="C148" s="185"/>
    </row>
    <row r="149">
      <c r="B149" s="293"/>
      <c r="C149" s="185"/>
    </row>
    <row r="150">
      <c r="B150" s="293"/>
      <c r="C150" s="185"/>
    </row>
    <row r="151">
      <c r="B151" s="293"/>
      <c r="C151" s="185"/>
    </row>
    <row r="152">
      <c r="B152" s="293"/>
      <c r="C152" s="185"/>
    </row>
    <row r="153">
      <c r="B153" s="293"/>
      <c r="C153" s="185"/>
    </row>
    <row r="154">
      <c r="B154" s="293"/>
      <c r="C154" s="185"/>
    </row>
    <row r="155">
      <c r="B155" s="293"/>
      <c r="C155" s="185"/>
    </row>
    <row r="156">
      <c r="B156" s="293"/>
      <c r="C156" s="185"/>
    </row>
    <row r="157">
      <c r="B157" s="293"/>
      <c r="C157" s="185"/>
    </row>
    <row r="158">
      <c r="B158" s="293"/>
      <c r="C158" s="185"/>
    </row>
    <row r="159">
      <c r="B159" s="293"/>
      <c r="C159" s="185"/>
    </row>
    <row r="160">
      <c r="B160" s="293"/>
      <c r="C160" s="185"/>
    </row>
    <row r="161">
      <c r="B161" s="293"/>
      <c r="C161" s="185"/>
    </row>
    <row r="162">
      <c r="B162" s="293"/>
      <c r="C162" s="185"/>
    </row>
    <row r="163">
      <c r="B163" s="293"/>
      <c r="C163" s="185"/>
    </row>
    <row r="164">
      <c r="B164" s="293"/>
      <c r="C164" s="185"/>
    </row>
    <row r="165">
      <c r="B165" s="293"/>
      <c r="C165" s="185"/>
    </row>
    <row r="166">
      <c r="B166" s="293"/>
      <c r="C166" s="185"/>
    </row>
    <row r="167">
      <c r="B167" s="293"/>
      <c r="C167" s="185"/>
    </row>
    <row r="168">
      <c r="B168" s="293"/>
      <c r="C168" s="185"/>
    </row>
    <row r="169">
      <c r="B169" s="293"/>
      <c r="C169" s="185"/>
    </row>
    <row r="170">
      <c r="B170" s="293"/>
      <c r="C170" s="185"/>
    </row>
    <row r="171">
      <c r="B171" s="293"/>
      <c r="C171" s="185"/>
    </row>
    <row r="172">
      <c r="B172" s="293"/>
      <c r="C172" s="185"/>
    </row>
    <row r="173">
      <c r="B173" s="293"/>
      <c r="C173" s="185"/>
    </row>
    <row r="174">
      <c r="B174" s="293"/>
      <c r="C174" s="185"/>
    </row>
    <row r="175">
      <c r="B175" s="293"/>
      <c r="C175" s="185"/>
    </row>
    <row r="176">
      <c r="B176" s="293"/>
      <c r="C176" s="185"/>
    </row>
    <row r="177">
      <c r="B177" s="293"/>
      <c r="C177" s="185"/>
    </row>
    <row r="178">
      <c r="B178" s="293"/>
      <c r="C178" s="185"/>
    </row>
    <row r="179">
      <c r="B179" s="293"/>
      <c r="C179" s="185"/>
    </row>
    <row r="180">
      <c r="B180" s="293"/>
      <c r="C180" s="185"/>
    </row>
    <row r="181">
      <c r="B181" s="293"/>
      <c r="C181" s="185"/>
    </row>
    <row r="182">
      <c r="B182" s="293"/>
      <c r="C182" s="185"/>
    </row>
    <row r="183">
      <c r="B183" s="293"/>
      <c r="C183" s="185"/>
    </row>
    <row r="184">
      <c r="B184" s="293"/>
      <c r="C184" s="185"/>
    </row>
    <row r="185">
      <c r="B185" s="293"/>
      <c r="C185" s="185"/>
    </row>
    <row r="186">
      <c r="B186" s="293"/>
      <c r="C186" s="185"/>
    </row>
    <row r="187">
      <c r="B187" s="293"/>
      <c r="C187" s="185"/>
    </row>
    <row r="188">
      <c r="B188" s="293"/>
      <c r="C188" s="185"/>
    </row>
    <row r="189">
      <c r="B189" s="293"/>
      <c r="C189" s="185"/>
    </row>
    <row r="190">
      <c r="B190" s="293"/>
      <c r="C190" s="185"/>
    </row>
    <row r="191">
      <c r="B191" s="293"/>
      <c r="C191" s="185"/>
    </row>
    <row r="192">
      <c r="B192" s="293"/>
      <c r="C192" s="185"/>
    </row>
    <row r="193">
      <c r="B193" s="293"/>
      <c r="C193" s="185"/>
    </row>
    <row r="194">
      <c r="B194" s="293"/>
      <c r="C194" s="185"/>
    </row>
    <row r="195">
      <c r="B195" s="293"/>
      <c r="C195" s="185"/>
    </row>
    <row r="196">
      <c r="B196" s="293"/>
      <c r="C196" s="185"/>
    </row>
    <row r="197">
      <c r="B197" s="293"/>
      <c r="C197" s="185"/>
    </row>
    <row r="198">
      <c r="B198" s="293"/>
      <c r="C198" s="185"/>
    </row>
    <row r="199">
      <c r="B199" s="293"/>
      <c r="C199" s="185"/>
    </row>
    <row r="200">
      <c r="B200" s="293"/>
      <c r="C200" s="185"/>
    </row>
    <row r="201">
      <c r="B201" s="293"/>
      <c r="C201" s="185"/>
    </row>
    <row r="202">
      <c r="B202" s="293"/>
      <c r="C202" s="185"/>
    </row>
    <row r="203">
      <c r="B203" s="293"/>
      <c r="C203" s="185"/>
    </row>
    <row r="204">
      <c r="B204" s="293"/>
      <c r="C204" s="185"/>
    </row>
    <row r="205">
      <c r="B205" s="293"/>
      <c r="C205" s="185"/>
    </row>
    <row r="206">
      <c r="B206" s="293"/>
      <c r="C206" s="185"/>
    </row>
    <row r="207">
      <c r="B207" s="293"/>
      <c r="C207" s="185"/>
    </row>
    <row r="208">
      <c r="B208" s="293"/>
      <c r="C208" s="185"/>
    </row>
    <row r="209">
      <c r="B209" s="293"/>
      <c r="C209" s="185"/>
    </row>
    <row r="210">
      <c r="B210" s="293"/>
      <c r="C210" s="185"/>
    </row>
    <row r="211">
      <c r="B211" s="293"/>
      <c r="C211" s="185"/>
    </row>
    <row r="212">
      <c r="B212" s="293"/>
      <c r="C212" s="185"/>
    </row>
    <row r="213">
      <c r="B213" s="293"/>
      <c r="C213" s="185"/>
    </row>
    <row r="214">
      <c r="B214" s="293"/>
      <c r="C214" s="185"/>
    </row>
    <row r="215">
      <c r="B215" s="293"/>
      <c r="C215" s="185"/>
    </row>
    <row r="216">
      <c r="B216" s="293"/>
      <c r="C216" s="185"/>
    </row>
    <row r="217">
      <c r="B217" s="293"/>
      <c r="C217" s="185"/>
    </row>
    <row r="218">
      <c r="B218" s="293"/>
      <c r="C218" s="185"/>
    </row>
    <row r="219">
      <c r="B219" s="293"/>
      <c r="C219" s="185"/>
    </row>
    <row r="220">
      <c r="B220" s="293"/>
      <c r="C220" s="185"/>
    </row>
    <row r="221">
      <c r="B221" s="293"/>
      <c r="C221" s="185"/>
    </row>
    <row r="222">
      <c r="B222" s="293"/>
      <c r="C222" s="185"/>
    </row>
    <row r="223">
      <c r="B223" s="293"/>
      <c r="C223" s="185"/>
    </row>
    <row r="224">
      <c r="B224" s="293"/>
      <c r="C224" s="185"/>
    </row>
    <row r="225">
      <c r="B225" s="293"/>
      <c r="C225" s="185"/>
    </row>
    <row r="226">
      <c r="B226" s="293"/>
      <c r="C226" s="185"/>
    </row>
    <row r="227">
      <c r="B227" s="293"/>
      <c r="C227" s="185"/>
    </row>
    <row r="228">
      <c r="B228" s="293"/>
      <c r="C228" s="185"/>
    </row>
    <row r="229">
      <c r="B229" s="293"/>
      <c r="C229" s="185"/>
    </row>
    <row r="230">
      <c r="B230" s="293"/>
      <c r="C230" s="185"/>
    </row>
    <row r="231">
      <c r="B231" s="293"/>
      <c r="C231" s="185"/>
    </row>
    <row r="232">
      <c r="B232" s="293"/>
      <c r="C232" s="185"/>
    </row>
    <row r="233">
      <c r="B233" s="293"/>
      <c r="C233" s="185"/>
    </row>
    <row r="234">
      <c r="B234" s="293"/>
      <c r="C234" s="185"/>
    </row>
    <row r="235">
      <c r="B235" s="293"/>
      <c r="C235" s="185"/>
    </row>
    <row r="236">
      <c r="B236" s="293"/>
      <c r="C236" s="185"/>
    </row>
    <row r="237">
      <c r="B237" s="293"/>
      <c r="C237" s="185"/>
    </row>
    <row r="238">
      <c r="B238" s="293"/>
      <c r="C238" s="185"/>
    </row>
    <row r="239">
      <c r="B239" s="293"/>
      <c r="C239" s="185"/>
    </row>
    <row r="240">
      <c r="B240" s="293"/>
      <c r="C240" s="185"/>
    </row>
    <row r="241">
      <c r="B241" s="293"/>
      <c r="C241" s="185"/>
    </row>
    <row r="242">
      <c r="B242" s="293"/>
      <c r="C242" s="185"/>
    </row>
    <row r="243">
      <c r="B243" s="293"/>
      <c r="C243" s="185"/>
    </row>
    <row r="244">
      <c r="B244" s="293"/>
      <c r="C244" s="185"/>
    </row>
    <row r="245">
      <c r="B245" s="293"/>
      <c r="C245" s="185"/>
    </row>
    <row r="246">
      <c r="B246" s="293"/>
      <c r="C246" s="185"/>
    </row>
    <row r="247">
      <c r="B247" s="293"/>
      <c r="C247" s="185"/>
    </row>
    <row r="248">
      <c r="B248" s="293"/>
      <c r="C248" s="185"/>
    </row>
    <row r="249">
      <c r="B249" s="293"/>
      <c r="C249" s="185"/>
    </row>
    <row r="250">
      <c r="B250" s="293"/>
      <c r="C250" s="185"/>
    </row>
    <row r="251">
      <c r="B251" s="293"/>
      <c r="C251" s="185"/>
    </row>
    <row r="252">
      <c r="B252" s="293"/>
      <c r="C252" s="185"/>
    </row>
    <row r="253">
      <c r="B253" s="293"/>
      <c r="C253" s="185"/>
    </row>
    <row r="254">
      <c r="B254" s="293"/>
      <c r="C254" s="185"/>
    </row>
    <row r="255">
      <c r="B255" s="293"/>
      <c r="C255" s="185"/>
    </row>
    <row r="256">
      <c r="B256" s="293"/>
      <c r="C256" s="185"/>
    </row>
    <row r="257">
      <c r="B257" s="293"/>
      <c r="C257" s="185"/>
    </row>
    <row r="258">
      <c r="B258" s="293"/>
      <c r="C258" s="185"/>
    </row>
    <row r="259">
      <c r="B259" s="293"/>
      <c r="C259" s="185"/>
    </row>
    <row r="260">
      <c r="B260" s="293"/>
      <c r="C260" s="185"/>
    </row>
    <row r="261">
      <c r="B261" s="293"/>
      <c r="C261" s="185"/>
    </row>
    <row r="262">
      <c r="B262" s="293"/>
      <c r="C262" s="185"/>
    </row>
    <row r="263">
      <c r="B263" s="293"/>
      <c r="C263" s="185"/>
    </row>
    <row r="264">
      <c r="B264" s="293"/>
      <c r="C264" s="185"/>
    </row>
    <row r="265">
      <c r="B265" s="293"/>
      <c r="C265" s="185"/>
    </row>
    <row r="266">
      <c r="B266" s="293"/>
      <c r="C266" s="185"/>
    </row>
    <row r="267">
      <c r="B267" s="293"/>
      <c r="C267" s="185"/>
    </row>
    <row r="268">
      <c r="B268" s="293"/>
      <c r="C268" s="185"/>
    </row>
    <row r="269">
      <c r="B269" s="293"/>
      <c r="C269" s="185"/>
    </row>
    <row r="270">
      <c r="B270" s="293"/>
      <c r="C270" s="185"/>
    </row>
    <row r="271">
      <c r="B271" s="293"/>
      <c r="C271" s="185"/>
    </row>
    <row r="272">
      <c r="B272" s="293"/>
      <c r="C272" s="185"/>
    </row>
    <row r="273">
      <c r="B273" s="293"/>
      <c r="C273" s="185"/>
    </row>
    <row r="274">
      <c r="B274" s="293"/>
      <c r="C274" s="185"/>
    </row>
    <row r="275">
      <c r="B275" s="293"/>
      <c r="C275" s="185"/>
    </row>
    <row r="276">
      <c r="B276" s="293"/>
      <c r="C276" s="185"/>
    </row>
    <row r="277">
      <c r="B277" s="293"/>
      <c r="C277" s="185"/>
    </row>
    <row r="278">
      <c r="B278" s="293"/>
      <c r="C278" s="185"/>
    </row>
    <row r="279">
      <c r="B279" s="293"/>
      <c r="C279" s="185"/>
    </row>
    <row r="280">
      <c r="B280" s="293"/>
      <c r="C280" s="185"/>
    </row>
    <row r="281">
      <c r="B281" s="293"/>
      <c r="C281" s="185"/>
    </row>
    <row r="282">
      <c r="B282" s="293"/>
      <c r="C282" s="185"/>
    </row>
    <row r="283">
      <c r="B283" s="293"/>
      <c r="C283" s="185"/>
    </row>
    <row r="284">
      <c r="B284" s="293"/>
      <c r="C284" s="185"/>
    </row>
    <row r="285">
      <c r="B285" s="293"/>
      <c r="C285" s="185"/>
    </row>
    <row r="286">
      <c r="B286" s="293"/>
      <c r="C286" s="185"/>
    </row>
    <row r="287">
      <c r="B287" s="293"/>
      <c r="C287" s="185"/>
    </row>
    <row r="288">
      <c r="B288" s="293"/>
      <c r="C288" s="185"/>
    </row>
    <row r="289">
      <c r="B289" s="293"/>
      <c r="C289" s="185"/>
    </row>
    <row r="290">
      <c r="B290" s="293"/>
      <c r="C290" s="185"/>
    </row>
    <row r="291">
      <c r="B291" s="293"/>
      <c r="C291" s="185"/>
    </row>
    <row r="292">
      <c r="B292" s="293"/>
      <c r="C292" s="185"/>
    </row>
    <row r="293">
      <c r="B293" s="293"/>
      <c r="C293" s="185"/>
    </row>
    <row r="294">
      <c r="B294" s="293"/>
      <c r="C294" s="185"/>
    </row>
    <row r="295">
      <c r="B295" s="293"/>
      <c r="C295" s="185"/>
    </row>
    <row r="296">
      <c r="B296" s="293"/>
      <c r="C296" s="185"/>
    </row>
    <row r="297">
      <c r="B297" s="293"/>
      <c r="C297" s="185"/>
    </row>
    <row r="298">
      <c r="B298" s="293"/>
      <c r="C298" s="185"/>
    </row>
    <row r="299">
      <c r="B299" s="293"/>
      <c r="C299" s="185"/>
    </row>
    <row r="300">
      <c r="B300" s="293"/>
      <c r="C300" s="185"/>
    </row>
    <row r="301">
      <c r="B301" s="293"/>
      <c r="C301" s="185"/>
    </row>
    <row r="302">
      <c r="B302" s="293"/>
      <c r="C302" s="185"/>
    </row>
    <row r="303">
      <c r="B303" s="293"/>
      <c r="C303" s="185"/>
    </row>
    <row r="304">
      <c r="B304" s="293"/>
      <c r="C304" s="185"/>
    </row>
    <row r="305">
      <c r="B305" s="293"/>
      <c r="C305" s="185"/>
    </row>
    <row r="306">
      <c r="B306" s="293"/>
      <c r="C306" s="185"/>
    </row>
    <row r="307">
      <c r="B307" s="293"/>
      <c r="C307" s="185"/>
    </row>
    <row r="308">
      <c r="B308" s="293"/>
      <c r="C308" s="185"/>
    </row>
    <row r="309">
      <c r="B309" s="293"/>
      <c r="C309" s="185"/>
    </row>
    <row r="310">
      <c r="B310" s="293"/>
      <c r="C310" s="185"/>
    </row>
    <row r="311">
      <c r="B311" s="293"/>
      <c r="C311" s="185"/>
    </row>
    <row r="312">
      <c r="B312" s="293"/>
      <c r="C312" s="185"/>
    </row>
    <row r="313">
      <c r="B313" s="293"/>
      <c r="C313" s="185"/>
    </row>
    <row r="314">
      <c r="B314" s="293"/>
      <c r="C314" s="185"/>
    </row>
    <row r="315">
      <c r="B315" s="293"/>
      <c r="C315" s="185"/>
    </row>
    <row r="316">
      <c r="B316" s="293"/>
      <c r="C316" s="185"/>
    </row>
    <row r="317">
      <c r="B317" s="293"/>
      <c r="C317" s="185"/>
    </row>
    <row r="318">
      <c r="B318" s="293"/>
      <c r="C318" s="185"/>
    </row>
    <row r="319">
      <c r="B319" s="293"/>
      <c r="C319" s="185"/>
    </row>
    <row r="320">
      <c r="B320" s="293"/>
      <c r="C320" s="185"/>
    </row>
    <row r="321">
      <c r="B321" s="293"/>
      <c r="C321" s="185"/>
    </row>
    <row r="322">
      <c r="B322" s="293"/>
      <c r="C322" s="185"/>
    </row>
    <row r="323">
      <c r="B323" s="293"/>
      <c r="C323" s="185"/>
    </row>
    <row r="324">
      <c r="B324" s="293"/>
      <c r="C324" s="185"/>
    </row>
    <row r="325">
      <c r="B325" s="293"/>
      <c r="C325" s="185"/>
    </row>
    <row r="326">
      <c r="B326" s="293"/>
      <c r="C326" s="185"/>
    </row>
    <row r="327">
      <c r="B327" s="293"/>
      <c r="C327" s="185"/>
    </row>
    <row r="328">
      <c r="B328" s="293"/>
      <c r="C328" s="185"/>
    </row>
    <row r="329">
      <c r="B329" s="293"/>
      <c r="C329" s="185"/>
    </row>
    <row r="330">
      <c r="B330" s="293"/>
      <c r="C330" s="185"/>
    </row>
    <row r="331">
      <c r="B331" s="293"/>
      <c r="C331" s="185"/>
    </row>
    <row r="332">
      <c r="B332" s="293"/>
      <c r="C332" s="185"/>
    </row>
    <row r="333">
      <c r="B333" s="293"/>
      <c r="C333" s="185"/>
    </row>
    <row r="334">
      <c r="B334" s="293"/>
      <c r="C334" s="185"/>
    </row>
    <row r="335">
      <c r="B335" s="293"/>
      <c r="C335" s="185"/>
    </row>
    <row r="336">
      <c r="B336" s="293"/>
      <c r="C336" s="185"/>
    </row>
    <row r="337">
      <c r="B337" s="293"/>
      <c r="C337" s="185"/>
    </row>
    <row r="338">
      <c r="B338" s="293"/>
      <c r="C338" s="185"/>
    </row>
    <row r="339">
      <c r="B339" s="293"/>
      <c r="C339" s="185"/>
    </row>
    <row r="340">
      <c r="B340" s="293"/>
      <c r="C340" s="185"/>
    </row>
    <row r="341">
      <c r="B341" s="293"/>
      <c r="C341" s="185"/>
    </row>
    <row r="342">
      <c r="B342" s="293"/>
      <c r="C342" s="185"/>
    </row>
    <row r="343">
      <c r="B343" s="293"/>
      <c r="C343" s="185"/>
    </row>
    <row r="344">
      <c r="B344" s="293"/>
      <c r="C344" s="185"/>
    </row>
    <row r="345">
      <c r="B345" s="293"/>
      <c r="C345" s="185"/>
    </row>
    <row r="346">
      <c r="B346" s="293"/>
      <c r="C346" s="185"/>
    </row>
    <row r="347">
      <c r="B347" s="293"/>
      <c r="C347" s="185"/>
    </row>
    <row r="348">
      <c r="B348" s="293"/>
      <c r="C348" s="185"/>
    </row>
    <row r="349">
      <c r="B349" s="293"/>
      <c r="C349" s="185"/>
    </row>
    <row r="350">
      <c r="B350" s="293"/>
      <c r="C350" s="185"/>
    </row>
    <row r="351">
      <c r="B351" s="293"/>
      <c r="C351" s="185"/>
    </row>
    <row r="352">
      <c r="B352" s="293"/>
      <c r="C352" s="185"/>
    </row>
    <row r="353">
      <c r="B353" s="293"/>
      <c r="C353" s="185"/>
    </row>
    <row r="354">
      <c r="B354" s="293"/>
      <c r="C354" s="185"/>
    </row>
    <row r="355">
      <c r="B355" s="293"/>
      <c r="C355" s="185"/>
    </row>
    <row r="356">
      <c r="B356" s="293"/>
      <c r="C356" s="185"/>
    </row>
    <row r="357">
      <c r="B357" s="293"/>
      <c r="C357" s="185"/>
    </row>
    <row r="358">
      <c r="B358" s="293"/>
      <c r="C358" s="185"/>
    </row>
    <row r="359">
      <c r="B359" s="293"/>
      <c r="C359" s="185"/>
    </row>
    <row r="360">
      <c r="B360" s="293"/>
      <c r="C360" s="185"/>
    </row>
    <row r="361">
      <c r="B361" s="293"/>
      <c r="C361" s="185"/>
    </row>
    <row r="362">
      <c r="B362" s="293"/>
      <c r="C362" s="185"/>
    </row>
    <row r="363">
      <c r="B363" s="293"/>
      <c r="C363" s="185"/>
    </row>
    <row r="364">
      <c r="B364" s="293"/>
      <c r="C364" s="185"/>
    </row>
    <row r="365">
      <c r="B365" s="293"/>
      <c r="C365" s="185"/>
    </row>
    <row r="366">
      <c r="B366" s="293"/>
      <c r="C366" s="185"/>
    </row>
    <row r="367">
      <c r="B367" s="293"/>
      <c r="C367" s="185"/>
    </row>
    <row r="368">
      <c r="B368" s="293"/>
      <c r="C368" s="185"/>
    </row>
    <row r="369">
      <c r="B369" s="293"/>
      <c r="C369" s="185"/>
    </row>
    <row r="370">
      <c r="B370" s="293"/>
      <c r="C370" s="185"/>
    </row>
    <row r="371">
      <c r="B371" s="293"/>
      <c r="C371" s="185"/>
    </row>
    <row r="372">
      <c r="B372" s="293"/>
      <c r="C372" s="185"/>
    </row>
    <row r="373">
      <c r="B373" s="293"/>
      <c r="C373" s="185"/>
    </row>
    <row r="374">
      <c r="B374" s="293"/>
      <c r="C374" s="185"/>
    </row>
    <row r="375">
      <c r="B375" s="293"/>
      <c r="C375" s="185"/>
    </row>
    <row r="376">
      <c r="B376" s="293"/>
      <c r="C376" s="185"/>
    </row>
    <row r="377">
      <c r="B377" s="293"/>
      <c r="C377" s="185"/>
    </row>
    <row r="378">
      <c r="B378" s="293"/>
      <c r="C378" s="185"/>
    </row>
    <row r="379">
      <c r="B379" s="293"/>
      <c r="C379" s="185"/>
    </row>
    <row r="380">
      <c r="B380" s="293"/>
      <c r="C380" s="185"/>
    </row>
    <row r="381">
      <c r="B381" s="293"/>
      <c r="C381" s="185"/>
    </row>
    <row r="382">
      <c r="B382" s="293"/>
      <c r="C382" s="185"/>
    </row>
    <row r="383">
      <c r="B383" s="293"/>
      <c r="C383" s="185"/>
    </row>
    <row r="384">
      <c r="B384" s="293"/>
      <c r="C384" s="185"/>
    </row>
    <row r="385">
      <c r="B385" s="293"/>
      <c r="C385" s="185"/>
    </row>
    <row r="386">
      <c r="B386" s="293"/>
      <c r="C386" s="185"/>
    </row>
    <row r="387">
      <c r="B387" s="293"/>
      <c r="C387" s="185"/>
    </row>
    <row r="388">
      <c r="B388" s="293"/>
      <c r="C388" s="185"/>
    </row>
    <row r="389">
      <c r="B389" s="293"/>
      <c r="C389" s="185"/>
    </row>
    <row r="390">
      <c r="B390" s="293"/>
      <c r="C390" s="185"/>
    </row>
    <row r="391">
      <c r="B391" s="293"/>
      <c r="C391" s="185"/>
    </row>
    <row r="392">
      <c r="B392" s="293"/>
      <c r="C392" s="185"/>
    </row>
    <row r="393">
      <c r="B393" s="293"/>
      <c r="C393" s="185"/>
    </row>
    <row r="394">
      <c r="B394" s="293"/>
      <c r="C394" s="185"/>
    </row>
    <row r="395">
      <c r="B395" s="293"/>
      <c r="C395" s="185"/>
    </row>
    <row r="396">
      <c r="B396" s="293"/>
      <c r="C396" s="185"/>
    </row>
    <row r="397">
      <c r="B397" s="293"/>
      <c r="C397" s="185"/>
    </row>
    <row r="398">
      <c r="B398" s="293"/>
      <c r="C398" s="185"/>
    </row>
    <row r="399">
      <c r="B399" s="293"/>
      <c r="C399" s="185"/>
    </row>
    <row r="400">
      <c r="B400" s="293"/>
      <c r="C400" s="185"/>
    </row>
    <row r="401">
      <c r="B401" s="293"/>
      <c r="C401" s="185"/>
    </row>
    <row r="402">
      <c r="B402" s="293"/>
      <c r="C402" s="185"/>
    </row>
    <row r="403">
      <c r="B403" s="293"/>
      <c r="C403" s="185"/>
    </row>
    <row r="404">
      <c r="B404" s="293"/>
      <c r="C404" s="185"/>
    </row>
    <row r="405">
      <c r="B405" s="293"/>
      <c r="C405" s="185"/>
    </row>
    <row r="406">
      <c r="B406" s="293"/>
      <c r="C406" s="185"/>
    </row>
    <row r="407">
      <c r="B407" s="293"/>
      <c r="C407" s="185"/>
    </row>
    <row r="408">
      <c r="B408" s="293"/>
      <c r="C408" s="185"/>
    </row>
    <row r="409">
      <c r="B409" s="293"/>
      <c r="C409" s="185"/>
    </row>
    <row r="410">
      <c r="B410" s="293"/>
      <c r="C410" s="185"/>
    </row>
    <row r="411">
      <c r="B411" s="293"/>
      <c r="C411" s="185"/>
    </row>
    <row r="412">
      <c r="B412" s="293"/>
      <c r="C412" s="185"/>
    </row>
    <row r="413">
      <c r="B413" s="293"/>
      <c r="C413" s="185"/>
    </row>
    <row r="414">
      <c r="B414" s="293"/>
      <c r="C414" s="185"/>
    </row>
    <row r="415">
      <c r="B415" s="293"/>
      <c r="C415" s="185"/>
    </row>
    <row r="416">
      <c r="B416" s="293"/>
      <c r="C416" s="185"/>
    </row>
    <row r="417">
      <c r="B417" s="293"/>
      <c r="C417" s="185"/>
    </row>
    <row r="418">
      <c r="B418" s="293"/>
      <c r="C418" s="185"/>
    </row>
    <row r="419">
      <c r="B419" s="293"/>
      <c r="C419" s="185"/>
    </row>
    <row r="420">
      <c r="B420" s="293"/>
      <c r="C420" s="185"/>
    </row>
    <row r="421">
      <c r="B421" s="293"/>
      <c r="C421" s="185"/>
    </row>
    <row r="422">
      <c r="B422" s="293"/>
      <c r="C422" s="185"/>
    </row>
    <row r="423">
      <c r="B423" s="293"/>
      <c r="C423" s="185"/>
    </row>
    <row r="424">
      <c r="B424" s="293"/>
      <c r="C424" s="185"/>
    </row>
    <row r="425">
      <c r="B425" s="293"/>
      <c r="C425" s="185"/>
    </row>
    <row r="426">
      <c r="B426" s="293"/>
      <c r="C426" s="185"/>
    </row>
    <row r="427">
      <c r="B427" s="293"/>
      <c r="C427" s="185"/>
    </row>
    <row r="428">
      <c r="B428" s="293"/>
      <c r="C428" s="185"/>
    </row>
    <row r="429">
      <c r="B429" s="293"/>
      <c r="C429" s="185"/>
    </row>
    <row r="430">
      <c r="B430" s="293"/>
      <c r="C430" s="185"/>
    </row>
    <row r="431">
      <c r="B431" s="293"/>
      <c r="C431" s="185"/>
    </row>
    <row r="432">
      <c r="B432" s="293"/>
      <c r="C432" s="185"/>
    </row>
    <row r="433">
      <c r="B433" s="293"/>
      <c r="C433" s="185"/>
    </row>
    <row r="434">
      <c r="B434" s="293"/>
      <c r="C434" s="185"/>
    </row>
    <row r="435">
      <c r="B435" s="293"/>
      <c r="C435" s="185"/>
    </row>
    <row r="436">
      <c r="B436" s="293"/>
      <c r="C436" s="185"/>
    </row>
    <row r="437">
      <c r="B437" s="293"/>
      <c r="C437" s="185"/>
    </row>
    <row r="438">
      <c r="B438" s="293"/>
      <c r="C438" s="185"/>
    </row>
    <row r="439">
      <c r="B439" s="293"/>
      <c r="C439" s="185"/>
    </row>
    <row r="440">
      <c r="B440" s="293"/>
      <c r="C440" s="185"/>
    </row>
    <row r="441">
      <c r="B441" s="293"/>
      <c r="C441" s="185"/>
    </row>
    <row r="442">
      <c r="B442" s="293"/>
      <c r="C442" s="185"/>
    </row>
    <row r="443">
      <c r="B443" s="293"/>
      <c r="C443" s="185"/>
    </row>
    <row r="444">
      <c r="B444" s="293"/>
      <c r="C444" s="185"/>
    </row>
    <row r="445">
      <c r="B445" s="293"/>
      <c r="C445" s="185"/>
    </row>
    <row r="446">
      <c r="B446" s="293"/>
      <c r="C446" s="185"/>
    </row>
    <row r="447">
      <c r="B447" s="293"/>
      <c r="C447" s="185"/>
    </row>
    <row r="448">
      <c r="B448" s="293"/>
      <c r="C448" s="185"/>
    </row>
    <row r="449">
      <c r="B449" s="293"/>
      <c r="C449" s="185"/>
    </row>
    <row r="450">
      <c r="B450" s="293"/>
      <c r="C450" s="185"/>
    </row>
    <row r="451">
      <c r="B451" s="293"/>
      <c r="C451" s="185"/>
    </row>
    <row r="452">
      <c r="B452" s="293"/>
      <c r="C452" s="185"/>
    </row>
    <row r="453">
      <c r="B453" s="293"/>
      <c r="C453" s="185"/>
    </row>
    <row r="454">
      <c r="B454" s="293"/>
      <c r="C454" s="185"/>
    </row>
    <row r="455">
      <c r="B455" s="293"/>
      <c r="C455" s="185"/>
    </row>
    <row r="456">
      <c r="B456" s="293"/>
      <c r="C456" s="185"/>
    </row>
    <row r="457">
      <c r="B457" s="293"/>
      <c r="C457" s="185"/>
    </row>
    <row r="458">
      <c r="B458" s="293"/>
      <c r="C458" s="185"/>
    </row>
    <row r="459">
      <c r="B459" s="293"/>
      <c r="C459" s="185"/>
    </row>
    <row r="460">
      <c r="B460" s="293"/>
      <c r="C460" s="185"/>
    </row>
    <row r="461">
      <c r="B461" s="293"/>
      <c r="C461" s="185"/>
    </row>
    <row r="462">
      <c r="B462" s="293"/>
      <c r="C462" s="185"/>
    </row>
    <row r="463">
      <c r="B463" s="293"/>
      <c r="C463" s="185"/>
    </row>
    <row r="464">
      <c r="B464" s="293"/>
      <c r="C464" s="185"/>
    </row>
    <row r="465">
      <c r="B465" s="293"/>
      <c r="C465" s="185"/>
    </row>
    <row r="466">
      <c r="B466" s="293"/>
      <c r="C466" s="185"/>
    </row>
    <row r="467">
      <c r="B467" s="293"/>
      <c r="C467" s="185"/>
    </row>
    <row r="468">
      <c r="B468" s="293"/>
      <c r="C468" s="185"/>
    </row>
    <row r="469">
      <c r="B469" s="293"/>
      <c r="C469" s="185"/>
    </row>
    <row r="470">
      <c r="B470" s="293"/>
      <c r="C470" s="185"/>
    </row>
    <row r="471">
      <c r="B471" s="293"/>
      <c r="C471" s="185"/>
    </row>
    <row r="472">
      <c r="B472" s="293"/>
      <c r="C472" s="185"/>
    </row>
    <row r="473">
      <c r="B473" s="293"/>
      <c r="C473" s="185"/>
    </row>
    <row r="474">
      <c r="B474" s="293"/>
      <c r="C474" s="185"/>
    </row>
    <row r="475">
      <c r="B475" s="293"/>
      <c r="C475" s="185"/>
    </row>
    <row r="476">
      <c r="B476" s="293"/>
      <c r="C476" s="185"/>
    </row>
    <row r="477">
      <c r="B477" s="293"/>
      <c r="C477" s="185"/>
    </row>
    <row r="478">
      <c r="B478" s="293"/>
      <c r="C478" s="185"/>
    </row>
    <row r="479">
      <c r="B479" s="293"/>
      <c r="C479" s="185"/>
    </row>
    <row r="480">
      <c r="B480" s="293"/>
      <c r="C480" s="185"/>
    </row>
    <row r="481">
      <c r="B481" s="293"/>
      <c r="C481" s="185"/>
    </row>
    <row r="482">
      <c r="B482" s="293"/>
      <c r="C482" s="185"/>
    </row>
    <row r="483">
      <c r="B483" s="293"/>
      <c r="C483" s="185"/>
    </row>
    <row r="484">
      <c r="B484" s="293"/>
      <c r="C484" s="185"/>
    </row>
    <row r="485">
      <c r="B485" s="293"/>
      <c r="C485" s="185"/>
    </row>
    <row r="486">
      <c r="B486" s="293"/>
      <c r="C486" s="185"/>
    </row>
    <row r="487">
      <c r="B487" s="293"/>
      <c r="C487" s="185"/>
    </row>
    <row r="488">
      <c r="B488" s="293"/>
      <c r="C488" s="185"/>
    </row>
    <row r="489">
      <c r="B489" s="293"/>
      <c r="C489" s="185"/>
    </row>
    <row r="490">
      <c r="B490" s="293"/>
      <c r="C490" s="185"/>
    </row>
    <row r="491">
      <c r="B491" s="293"/>
      <c r="C491" s="185"/>
    </row>
    <row r="492">
      <c r="B492" s="293"/>
      <c r="C492" s="185"/>
    </row>
    <row r="493">
      <c r="B493" s="293"/>
      <c r="C493" s="185"/>
    </row>
    <row r="494">
      <c r="B494" s="293"/>
      <c r="C494" s="185"/>
    </row>
    <row r="495">
      <c r="B495" s="293"/>
      <c r="C495" s="185"/>
    </row>
    <row r="496">
      <c r="B496" s="293"/>
      <c r="C496" s="185"/>
    </row>
    <row r="497">
      <c r="B497" s="293"/>
      <c r="C497" s="185"/>
    </row>
    <row r="498">
      <c r="B498" s="293"/>
      <c r="C498" s="185"/>
    </row>
    <row r="499">
      <c r="B499" s="293"/>
      <c r="C499" s="185"/>
    </row>
    <row r="500">
      <c r="B500" s="293"/>
      <c r="C500" s="185"/>
    </row>
    <row r="501">
      <c r="B501" s="293"/>
      <c r="C501" s="185"/>
    </row>
    <row r="502">
      <c r="B502" s="293"/>
      <c r="C502" s="185"/>
    </row>
    <row r="503">
      <c r="B503" s="293"/>
      <c r="C503" s="185"/>
    </row>
    <row r="504">
      <c r="B504" s="293"/>
      <c r="C504" s="185"/>
    </row>
    <row r="505">
      <c r="B505" s="293"/>
      <c r="C505" s="185"/>
    </row>
    <row r="506">
      <c r="B506" s="293"/>
      <c r="C506" s="185"/>
    </row>
    <row r="507">
      <c r="B507" s="293"/>
      <c r="C507" s="185"/>
    </row>
    <row r="508">
      <c r="B508" s="293"/>
      <c r="C508" s="185"/>
    </row>
    <row r="509">
      <c r="B509" s="293"/>
      <c r="C509" s="185"/>
    </row>
    <row r="510">
      <c r="B510" s="293"/>
      <c r="C510" s="185"/>
    </row>
    <row r="511">
      <c r="B511" s="293"/>
      <c r="C511" s="185"/>
    </row>
    <row r="512">
      <c r="B512" s="293"/>
      <c r="C512" s="185"/>
    </row>
    <row r="513">
      <c r="B513" s="293"/>
      <c r="C513" s="185"/>
    </row>
    <row r="514">
      <c r="B514" s="293"/>
      <c r="C514" s="185"/>
    </row>
    <row r="515">
      <c r="B515" s="293"/>
      <c r="C515" s="185"/>
    </row>
    <row r="516">
      <c r="B516" s="293"/>
      <c r="C516" s="185"/>
    </row>
    <row r="517">
      <c r="B517" s="293"/>
      <c r="C517" s="185"/>
    </row>
    <row r="518">
      <c r="B518" s="293"/>
      <c r="C518" s="185"/>
    </row>
    <row r="519">
      <c r="B519" s="293"/>
      <c r="C519" s="185"/>
    </row>
    <row r="520">
      <c r="B520" s="293"/>
      <c r="C520" s="185"/>
    </row>
    <row r="521">
      <c r="B521" s="293"/>
      <c r="C521" s="185"/>
    </row>
    <row r="522">
      <c r="B522" s="293"/>
      <c r="C522" s="185"/>
    </row>
    <row r="523">
      <c r="B523" s="293"/>
      <c r="C523" s="185"/>
    </row>
    <row r="524">
      <c r="B524" s="293"/>
      <c r="C524" s="185"/>
    </row>
    <row r="525">
      <c r="B525" s="293"/>
      <c r="C525" s="185"/>
    </row>
    <row r="526">
      <c r="B526" s="293"/>
      <c r="C526" s="185"/>
    </row>
    <row r="527">
      <c r="B527" s="293"/>
      <c r="C527" s="185"/>
    </row>
    <row r="528">
      <c r="B528" s="293"/>
      <c r="C528" s="185"/>
    </row>
    <row r="529">
      <c r="B529" s="293"/>
      <c r="C529" s="185"/>
    </row>
    <row r="530">
      <c r="B530" s="293"/>
      <c r="C530" s="185"/>
    </row>
    <row r="531">
      <c r="B531" s="293"/>
      <c r="C531" s="185"/>
    </row>
    <row r="532">
      <c r="B532" s="293"/>
      <c r="C532" s="185"/>
    </row>
    <row r="533">
      <c r="B533" s="293"/>
      <c r="C533" s="185"/>
    </row>
    <row r="534">
      <c r="B534" s="293"/>
      <c r="C534" s="185"/>
    </row>
    <row r="535">
      <c r="B535" s="293"/>
      <c r="C535" s="185"/>
    </row>
    <row r="536">
      <c r="B536" s="293"/>
      <c r="C536" s="185"/>
    </row>
    <row r="537">
      <c r="B537" s="293"/>
      <c r="C537" s="185"/>
    </row>
    <row r="538">
      <c r="B538" s="293"/>
      <c r="C538" s="185"/>
    </row>
    <row r="539">
      <c r="B539" s="293"/>
      <c r="C539" s="185"/>
    </row>
    <row r="540">
      <c r="B540" s="293"/>
      <c r="C540" s="185"/>
    </row>
    <row r="541">
      <c r="B541" s="293"/>
      <c r="C541" s="185"/>
    </row>
    <row r="542">
      <c r="B542" s="293"/>
      <c r="C542" s="185"/>
    </row>
    <row r="543">
      <c r="B543" s="293"/>
      <c r="C543" s="185"/>
    </row>
    <row r="544">
      <c r="B544" s="293"/>
      <c r="C544" s="185"/>
    </row>
    <row r="545">
      <c r="B545" s="293"/>
      <c r="C545" s="185"/>
    </row>
    <row r="546">
      <c r="B546" s="293"/>
      <c r="C546" s="185"/>
    </row>
    <row r="547">
      <c r="B547" s="293"/>
      <c r="C547" s="185"/>
    </row>
    <row r="548">
      <c r="B548" s="293"/>
      <c r="C548" s="185"/>
    </row>
    <row r="549">
      <c r="B549" s="293"/>
      <c r="C549" s="185"/>
    </row>
    <row r="550">
      <c r="B550" s="293"/>
      <c r="C550" s="185"/>
    </row>
    <row r="551">
      <c r="B551" s="293"/>
      <c r="C551" s="185"/>
    </row>
    <row r="552">
      <c r="B552" s="293"/>
      <c r="C552" s="185"/>
    </row>
    <row r="553">
      <c r="B553" s="293"/>
      <c r="C553" s="185"/>
    </row>
    <row r="554">
      <c r="B554" s="293"/>
      <c r="C554" s="185"/>
    </row>
    <row r="555">
      <c r="B555" s="293"/>
      <c r="C555" s="185"/>
    </row>
    <row r="556">
      <c r="B556" s="293"/>
      <c r="C556" s="185"/>
    </row>
    <row r="557">
      <c r="B557" s="293"/>
      <c r="C557" s="185"/>
    </row>
    <row r="558">
      <c r="B558" s="293"/>
      <c r="C558" s="185"/>
    </row>
    <row r="559">
      <c r="B559" s="293"/>
      <c r="C559" s="185"/>
    </row>
    <row r="560">
      <c r="B560" s="293"/>
      <c r="C560" s="185"/>
    </row>
    <row r="561">
      <c r="B561" s="293"/>
      <c r="C561" s="185"/>
    </row>
    <row r="562">
      <c r="B562" s="293"/>
      <c r="C562" s="185"/>
    </row>
    <row r="563">
      <c r="B563" s="293"/>
      <c r="C563" s="185"/>
    </row>
    <row r="564">
      <c r="B564" s="293"/>
      <c r="C564" s="185"/>
    </row>
    <row r="565">
      <c r="B565" s="293"/>
      <c r="C565" s="185"/>
    </row>
    <row r="566">
      <c r="B566" s="293"/>
      <c r="C566" s="185"/>
    </row>
    <row r="567">
      <c r="B567" s="293"/>
      <c r="C567" s="185"/>
    </row>
    <row r="568">
      <c r="B568" s="293"/>
      <c r="C568" s="185"/>
    </row>
    <row r="569">
      <c r="B569" s="293"/>
      <c r="C569" s="185"/>
    </row>
    <row r="570">
      <c r="B570" s="293"/>
      <c r="C570" s="185"/>
    </row>
    <row r="571">
      <c r="B571" s="293"/>
      <c r="C571" s="185"/>
    </row>
    <row r="572">
      <c r="B572" s="293"/>
      <c r="C572" s="185"/>
    </row>
    <row r="573">
      <c r="B573" s="293"/>
      <c r="C573" s="185"/>
    </row>
    <row r="574">
      <c r="B574" s="293"/>
      <c r="C574" s="185"/>
    </row>
    <row r="575">
      <c r="B575" s="293"/>
      <c r="C575" s="185"/>
    </row>
    <row r="576">
      <c r="B576" s="293"/>
      <c r="C576" s="185"/>
    </row>
    <row r="577">
      <c r="B577" s="293"/>
      <c r="C577" s="185"/>
    </row>
    <row r="578">
      <c r="B578" s="293"/>
      <c r="C578" s="185"/>
    </row>
    <row r="579">
      <c r="B579" s="293"/>
      <c r="C579" s="185"/>
    </row>
    <row r="580">
      <c r="B580" s="293"/>
      <c r="C580" s="185"/>
    </row>
    <row r="581">
      <c r="B581" s="293"/>
      <c r="C581" s="185"/>
    </row>
    <row r="582">
      <c r="B582" s="293"/>
      <c r="C582" s="185"/>
    </row>
    <row r="583">
      <c r="B583" s="293"/>
      <c r="C583" s="185"/>
    </row>
    <row r="584">
      <c r="B584" s="293"/>
      <c r="C584" s="185"/>
    </row>
    <row r="585">
      <c r="B585" s="293"/>
      <c r="C585" s="185"/>
    </row>
    <row r="586">
      <c r="B586" s="293"/>
      <c r="C586" s="185"/>
    </row>
    <row r="587">
      <c r="B587" s="293"/>
      <c r="C587" s="185"/>
    </row>
    <row r="588">
      <c r="B588" s="293"/>
      <c r="C588" s="185"/>
    </row>
    <row r="589">
      <c r="B589" s="293"/>
      <c r="C589" s="185"/>
    </row>
    <row r="590">
      <c r="B590" s="293"/>
      <c r="C590" s="185"/>
    </row>
    <row r="591">
      <c r="B591" s="293"/>
      <c r="C591" s="185"/>
    </row>
    <row r="592">
      <c r="B592" s="293"/>
      <c r="C592" s="185"/>
    </row>
    <row r="593">
      <c r="B593" s="293"/>
      <c r="C593" s="185"/>
    </row>
    <row r="594">
      <c r="B594" s="293"/>
      <c r="C594" s="185"/>
    </row>
    <row r="595">
      <c r="B595" s="293"/>
      <c r="C595" s="185"/>
    </row>
    <row r="596">
      <c r="B596" s="293"/>
      <c r="C596" s="185"/>
    </row>
    <row r="597">
      <c r="B597" s="293"/>
      <c r="C597" s="185"/>
    </row>
    <row r="598">
      <c r="B598" s="293"/>
      <c r="C598" s="185"/>
    </row>
    <row r="599">
      <c r="B599" s="293"/>
      <c r="C599" s="185"/>
    </row>
    <row r="600">
      <c r="B600" s="293"/>
      <c r="C600" s="185"/>
    </row>
    <row r="601">
      <c r="B601" s="293"/>
      <c r="C601" s="185"/>
    </row>
    <row r="602">
      <c r="B602" s="293"/>
      <c r="C602" s="185"/>
    </row>
    <row r="603">
      <c r="B603" s="293"/>
      <c r="C603" s="185"/>
    </row>
    <row r="604">
      <c r="B604" s="293"/>
      <c r="C604" s="185"/>
    </row>
    <row r="605">
      <c r="B605" s="293"/>
      <c r="C605" s="185"/>
    </row>
    <row r="606">
      <c r="B606" s="293"/>
      <c r="C606" s="185"/>
    </row>
    <row r="607">
      <c r="B607" s="293"/>
      <c r="C607" s="185"/>
    </row>
    <row r="608">
      <c r="B608" s="293"/>
      <c r="C608" s="185"/>
    </row>
    <row r="609">
      <c r="B609" s="293"/>
      <c r="C609" s="185"/>
    </row>
    <row r="610">
      <c r="B610" s="293"/>
      <c r="C610" s="185"/>
    </row>
    <row r="611">
      <c r="B611" s="293"/>
      <c r="C611" s="185"/>
    </row>
    <row r="612">
      <c r="B612" s="293"/>
      <c r="C612" s="185"/>
    </row>
    <row r="613">
      <c r="B613" s="293"/>
      <c r="C613" s="185"/>
    </row>
    <row r="614">
      <c r="B614" s="293"/>
      <c r="C614" s="185"/>
    </row>
    <row r="615">
      <c r="B615" s="293"/>
      <c r="C615" s="185"/>
    </row>
    <row r="616">
      <c r="B616" s="293"/>
      <c r="C616" s="185"/>
    </row>
    <row r="617">
      <c r="B617" s="293"/>
      <c r="C617" s="185"/>
    </row>
    <row r="618">
      <c r="B618" s="293"/>
      <c r="C618" s="185"/>
    </row>
    <row r="619">
      <c r="B619" s="293"/>
      <c r="C619" s="185"/>
    </row>
    <row r="620">
      <c r="B620" s="293"/>
      <c r="C620" s="185"/>
    </row>
    <row r="621">
      <c r="B621" s="293"/>
      <c r="C621" s="185"/>
    </row>
    <row r="622">
      <c r="B622" s="293"/>
      <c r="C622" s="185"/>
    </row>
    <row r="623">
      <c r="B623" s="293"/>
      <c r="C623" s="185"/>
    </row>
    <row r="624">
      <c r="B624" s="293"/>
      <c r="C624" s="185"/>
    </row>
    <row r="625">
      <c r="B625" s="293"/>
      <c r="C625" s="185"/>
    </row>
    <row r="626">
      <c r="B626" s="293"/>
      <c r="C626" s="185"/>
    </row>
    <row r="627">
      <c r="B627" s="293"/>
      <c r="C627" s="185"/>
    </row>
    <row r="628">
      <c r="B628" s="293"/>
      <c r="C628" s="185"/>
    </row>
    <row r="629">
      <c r="B629" s="293"/>
      <c r="C629" s="185"/>
    </row>
    <row r="630">
      <c r="B630" s="293"/>
      <c r="C630" s="185"/>
    </row>
    <row r="631">
      <c r="B631" s="293"/>
      <c r="C631" s="185"/>
    </row>
    <row r="632">
      <c r="B632" s="293"/>
      <c r="C632" s="185"/>
    </row>
    <row r="633">
      <c r="B633" s="293"/>
      <c r="C633" s="185"/>
    </row>
    <row r="634">
      <c r="B634" s="293"/>
      <c r="C634" s="185"/>
    </row>
    <row r="635">
      <c r="B635" s="293"/>
      <c r="C635" s="185"/>
    </row>
    <row r="636">
      <c r="B636" s="293"/>
      <c r="C636" s="185"/>
    </row>
    <row r="637">
      <c r="B637" s="293"/>
      <c r="C637" s="185"/>
    </row>
    <row r="638">
      <c r="B638" s="293"/>
      <c r="C638" s="185"/>
    </row>
    <row r="639">
      <c r="B639" s="293"/>
      <c r="C639" s="185"/>
    </row>
    <row r="640">
      <c r="B640" s="293"/>
      <c r="C640" s="185"/>
    </row>
    <row r="641">
      <c r="B641" s="293"/>
      <c r="C641" s="185"/>
    </row>
    <row r="642">
      <c r="B642" s="293"/>
      <c r="C642" s="185"/>
    </row>
    <row r="643">
      <c r="B643" s="293"/>
      <c r="C643" s="185"/>
    </row>
    <row r="644">
      <c r="B644" s="293"/>
      <c r="C644" s="185"/>
    </row>
    <row r="645">
      <c r="B645" s="293"/>
      <c r="C645" s="185"/>
    </row>
    <row r="646">
      <c r="B646" s="293"/>
      <c r="C646" s="185"/>
    </row>
    <row r="647">
      <c r="B647" s="293"/>
      <c r="C647" s="185"/>
    </row>
    <row r="648">
      <c r="B648" s="293"/>
      <c r="C648" s="185"/>
    </row>
    <row r="649">
      <c r="B649" s="293"/>
      <c r="C649" s="185"/>
    </row>
    <row r="650">
      <c r="B650" s="293"/>
      <c r="C650" s="185"/>
    </row>
    <row r="651">
      <c r="B651" s="293"/>
      <c r="C651" s="185"/>
    </row>
    <row r="652">
      <c r="B652" s="293"/>
      <c r="C652" s="185"/>
    </row>
    <row r="653">
      <c r="B653" s="293"/>
      <c r="C653" s="185"/>
    </row>
    <row r="654">
      <c r="B654" s="293"/>
      <c r="C654" s="185"/>
    </row>
    <row r="655">
      <c r="B655" s="293"/>
      <c r="C655" s="185"/>
    </row>
    <row r="656">
      <c r="B656" s="293"/>
      <c r="C656" s="185"/>
    </row>
    <row r="657">
      <c r="B657" s="293"/>
      <c r="C657" s="185"/>
    </row>
    <row r="658">
      <c r="B658" s="293"/>
      <c r="C658" s="185"/>
    </row>
    <row r="659">
      <c r="B659" s="293"/>
      <c r="C659" s="185"/>
    </row>
    <row r="660">
      <c r="B660" s="293"/>
      <c r="C660" s="185"/>
    </row>
    <row r="661">
      <c r="B661" s="293"/>
      <c r="C661" s="185"/>
    </row>
    <row r="662">
      <c r="B662" s="293"/>
      <c r="C662" s="185"/>
    </row>
    <row r="663">
      <c r="B663" s="293"/>
      <c r="C663" s="185"/>
    </row>
    <row r="664">
      <c r="B664" s="293"/>
      <c r="C664" s="185"/>
    </row>
    <row r="665">
      <c r="B665" s="293"/>
      <c r="C665" s="185"/>
    </row>
    <row r="666">
      <c r="B666" s="293"/>
      <c r="C666" s="185"/>
    </row>
    <row r="667">
      <c r="B667" s="293"/>
      <c r="C667" s="185"/>
    </row>
    <row r="668">
      <c r="B668" s="293"/>
      <c r="C668" s="185"/>
    </row>
    <row r="669">
      <c r="B669" s="293"/>
      <c r="C669" s="185"/>
    </row>
    <row r="670">
      <c r="B670" s="293"/>
      <c r="C670" s="185"/>
    </row>
    <row r="671">
      <c r="B671" s="293"/>
      <c r="C671" s="185"/>
    </row>
    <row r="672">
      <c r="B672" s="293"/>
      <c r="C672" s="185"/>
    </row>
    <row r="673">
      <c r="B673" s="293"/>
      <c r="C673" s="185"/>
    </row>
    <row r="674">
      <c r="B674" s="293"/>
      <c r="C674" s="185"/>
    </row>
    <row r="675">
      <c r="B675" s="293"/>
      <c r="C675" s="185"/>
    </row>
    <row r="676">
      <c r="B676" s="293"/>
      <c r="C676" s="185"/>
    </row>
    <row r="677">
      <c r="B677" s="293"/>
      <c r="C677" s="185"/>
    </row>
    <row r="678">
      <c r="B678" s="293"/>
      <c r="C678" s="185"/>
    </row>
    <row r="679">
      <c r="B679" s="293"/>
      <c r="C679" s="185"/>
    </row>
    <row r="680">
      <c r="B680" s="293"/>
      <c r="C680" s="185"/>
    </row>
    <row r="681">
      <c r="B681" s="293"/>
      <c r="C681" s="185"/>
    </row>
    <row r="682">
      <c r="B682" s="293"/>
      <c r="C682" s="185"/>
    </row>
    <row r="683">
      <c r="B683" s="293"/>
      <c r="C683" s="185"/>
    </row>
    <row r="684">
      <c r="B684" s="293"/>
      <c r="C684" s="185"/>
    </row>
    <row r="685">
      <c r="B685" s="293"/>
      <c r="C685" s="185"/>
    </row>
    <row r="686">
      <c r="B686" s="293"/>
      <c r="C686" s="185"/>
    </row>
    <row r="687">
      <c r="B687" s="293"/>
      <c r="C687" s="185"/>
    </row>
    <row r="688">
      <c r="B688" s="293"/>
      <c r="C688" s="185"/>
    </row>
    <row r="689">
      <c r="B689" s="293"/>
      <c r="C689" s="185"/>
    </row>
    <row r="690">
      <c r="B690" s="293"/>
      <c r="C690" s="185"/>
    </row>
    <row r="691">
      <c r="B691" s="293"/>
      <c r="C691" s="185"/>
    </row>
    <row r="692">
      <c r="B692" s="293"/>
      <c r="C692" s="185"/>
    </row>
    <row r="693">
      <c r="B693" s="293"/>
      <c r="C693" s="185"/>
    </row>
    <row r="694">
      <c r="B694" s="293"/>
      <c r="C694" s="185"/>
    </row>
    <row r="695">
      <c r="B695" s="293"/>
      <c r="C695" s="185"/>
    </row>
    <row r="696">
      <c r="B696" s="293"/>
      <c r="C696" s="185"/>
    </row>
    <row r="697">
      <c r="B697" s="293"/>
      <c r="C697" s="185"/>
    </row>
    <row r="698">
      <c r="B698" s="293"/>
      <c r="C698" s="185"/>
    </row>
    <row r="699">
      <c r="B699" s="293"/>
      <c r="C699" s="185"/>
    </row>
    <row r="700">
      <c r="B700" s="293"/>
      <c r="C700" s="185"/>
    </row>
    <row r="701">
      <c r="B701" s="293"/>
      <c r="C701" s="185"/>
    </row>
    <row r="702">
      <c r="B702" s="293"/>
      <c r="C702" s="185"/>
    </row>
    <row r="703">
      <c r="B703" s="293"/>
      <c r="C703" s="185"/>
    </row>
    <row r="704">
      <c r="B704" s="293"/>
      <c r="C704" s="185"/>
    </row>
    <row r="705">
      <c r="B705" s="293"/>
      <c r="C705" s="185"/>
    </row>
    <row r="706">
      <c r="B706" s="293"/>
      <c r="C706" s="185"/>
    </row>
    <row r="707">
      <c r="B707" s="293"/>
      <c r="C707" s="185"/>
    </row>
    <row r="708">
      <c r="B708" s="293"/>
      <c r="C708" s="185"/>
    </row>
    <row r="709">
      <c r="B709" s="293"/>
      <c r="C709" s="185"/>
    </row>
    <row r="710">
      <c r="B710" s="293"/>
      <c r="C710" s="185"/>
    </row>
    <row r="711">
      <c r="B711" s="293"/>
      <c r="C711" s="185"/>
    </row>
    <row r="712">
      <c r="B712" s="293"/>
      <c r="C712" s="185"/>
    </row>
    <row r="713">
      <c r="B713" s="293"/>
      <c r="C713" s="185"/>
    </row>
    <row r="714">
      <c r="B714" s="293"/>
      <c r="C714" s="185"/>
    </row>
    <row r="715">
      <c r="B715" s="293"/>
      <c r="C715" s="185"/>
    </row>
    <row r="716">
      <c r="B716" s="293"/>
      <c r="C716" s="185"/>
    </row>
    <row r="717">
      <c r="B717" s="293"/>
      <c r="C717" s="185"/>
    </row>
    <row r="718">
      <c r="B718" s="293"/>
      <c r="C718" s="185"/>
    </row>
    <row r="719">
      <c r="B719" s="293"/>
      <c r="C719" s="185"/>
    </row>
    <row r="720">
      <c r="B720" s="293"/>
      <c r="C720" s="185"/>
    </row>
    <row r="721">
      <c r="B721" s="293"/>
      <c r="C721" s="185"/>
    </row>
    <row r="722">
      <c r="B722" s="293"/>
      <c r="C722" s="185"/>
    </row>
    <row r="723">
      <c r="B723" s="293"/>
      <c r="C723" s="185"/>
    </row>
    <row r="724">
      <c r="B724" s="293"/>
      <c r="C724" s="185"/>
    </row>
    <row r="725">
      <c r="B725" s="293"/>
      <c r="C725" s="185"/>
    </row>
    <row r="726">
      <c r="B726" s="293"/>
      <c r="C726" s="185"/>
    </row>
    <row r="727">
      <c r="B727" s="293"/>
      <c r="C727" s="185"/>
    </row>
    <row r="728">
      <c r="B728" s="293"/>
      <c r="C728" s="185"/>
    </row>
    <row r="729">
      <c r="B729" s="293"/>
      <c r="C729" s="185"/>
    </row>
    <row r="730">
      <c r="B730" s="293"/>
      <c r="C730" s="185"/>
    </row>
    <row r="731">
      <c r="B731" s="293"/>
      <c r="C731" s="185"/>
    </row>
    <row r="732">
      <c r="B732" s="293"/>
      <c r="C732" s="185"/>
    </row>
    <row r="733">
      <c r="B733" s="293"/>
      <c r="C733" s="185"/>
    </row>
    <row r="734">
      <c r="B734" s="293"/>
      <c r="C734" s="185"/>
    </row>
    <row r="735">
      <c r="B735" s="293"/>
      <c r="C735" s="185"/>
    </row>
    <row r="736">
      <c r="B736" s="293"/>
      <c r="C736" s="185"/>
    </row>
    <row r="737">
      <c r="B737" s="293"/>
      <c r="C737" s="185"/>
    </row>
    <row r="738">
      <c r="B738" s="293"/>
      <c r="C738" s="185"/>
    </row>
    <row r="739">
      <c r="B739" s="293"/>
      <c r="C739" s="185"/>
    </row>
    <row r="740">
      <c r="B740" s="293"/>
      <c r="C740" s="185"/>
    </row>
    <row r="741">
      <c r="B741" s="293"/>
      <c r="C741" s="185"/>
    </row>
    <row r="742">
      <c r="B742" s="293"/>
      <c r="C742" s="185"/>
    </row>
    <row r="743">
      <c r="B743" s="293"/>
      <c r="C743" s="185"/>
    </row>
    <row r="744">
      <c r="B744" s="293"/>
      <c r="C744" s="185"/>
    </row>
    <row r="745">
      <c r="B745" s="293"/>
      <c r="C745" s="185"/>
    </row>
    <row r="746">
      <c r="B746" s="293"/>
      <c r="C746" s="185"/>
    </row>
    <row r="747">
      <c r="B747" s="293"/>
      <c r="C747" s="185"/>
    </row>
    <row r="748">
      <c r="B748" s="293"/>
      <c r="C748" s="185"/>
    </row>
    <row r="749">
      <c r="B749" s="293"/>
      <c r="C749" s="185"/>
    </row>
    <row r="750">
      <c r="B750" s="293"/>
      <c r="C750" s="185"/>
    </row>
    <row r="751">
      <c r="B751" s="293"/>
      <c r="C751" s="185"/>
    </row>
    <row r="752">
      <c r="B752" s="293"/>
      <c r="C752" s="185"/>
    </row>
    <row r="753">
      <c r="B753" s="293"/>
      <c r="C753" s="185"/>
    </row>
    <row r="754">
      <c r="B754" s="293"/>
      <c r="C754" s="185"/>
    </row>
    <row r="755">
      <c r="B755" s="293"/>
      <c r="C755" s="185"/>
    </row>
    <row r="756">
      <c r="B756" s="293"/>
      <c r="C756" s="185"/>
    </row>
    <row r="757">
      <c r="B757" s="293"/>
      <c r="C757" s="185"/>
    </row>
    <row r="758">
      <c r="B758" s="293"/>
      <c r="C758" s="185"/>
    </row>
    <row r="759">
      <c r="B759" s="293"/>
      <c r="C759" s="185"/>
    </row>
    <row r="760">
      <c r="B760" s="293"/>
      <c r="C760" s="185"/>
    </row>
    <row r="761">
      <c r="B761" s="293"/>
      <c r="C761" s="185"/>
    </row>
    <row r="762">
      <c r="B762" s="293"/>
      <c r="C762" s="185"/>
    </row>
    <row r="763">
      <c r="B763" s="293"/>
      <c r="C763" s="185"/>
    </row>
    <row r="764">
      <c r="B764" s="293"/>
      <c r="C764" s="185"/>
    </row>
    <row r="765">
      <c r="B765" s="293"/>
      <c r="C765" s="185"/>
    </row>
    <row r="766">
      <c r="B766" s="293"/>
      <c r="C766" s="185"/>
    </row>
    <row r="767">
      <c r="B767" s="293"/>
      <c r="C767" s="185"/>
    </row>
    <row r="768">
      <c r="B768" s="293"/>
      <c r="C768" s="185"/>
    </row>
    <row r="769">
      <c r="B769" s="293"/>
      <c r="C769" s="185"/>
    </row>
    <row r="770">
      <c r="B770" s="293"/>
      <c r="C770" s="185"/>
    </row>
    <row r="771">
      <c r="B771" s="293"/>
      <c r="C771" s="185"/>
    </row>
    <row r="772">
      <c r="B772" s="293"/>
      <c r="C772" s="185"/>
    </row>
    <row r="773">
      <c r="B773" s="293"/>
      <c r="C773" s="185"/>
    </row>
    <row r="774">
      <c r="B774" s="293"/>
      <c r="C774" s="185"/>
    </row>
    <row r="775">
      <c r="B775" s="293"/>
      <c r="C775" s="185"/>
    </row>
    <row r="776">
      <c r="B776" s="293"/>
      <c r="C776" s="185"/>
    </row>
    <row r="777">
      <c r="B777" s="293"/>
      <c r="C777" s="185"/>
    </row>
    <row r="778">
      <c r="B778" s="293"/>
      <c r="C778" s="185"/>
    </row>
    <row r="779">
      <c r="B779" s="293"/>
      <c r="C779" s="185"/>
    </row>
    <row r="780">
      <c r="B780" s="293"/>
      <c r="C780" s="185"/>
    </row>
    <row r="781">
      <c r="B781" s="293"/>
      <c r="C781" s="185"/>
    </row>
    <row r="782">
      <c r="B782" s="293"/>
      <c r="C782" s="185"/>
    </row>
    <row r="783">
      <c r="B783" s="293"/>
      <c r="C783" s="185"/>
    </row>
    <row r="784">
      <c r="B784" s="293"/>
      <c r="C784" s="185"/>
    </row>
    <row r="785">
      <c r="B785" s="293"/>
      <c r="C785" s="185"/>
    </row>
    <row r="786">
      <c r="B786" s="293"/>
      <c r="C786" s="185"/>
    </row>
    <row r="787">
      <c r="B787" s="293"/>
      <c r="C787" s="185"/>
    </row>
    <row r="788">
      <c r="B788" s="293"/>
      <c r="C788" s="185"/>
    </row>
    <row r="789">
      <c r="B789" s="293"/>
      <c r="C789" s="185"/>
    </row>
    <row r="790">
      <c r="B790" s="293"/>
      <c r="C790" s="185"/>
    </row>
    <row r="791">
      <c r="B791" s="293"/>
      <c r="C791" s="185"/>
    </row>
    <row r="792">
      <c r="B792" s="293"/>
      <c r="C792" s="185"/>
    </row>
    <row r="793">
      <c r="B793" s="293"/>
      <c r="C793" s="185"/>
    </row>
    <row r="794">
      <c r="B794" s="293"/>
      <c r="C794" s="185"/>
    </row>
    <row r="795">
      <c r="B795" s="293"/>
      <c r="C795" s="185"/>
    </row>
    <row r="796">
      <c r="B796" s="293"/>
      <c r="C796" s="185"/>
    </row>
    <row r="797">
      <c r="B797" s="293"/>
      <c r="C797" s="185"/>
    </row>
    <row r="798">
      <c r="B798" s="293"/>
      <c r="C798" s="185"/>
    </row>
    <row r="799">
      <c r="B799" s="293"/>
      <c r="C799" s="185"/>
    </row>
    <row r="800">
      <c r="B800" s="293"/>
      <c r="C800" s="185"/>
    </row>
    <row r="801">
      <c r="B801" s="293"/>
      <c r="C801" s="185"/>
    </row>
    <row r="802">
      <c r="B802" s="293"/>
      <c r="C802" s="185"/>
    </row>
    <row r="803">
      <c r="B803" s="293"/>
      <c r="C803" s="185"/>
    </row>
    <row r="804">
      <c r="B804" s="293"/>
      <c r="C804" s="185"/>
    </row>
    <row r="805">
      <c r="B805" s="293"/>
      <c r="C805" s="185"/>
    </row>
    <row r="806">
      <c r="B806" s="293"/>
      <c r="C806" s="185"/>
    </row>
    <row r="807">
      <c r="B807" s="293"/>
      <c r="C807" s="185"/>
    </row>
    <row r="808">
      <c r="B808" s="293"/>
      <c r="C808" s="185"/>
    </row>
    <row r="809">
      <c r="B809" s="293"/>
      <c r="C809" s="185"/>
    </row>
    <row r="810">
      <c r="B810" s="293"/>
      <c r="C810" s="185"/>
    </row>
    <row r="811">
      <c r="B811" s="293"/>
      <c r="C811" s="185"/>
    </row>
    <row r="812">
      <c r="B812" s="293"/>
      <c r="C812" s="185"/>
    </row>
    <row r="813">
      <c r="B813" s="293"/>
      <c r="C813" s="185"/>
    </row>
    <row r="814">
      <c r="B814" s="293"/>
      <c r="C814" s="185"/>
    </row>
    <row r="815">
      <c r="B815" s="293"/>
      <c r="C815" s="185"/>
    </row>
    <row r="816">
      <c r="B816" s="293"/>
      <c r="C816" s="185"/>
    </row>
    <row r="817">
      <c r="B817" s="293"/>
      <c r="C817" s="185"/>
    </row>
    <row r="818">
      <c r="B818" s="293"/>
      <c r="C818" s="185"/>
    </row>
    <row r="819">
      <c r="B819" s="293"/>
      <c r="C819" s="185"/>
    </row>
    <row r="820">
      <c r="B820" s="293"/>
      <c r="C820" s="185"/>
    </row>
    <row r="821">
      <c r="B821" s="293"/>
      <c r="C821" s="185"/>
    </row>
    <row r="822">
      <c r="B822" s="293"/>
      <c r="C822" s="185"/>
    </row>
    <row r="823">
      <c r="B823" s="293"/>
      <c r="C823" s="185"/>
    </row>
    <row r="824">
      <c r="B824" s="293"/>
      <c r="C824" s="185"/>
    </row>
    <row r="825">
      <c r="B825" s="293"/>
      <c r="C825" s="185"/>
    </row>
    <row r="826">
      <c r="B826" s="293"/>
      <c r="C826" s="185"/>
    </row>
    <row r="827">
      <c r="B827" s="293"/>
      <c r="C827" s="185"/>
    </row>
    <row r="828">
      <c r="B828" s="293"/>
      <c r="C828" s="185"/>
    </row>
    <row r="829">
      <c r="B829" s="293"/>
      <c r="C829" s="185"/>
    </row>
    <row r="830">
      <c r="B830" s="293"/>
      <c r="C830" s="185"/>
    </row>
    <row r="831">
      <c r="B831" s="293"/>
      <c r="C831" s="185"/>
    </row>
    <row r="832">
      <c r="B832" s="293"/>
      <c r="C832" s="185"/>
    </row>
    <row r="833">
      <c r="B833" s="293"/>
      <c r="C833" s="185"/>
    </row>
    <row r="834">
      <c r="B834" s="293"/>
      <c r="C834" s="185"/>
    </row>
    <row r="835">
      <c r="B835" s="293"/>
      <c r="C835" s="185"/>
    </row>
    <row r="836">
      <c r="B836" s="293"/>
      <c r="C836" s="185"/>
    </row>
    <row r="837">
      <c r="B837" s="293"/>
      <c r="C837" s="185"/>
    </row>
    <row r="838">
      <c r="B838" s="293"/>
      <c r="C838" s="185"/>
    </row>
    <row r="839">
      <c r="B839" s="293"/>
      <c r="C839" s="185"/>
    </row>
    <row r="840">
      <c r="B840" s="293"/>
      <c r="C840" s="185"/>
    </row>
    <row r="841">
      <c r="B841" s="293"/>
      <c r="C841" s="185"/>
    </row>
    <row r="842">
      <c r="B842" s="293"/>
      <c r="C842" s="185"/>
    </row>
    <row r="843">
      <c r="B843" s="293"/>
      <c r="C843" s="185"/>
    </row>
    <row r="844">
      <c r="B844" s="293"/>
      <c r="C844" s="185"/>
    </row>
    <row r="845">
      <c r="B845" s="293"/>
      <c r="C845" s="185"/>
    </row>
    <row r="846">
      <c r="B846" s="293"/>
      <c r="C846" s="185"/>
    </row>
    <row r="847">
      <c r="B847" s="293"/>
      <c r="C847" s="185"/>
    </row>
    <row r="848">
      <c r="B848" s="293"/>
      <c r="C848" s="185"/>
    </row>
    <row r="849">
      <c r="B849" s="293"/>
      <c r="C849" s="185"/>
    </row>
    <row r="850">
      <c r="B850" s="293"/>
      <c r="C850" s="185"/>
    </row>
    <row r="851">
      <c r="B851" s="293"/>
      <c r="C851" s="185"/>
    </row>
    <row r="852">
      <c r="B852" s="293"/>
      <c r="C852" s="185"/>
    </row>
    <row r="853">
      <c r="B853" s="293"/>
      <c r="C853" s="185"/>
    </row>
    <row r="854">
      <c r="B854" s="293"/>
      <c r="C854" s="185"/>
    </row>
    <row r="855">
      <c r="B855" s="293"/>
      <c r="C855" s="185"/>
    </row>
    <row r="856">
      <c r="B856" s="293"/>
      <c r="C856" s="185"/>
    </row>
    <row r="857">
      <c r="B857" s="293"/>
      <c r="C857" s="185"/>
    </row>
    <row r="858">
      <c r="B858" s="293"/>
      <c r="C858" s="185"/>
    </row>
    <row r="859">
      <c r="B859" s="293"/>
      <c r="C859" s="185"/>
    </row>
    <row r="860">
      <c r="B860" s="293"/>
      <c r="C860" s="185"/>
    </row>
    <row r="861">
      <c r="B861" s="293"/>
      <c r="C861" s="185"/>
    </row>
    <row r="862">
      <c r="B862" s="293"/>
      <c r="C862" s="185"/>
    </row>
    <row r="863">
      <c r="B863" s="293"/>
      <c r="C863" s="185"/>
    </row>
    <row r="864">
      <c r="B864" s="293"/>
      <c r="C864" s="185"/>
    </row>
    <row r="865">
      <c r="B865" s="293"/>
      <c r="C865" s="185"/>
    </row>
    <row r="866">
      <c r="B866" s="293"/>
      <c r="C866" s="185"/>
    </row>
    <row r="867">
      <c r="B867" s="293"/>
      <c r="C867" s="185"/>
    </row>
    <row r="868">
      <c r="B868" s="293"/>
      <c r="C868" s="185"/>
    </row>
    <row r="869">
      <c r="B869" s="293"/>
      <c r="C869" s="185"/>
    </row>
    <row r="870">
      <c r="B870" s="293"/>
      <c r="C870" s="185"/>
    </row>
    <row r="871">
      <c r="B871" s="293"/>
      <c r="C871" s="185"/>
    </row>
    <row r="872">
      <c r="B872" s="293"/>
      <c r="C872" s="185"/>
    </row>
    <row r="873">
      <c r="B873" s="293"/>
      <c r="C873" s="185"/>
    </row>
    <row r="874">
      <c r="B874" s="293"/>
      <c r="C874" s="185"/>
    </row>
    <row r="875">
      <c r="B875" s="293"/>
      <c r="C875" s="185"/>
    </row>
    <row r="876">
      <c r="B876" s="293"/>
      <c r="C876" s="185"/>
    </row>
    <row r="877">
      <c r="B877" s="293"/>
      <c r="C877" s="185"/>
    </row>
    <row r="878">
      <c r="B878" s="293"/>
      <c r="C878" s="185"/>
    </row>
    <row r="879">
      <c r="B879" s="293"/>
      <c r="C879" s="185"/>
    </row>
    <row r="880">
      <c r="B880" s="293"/>
      <c r="C880" s="185"/>
    </row>
    <row r="881">
      <c r="B881" s="293"/>
      <c r="C881" s="185"/>
    </row>
    <row r="882">
      <c r="B882" s="293"/>
      <c r="C882" s="185"/>
    </row>
    <row r="883">
      <c r="B883" s="293"/>
      <c r="C883" s="185"/>
    </row>
    <row r="884">
      <c r="B884" s="293"/>
      <c r="C884" s="185"/>
    </row>
    <row r="885">
      <c r="B885" s="293"/>
      <c r="C885" s="185"/>
    </row>
    <row r="886">
      <c r="B886" s="293"/>
      <c r="C886" s="185"/>
    </row>
    <row r="887">
      <c r="B887" s="293"/>
      <c r="C887" s="185"/>
    </row>
    <row r="888">
      <c r="B888" s="293"/>
      <c r="C888" s="185"/>
    </row>
    <row r="889">
      <c r="B889" s="293"/>
      <c r="C889" s="185"/>
    </row>
    <row r="890">
      <c r="B890" s="293"/>
      <c r="C890" s="185"/>
    </row>
    <row r="891">
      <c r="B891" s="293"/>
      <c r="C891" s="185"/>
    </row>
    <row r="892">
      <c r="B892" s="293"/>
      <c r="C892" s="185"/>
    </row>
    <row r="893">
      <c r="B893" s="293"/>
      <c r="C893" s="185"/>
    </row>
    <row r="894">
      <c r="B894" s="293"/>
      <c r="C894" s="185"/>
    </row>
    <row r="895">
      <c r="B895" s="293"/>
      <c r="C895" s="185"/>
    </row>
    <row r="896">
      <c r="B896" s="293"/>
      <c r="C896" s="185"/>
    </row>
    <row r="897">
      <c r="B897" s="293"/>
      <c r="C897" s="185"/>
    </row>
    <row r="898">
      <c r="B898" s="293"/>
      <c r="C898" s="185"/>
    </row>
    <row r="899">
      <c r="B899" s="293"/>
      <c r="C899" s="185"/>
    </row>
    <row r="900">
      <c r="B900" s="293"/>
      <c r="C900" s="185"/>
    </row>
    <row r="901">
      <c r="B901" s="293"/>
      <c r="C901" s="185"/>
    </row>
    <row r="902">
      <c r="B902" s="293"/>
      <c r="C902" s="185"/>
    </row>
    <row r="903">
      <c r="B903" s="293"/>
      <c r="C903" s="185"/>
    </row>
    <row r="904">
      <c r="B904" s="293"/>
      <c r="C904" s="185"/>
    </row>
    <row r="905">
      <c r="B905" s="293"/>
      <c r="C905" s="185"/>
    </row>
    <row r="906">
      <c r="B906" s="293"/>
      <c r="C906" s="185"/>
    </row>
    <row r="907">
      <c r="B907" s="293"/>
      <c r="C907" s="185"/>
    </row>
    <row r="908">
      <c r="B908" s="293"/>
      <c r="C908" s="185"/>
    </row>
    <row r="909">
      <c r="B909" s="293"/>
      <c r="C909" s="185"/>
    </row>
    <row r="910">
      <c r="B910" s="293"/>
      <c r="C910" s="185"/>
    </row>
    <row r="911">
      <c r="B911" s="293"/>
      <c r="C911" s="185"/>
    </row>
    <row r="912">
      <c r="B912" s="293"/>
      <c r="C912" s="185"/>
    </row>
    <row r="913">
      <c r="B913" s="293"/>
      <c r="C913" s="185"/>
    </row>
    <row r="914">
      <c r="B914" s="293"/>
      <c r="C914" s="185"/>
    </row>
    <row r="915">
      <c r="B915" s="293"/>
      <c r="C915" s="185"/>
    </row>
    <row r="916">
      <c r="B916" s="293"/>
      <c r="C916" s="185"/>
    </row>
    <row r="917">
      <c r="B917" s="293"/>
      <c r="C917" s="185"/>
    </row>
    <row r="918">
      <c r="B918" s="293"/>
      <c r="C918" s="185"/>
    </row>
    <row r="919">
      <c r="B919" s="293"/>
      <c r="C919" s="185"/>
    </row>
    <row r="920">
      <c r="B920" s="293"/>
      <c r="C920" s="185"/>
    </row>
    <row r="921">
      <c r="B921" s="293"/>
      <c r="C921" s="185"/>
    </row>
    <row r="922">
      <c r="B922" s="293"/>
      <c r="C922" s="185"/>
    </row>
    <row r="923">
      <c r="B923" s="293"/>
      <c r="C923" s="185"/>
    </row>
    <row r="924">
      <c r="B924" s="293"/>
      <c r="C924" s="185"/>
    </row>
    <row r="925">
      <c r="B925" s="293"/>
      <c r="C925" s="185"/>
    </row>
    <row r="926">
      <c r="B926" s="293"/>
      <c r="C926" s="185"/>
    </row>
    <row r="927">
      <c r="B927" s="293"/>
      <c r="C927" s="185"/>
    </row>
    <row r="928">
      <c r="B928" s="293"/>
      <c r="C928" s="185"/>
    </row>
    <row r="929">
      <c r="B929" s="293"/>
      <c r="C929" s="185"/>
    </row>
    <row r="930">
      <c r="B930" s="293"/>
      <c r="C930" s="185"/>
    </row>
    <row r="931">
      <c r="B931" s="293"/>
      <c r="C931" s="185"/>
    </row>
    <row r="932">
      <c r="B932" s="293"/>
      <c r="C932" s="185"/>
    </row>
    <row r="933">
      <c r="B933" s="293"/>
      <c r="C933" s="185"/>
    </row>
    <row r="934">
      <c r="B934" s="293"/>
      <c r="C934" s="185"/>
    </row>
    <row r="935">
      <c r="B935" s="293"/>
      <c r="C935" s="185"/>
    </row>
    <row r="936">
      <c r="B936" s="293"/>
      <c r="C936" s="185"/>
    </row>
    <row r="937">
      <c r="B937" s="293"/>
      <c r="C937" s="185"/>
    </row>
    <row r="938">
      <c r="B938" s="293"/>
      <c r="C938" s="185"/>
    </row>
    <row r="939">
      <c r="B939" s="293"/>
      <c r="C939" s="185"/>
    </row>
    <row r="940">
      <c r="B940" s="293"/>
      <c r="C940" s="185"/>
    </row>
    <row r="941">
      <c r="B941" s="293"/>
      <c r="C941" s="185"/>
    </row>
    <row r="942">
      <c r="B942" s="293"/>
      <c r="C942" s="185"/>
    </row>
    <row r="943">
      <c r="B943" s="293"/>
      <c r="C943" s="185"/>
    </row>
    <row r="944">
      <c r="B944" s="293"/>
      <c r="C944" s="185"/>
    </row>
    <row r="945">
      <c r="B945" s="293"/>
      <c r="C945" s="185"/>
    </row>
    <row r="946">
      <c r="B946" s="293"/>
      <c r="C946" s="185"/>
    </row>
    <row r="947">
      <c r="B947" s="293"/>
      <c r="C947" s="185"/>
    </row>
    <row r="948">
      <c r="B948" s="293"/>
      <c r="C948" s="185"/>
    </row>
    <row r="949">
      <c r="B949" s="293"/>
      <c r="C949" s="185"/>
    </row>
    <row r="950">
      <c r="B950" s="293"/>
      <c r="C950" s="185"/>
    </row>
    <row r="951">
      <c r="B951" s="293"/>
      <c r="C951" s="185"/>
    </row>
    <row r="952">
      <c r="B952" s="293"/>
      <c r="C952" s="185"/>
    </row>
    <row r="953">
      <c r="B953" s="293"/>
      <c r="C953" s="185"/>
    </row>
    <row r="954">
      <c r="B954" s="293"/>
      <c r="C954" s="185"/>
    </row>
    <row r="955">
      <c r="B955" s="293"/>
      <c r="C955" s="185"/>
    </row>
    <row r="956">
      <c r="B956" s="293"/>
      <c r="C956" s="185"/>
    </row>
    <row r="957">
      <c r="B957" s="293"/>
      <c r="C957" s="185"/>
    </row>
    <row r="958">
      <c r="B958" s="293"/>
      <c r="C958" s="185"/>
    </row>
    <row r="959">
      <c r="B959" s="293"/>
      <c r="C959" s="185"/>
    </row>
    <row r="960">
      <c r="B960" s="293"/>
      <c r="C960" s="185"/>
    </row>
    <row r="961">
      <c r="B961" s="293"/>
      <c r="C961" s="185"/>
    </row>
    <row r="962">
      <c r="B962" s="293"/>
      <c r="C962" s="185"/>
    </row>
    <row r="963">
      <c r="B963" s="293"/>
      <c r="C963" s="185"/>
    </row>
    <row r="964">
      <c r="B964" s="293"/>
      <c r="C964" s="185"/>
    </row>
    <row r="965">
      <c r="B965" s="293"/>
      <c r="C965" s="185"/>
    </row>
    <row r="966">
      <c r="B966" s="293"/>
      <c r="C966" s="185"/>
    </row>
    <row r="967">
      <c r="B967" s="293"/>
      <c r="C967" s="185"/>
    </row>
    <row r="968">
      <c r="B968" s="293"/>
      <c r="C968" s="185"/>
    </row>
    <row r="969">
      <c r="B969" s="293"/>
      <c r="C969" s="185"/>
    </row>
    <row r="970">
      <c r="B970" s="293"/>
      <c r="C970" s="185"/>
    </row>
    <row r="971">
      <c r="B971" s="293"/>
      <c r="C971" s="185"/>
    </row>
    <row r="972">
      <c r="B972" s="293"/>
      <c r="C972" s="185"/>
    </row>
    <row r="973">
      <c r="B973" s="293"/>
      <c r="C973" s="185"/>
    </row>
    <row r="974">
      <c r="B974" s="293"/>
      <c r="C974" s="185"/>
    </row>
    <row r="975">
      <c r="B975" s="293"/>
      <c r="C975" s="185"/>
    </row>
    <row r="976">
      <c r="B976" s="293"/>
      <c r="C976" s="185"/>
    </row>
    <row r="977">
      <c r="B977" s="293"/>
      <c r="C977" s="185"/>
    </row>
    <row r="978">
      <c r="B978" s="293"/>
      <c r="C978" s="185"/>
    </row>
    <row r="979">
      <c r="B979" s="293"/>
      <c r="C979" s="185"/>
    </row>
    <row r="980">
      <c r="B980" s="293"/>
      <c r="C980" s="185"/>
    </row>
    <row r="981">
      <c r="B981" s="293"/>
      <c r="C981" s="185"/>
    </row>
    <row r="982">
      <c r="B982" s="293"/>
      <c r="C982" s="185"/>
    </row>
    <row r="983">
      <c r="B983" s="293"/>
      <c r="C983" s="185"/>
    </row>
    <row r="984">
      <c r="B984" s="293"/>
      <c r="C984" s="185"/>
    </row>
    <row r="985">
      <c r="B985" s="293"/>
      <c r="C985" s="185"/>
    </row>
    <row r="986">
      <c r="B986" s="293"/>
      <c r="C986" s="185"/>
    </row>
    <row r="987">
      <c r="B987" s="293"/>
      <c r="C987" s="185"/>
    </row>
    <row r="988">
      <c r="B988" s="293"/>
      <c r="C988" s="185"/>
    </row>
    <row r="989">
      <c r="B989" s="293"/>
      <c r="C989" s="185"/>
    </row>
    <row r="990">
      <c r="B990" s="293"/>
      <c r="C990" s="185"/>
    </row>
    <row r="991">
      <c r="B991" s="293"/>
      <c r="C991" s="185"/>
    </row>
  </sheetData>
  <mergeCells count="11">
    <mergeCell ref="E2:G2"/>
    <mergeCell ref="D3:G3"/>
    <mergeCell ref="H3:J3"/>
    <mergeCell ref="K3:O3"/>
    <mergeCell ref="A1:O1"/>
    <mergeCell ref="A2:D2"/>
    <mergeCell ref="H2:J2"/>
    <mergeCell ref="L2:M2"/>
    <mergeCell ref="A3:A4"/>
    <mergeCell ref="B3:B4"/>
    <mergeCell ref="C3:C4"/>
  </mergeCells>
  <conditionalFormatting sqref="D6:G15 K6:M15">
    <cfRule type="containsText" dxfId="1" priority="1" operator="containsText" text="t">
      <formula>NOT(ISERROR(SEARCH(("t"),(D6))))</formula>
    </cfRule>
  </conditionalFormatting>
  <conditionalFormatting sqref="D6:G15 K6:M15">
    <cfRule type="containsText" dxfId="3" priority="2" operator="containsText" text="Y">
      <formula>NOT(ISERROR(SEARCH(("Y"),(D6))))</formula>
    </cfRule>
  </conditionalFormatting>
  <dataValidations>
    <dataValidation type="list" allowBlank="1" showErrorMessage="1" sqref="K6:M15 D6:G16">
      <formula1>"Y,T"</formula1>
    </dataValidation>
  </dataValidations>
  <printOptions horizontalCentered="1"/>
  <pageMargins bottom="0.393055555555556" footer="0.0" header="0.0" left="0.393055555555556" right="0.393055555555556" top="0.471527777777778"/>
  <pageSetup paperSize="9" scale="65" orientation="landscape"/>
  <headerFooter>
    <oddHeader>&amp;RLampiran 4</oddHead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7" width="8.56"/>
  </cols>
  <sheetData>
    <row r="1" ht="42.75" customHeight="1">
      <c r="A1" s="807" t="s">
        <v>2575</v>
      </c>
      <c r="B1" s="62"/>
      <c r="C1" s="62"/>
      <c r="D1" s="62"/>
      <c r="E1" s="62"/>
      <c r="F1" s="62"/>
      <c r="G1" s="62"/>
      <c r="H1" s="62"/>
      <c r="I1" s="62"/>
      <c r="J1" s="62"/>
      <c r="K1" s="62"/>
      <c r="L1" s="63"/>
      <c r="M1" s="808"/>
      <c r="N1" s="808"/>
      <c r="O1" s="808"/>
      <c r="P1" s="808"/>
      <c r="Q1" s="808"/>
      <c r="R1" s="808"/>
      <c r="S1" s="808"/>
      <c r="T1" s="808"/>
      <c r="U1" s="808"/>
      <c r="V1" s="808"/>
      <c r="W1" s="808"/>
      <c r="X1" s="808"/>
      <c r="Y1" s="808"/>
      <c r="Z1" s="808"/>
      <c r="AA1" s="808"/>
    </row>
    <row r="2" ht="42.75" customHeight="1">
      <c r="A2" s="809" t="s">
        <v>2576</v>
      </c>
      <c r="B2" s="62"/>
      <c r="C2" s="62"/>
      <c r="D2" s="62"/>
      <c r="E2" s="62"/>
      <c r="F2" s="62"/>
      <c r="G2" s="62"/>
      <c r="H2" s="62"/>
      <c r="I2" s="62"/>
      <c r="J2" s="62"/>
      <c r="K2" s="62"/>
      <c r="L2" s="63"/>
      <c r="M2" s="808"/>
      <c r="N2" s="808"/>
      <c r="O2" s="808"/>
      <c r="P2" s="808"/>
      <c r="Q2" s="808"/>
      <c r="R2" s="808"/>
      <c r="S2" s="808"/>
      <c r="T2" s="808"/>
      <c r="U2" s="808"/>
      <c r="V2" s="808"/>
      <c r="W2" s="808"/>
      <c r="X2" s="808"/>
      <c r="Y2" s="808"/>
      <c r="Z2" s="808"/>
      <c r="AA2" s="808"/>
    </row>
    <row r="3" ht="27.0" customHeight="1">
      <c r="A3" s="810" t="s">
        <v>2577</v>
      </c>
      <c r="B3" s="811" t="s">
        <v>2578</v>
      </c>
      <c r="C3" s="811" t="s">
        <v>2579</v>
      </c>
      <c r="D3" s="812" t="s">
        <v>2580</v>
      </c>
      <c r="E3" s="811" t="s">
        <v>2581</v>
      </c>
      <c r="F3" s="813" t="s">
        <v>2582</v>
      </c>
      <c r="G3" s="62"/>
      <c r="H3" s="62"/>
      <c r="I3" s="63"/>
      <c r="J3" s="814" t="s">
        <v>2583</v>
      </c>
      <c r="K3" s="62"/>
      <c r="L3" s="63"/>
      <c r="M3" s="299" t="s">
        <v>291</v>
      </c>
      <c r="N3" s="62"/>
      <c r="O3" s="62"/>
      <c r="P3" s="62"/>
      <c r="Q3" s="62"/>
      <c r="R3" s="62"/>
      <c r="S3" s="63"/>
      <c r="T3" s="808"/>
      <c r="U3" s="808"/>
      <c r="V3" s="808"/>
      <c r="W3" s="808"/>
      <c r="X3" s="808"/>
      <c r="Y3" s="808"/>
      <c r="Z3" s="808"/>
      <c r="AA3" s="808"/>
    </row>
    <row r="4" ht="66.75" customHeight="1">
      <c r="A4" s="210"/>
      <c r="B4" s="210"/>
      <c r="C4" s="210"/>
      <c r="D4" s="210"/>
      <c r="E4" s="210"/>
      <c r="F4" s="815" t="s">
        <v>2584</v>
      </c>
      <c r="G4" s="815" t="s">
        <v>2585</v>
      </c>
      <c r="H4" s="815" t="s">
        <v>2586</v>
      </c>
      <c r="I4" s="815" t="s">
        <v>2587</v>
      </c>
      <c r="J4" s="816" t="s">
        <v>2588</v>
      </c>
      <c r="K4" s="816" t="s">
        <v>2589</v>
      </c>
      <c r="L4" s="817" t="s">
        <v>2590</v>
      </c>
      <c r="M4" s="302" t="s">
        <v>2591</v>
      </c>
      <c r="N4" s="302" t="s">
        <v>2592</v>
      </c>
      <c r="O4" s="302" t="s">
        <v>2593</v>
      </c>
      <c r="P4" s="302" t="s">
        <v>2594</v>
      </c>
      <c r="Q4" s="302" t="s">
        <v>2528</v>
      </c>
      <c r="R4" s="302" t="s">
        <v>2529</v>
      </c>
      <c r="S4" s="302" t="s">
        <v>2530</v>
      </c>
      <c r="T4" s="808"/>
      <c r="U4" s="808"/>
      <c r="V4" s="808"/>
      <c r="W4" s="808"/>
      <c r="X4" s="808"/>
      <c r="Y4" s="808"/>
      <c r="Z4" s="808"/>
      <c r="AA4" s="808"/>
    </row>
    <row r="5" ht="151.5" customHeight="1">
      <c r="A5" s="818">
        <v>1.0</v>
      </c>
      <c r="B5" s="819" t="s">
        <v>2595</v>
      </c>
      <c r="C5" s="820" t="s">
        <v>2596</v>
      </c>
      <c r="D5" s="821" t="s">
        <v>2597</v>
      </c>
      <c r="E5" s="819" t="s">
        <v>2598</v>
      </c>
      <c r="F5" s="820" t="s">
        <v>2599</v>
      </c>
      <c r="G5" s="820" t="s">
        <v>2600</v>
      </c>
      <c r="H5" s="820" t="s">
        <v>2601</v>
      </c>
      <c r="I5" s="820" t="s">
        <v>2602</v>
      </c>
      <c r="J5" s="822">
        <v>1.0</v>
      </c>
      <c r="K5" s="823">
        <v>1.0</v>
      </c>
      <c r="L5" s="822">
        <v>1.0</v>
      </c>
      <c r="M5" s="824" t="s">
        <v>301</v>
      </c>
      <c r="N5" s="824" t="s">
        <v>301</v>
      </c>
      <c r="O5" s="824" t="s">
        <v>301</v>
      </c>
      <c r="P5" s="824" t="s">
        <v>301</v>
      </c>
      <c r="Q5" s="824" t="s">
        <v>301</v>
      </c>
      <c r="R5" s="822">
        <v>1.0</v>
      </c>
      <c r="S5" s="808"/>
      <c r="T5" s="808"/>
      <c r="U5" s="808"/>
      <c r="V5" s="808"/>
      <c r="W5" s="808"/>
      <c r="X5" s="808"/>
      <c r="Y5" s="808"/>
      <c r="Z5" s="808"/>
      <c r="AA5" s="808"/>
    </row>
    <row r="6" ht="127.5" customHeight="1">
      <c r="A6" s="825">
        <v>2.0</v>
      </c>
      <c r="B6" s="826" t="s">
        <v>2603</v>
      </c>
      <c r="C6" s="827" t="s">
        <v>2604</v>
      </c>
      <c r="D6" s="828" t="s">
        <v>2605</v>
      </c>
      <c r="E6" s="826" t="s">
        <v>2606</v>
      </c>
      <c r="F6" s="827" t="s">
        <v>2607</v>
      </c>
      <c r="G6" s="827" t="s">
        <v>2608</v>
      </c>
      <c r="H6" s="827" t="s">
        <v>2609</v>
      </c>
      <c r="I6" s="827" t="s">
        <v>2610</v>
      </c>
      <c r="J6" s="829">
        <v>0.68</v>
      </c>
      <c r="K6" s="829">
        <v>0.6848</v>
      </c>
      <c r="L6" s="829">
        <v>1.0071</v>
      </c>
      <c r="M6" s="824" t="s">
        <v>301</v>
      </c>
      <c r="N6" s="824" t="s">
        <v>301</v>
      </c>
      <c r="O6" s="824" t="s">
        <v>301</v>
      </c>
      <c r="P6" s="824" t="s">
        <v>301</v>
      </c>
      <c r="Q6" s="824" t="s">
        <v>301</v>
      </c>
      <c r="R6" s="829">
        <v>1.0071</v>
      </c>
      <c r="S6" s="808"/>
      <c r="T6" s="808"/>
      <c r="U6" s="808"/>
      <c r="V6" s="808"/>
      <c r="W6" s="808"/>
      <c r="X6" s="808"/>
      <c r="Y6" s="808"/>
      <c r="Z6" s="808"/>
      <c r="AA6" s="808"/>
    </row>
    <row r="7" ht="127.5" customHeight="1">
      <c r="A7" s="818">
        <v>3.0</v>
      </c>
      <c r="B7" s="819" t="s">
        <v>2611</v>
      </c>
      <c r="C7" s="820" t="s">
        <v>2612</v>
      </c>
      <c r="D7" s="821" t="s">
        <v>2613</v>
      </c>
      <c r="E7" s="819" t="s">
        <v>2614</v>
      </c>
      <c r="F7" s="820" t="s">
        <v>2615</v>
      </c>
      <c r="G7" s="820" t="s">
        <v>2616</v>
      </c>
      <c r="H7" s="820" t="s">
        <v>2617</v>
      </c>
      <c r="I7" s="820" t="s">
        <v>2618</v>
      </c>
      <c r="J7" s="822">
        <v>0.2542</v>
      </c>
      <c r="K7" s="822">
        <v>0.2132</v>
      </c>
      <c r="L7" s="822">
        <v>0.8387</v>
      </c>
      <c r="M7" s="824" t="s">
        <v>301</v>
      </c>
      <c r="N7" s="824" t="s">
        <v>301</v>
      </c>
      <c r="O7" s="824" t="s">
        <v>301</v>
      </c>
      <c r="P7" s="824" t="s">
        <v>301</v>
      </c>
      <c r="Q7" s="824" t="s">
        <v>301</v>
      </c>
      <c r="R7" s="822">
        <v>0.8387</v>
      </c>
      <c r="S7" s="808"/>
      <c r="T7" s="808"/>
      <c r="U7" s="808"/>
      <c r="V7" s="808"/>
      <c r="W7" s="808"/>
      <c r="X7" s="808"/>
      <c r="Y7" s="808"/>
      <c r="Z7" s="808"/>
      <c r="AA7" s="808"/>
    </row>
    <row r="8" ht="127.5" customHeight="1">
      <c r="A8" s="825">
        <v>4.0</v>
      </c>
      <c r="B8" s="826" t="s">
        <v>2619</v>
      </c>
      <c r="C8" s="827" t="s">
        <v>2620</v>
      </c>
      <c r="D8" s="828" t="s">
        <v>2621</v>
      </c>
      <c r="E8" s="826" t="s">
        <v>2622</v>
      </c>
      <c r="F8" s="827" t="s">
        <v>2623</v>
      </c>
      <c r="G8" s="827" t="s">
        <v>2624</v>
      </c>
      <c r="H8" s="827" t="s">
        <v>2625</v>
      </c>
      <c r="I8" s="827" t="s">
        <v>2626</v>
      </c>
      <c r="J8" s="830" t="s">
        <v>2627</v>
      </c>
      <c r="K8" s="830" t="s">
        <v>2628</v>
      </c>
      <c r="L8" s="829">
        <v>1.0728</v>
      </c>
      <c r="M8" s="824" t="s">
        <v>301</v>
      </c>
      <c r="N8" s="824" t="s">
        <v>301</v>
      </c>
      <c r="O8" s="824" t="s">
        <v>301</v>
      </c>
      <c r="P8" s="824" t="s">
        <v>301</v>
      </c>
      <c r="Q8" s="824" t="s">
        <v>301</v>
      </c>
      <c r="R8" s="829">
        <v>1.0728</v>
      </c>
      <c r="S8" s="808"/>
      <c r="T8" s="808"/>
      <c r="U8" s="808"/>
      <c r="V8" s="808"/>
      <c r="W8" s="808"/>
      <c r="X8" s="808"/>
      <c r="Y8" s="808"/>
      <c r="Z8" s="808"/>
      <c r="AA8" s="808"/>
    </row>
    <row r="9" ht="127.5" customHeight="1">
      <c r="A9" s="818">
        <v>5.0</v>
      </c>
      <c r="B9" s="819" t="s">
        <v>2629</v>
      </c>
      <c r="C9" s="820" t="s">
        <v>2630</v>
      </c>
      <c r="D9" s="821" t="s">
        <v>2631</v>
      </c>
      <c r="E9" s="819" t="s">
        <v>2632</v>
      </c>
      <c r="F9" s="820" t="s">
        <v>2633</v>
      </c>
      <c r="G9" s="820" t="s">
        <v>2634</v>
      </c>
      <c r="H9" s="820" t="s">
        <v>2635</v>
      </c>
      <c r="I9" s="820" t="s">
        <v>2636</v>
      </c>
      <c r="J9" s="831" t="s">
        <v>2637</v>
      </c>
      <c r="K9" s="831" t="s">
        <v>2638</v>
      </c>
      <c r="L9" s="822">
        <v>1.2</v>
      </c>
      <c r="M9" s="824" t="s">
        <v>301</v>
      </c>
      <c r="N9" s="824" t="s">
        <v>301</v>
      </c>
      <c r="O9" s="824" t="s">
        <v>301</v>
      </c>
      <c r="P9" s="824" t="s">
        <v>301</v>
      </c>
      <c r="Q9" s="832" t="s">
        <v>271</v>
      </c>
      <c r="R9" s="833">
        <v>1.8704</v>
      </c>
      <c r="S9" s="808"/>
      <c r="T9" s="808"/>
      <c r="U9" s="808"/>
      <c r="V9" s="808"/>
      <c r="W9" s="808"/>
      <c r="X9" s="808"/>
      <c r="Y9" s="808"/>
      <c r="Z9" s="808"/>
      <c r="AA9" s="808"/>
    </row>
    <row r="10" ht="127.5" customHeight="1">
      <c r="A10" s="825">
        <v>6.0</v>
      </c>
      <c r="B10" s="826" t="s">
        <v>2639</v>
      </c>
      <c r="C10" s="827" t="s">
        <v>2640</v>
      </c>
      <c r="D10" s="828" t="s">
        <v>2641</v>
      </c>
      <c r="E10" s="826" t="s">
        <v>2642</v>
      </c>
      <c r="F10" s="827" t="s">
        <v>2643</v>
      </c>
      <c r="G10" s="827" t="s">
        <v>2644</v>
      </c>
      <c r="H10" s="827" t="s">
        <v>2645</v>
      </c>
      <c r="I10" s="827" t="s">
        <v>2646</v>
      </c>
      <c r="J10" s="829">
        <v>1.0</v>
      </c>
      <c r="K10" s="834">
        <v>1.0</v>
      </c>
      <c r="L10" s="829">
        <v>1.0</v>
      </c>
      <c r="M10" s="824" t="s">
        <v>301</v>
      </c>
      <c r="N10" s="824" t="s">
        <v>301</v>
      </c>
      <c r="O10" s="824" t="s">
        <v>301</v>
      </c>
      <c r="P10" s="824" t="s">
        <v>301</v>
      </c>
      <c r="Q10" s="824" t="s">
        <v>301</v>
      </c>
      <c r="R10" s="829">
        <v>1.0</v>
      </c>
      <c r="S10" s="808"/>
      <c r="T10" s="808"/>
      <c r="U10" s="808"/>
      <c r="V10" s="808"/>
      <c r="W10" s="808"/>
      <c r="X10" s="808"/>
      <c r="Y10" s="808"/>
      <c r="Z10" s="808"/>
      <c r="AA10" s="808"/>
    </row>
    <row r="11" ht="127.5" customHeight="1">
      <c r="A11" s="818">
        <v>7.0</v>
      </c>
      <c r="B11" s="819" t="s">
        <v>2647</v>
      </c>
      <c r="C11" s="820" t="s">
        <v>2648</v>
      </c>
      <c r="D11" s="821" t="s">
        <v>2649</v>
      </c>
      <c r="E11" s="819" t="s">
        <v>2650</v>
      </c>
      <c r="F11" s="820" t="s">
        <v>2651</v>
      </c>
      <c r="G11" s="820" t="s">
        <v>2652</v>
      </c>
      <c r="H11" s="820" t="s">
        <v>2653</v>
      </c>
      <c r="I11" s="820" t="s">
        <v>2654</v>
      </c>
      <c r="J11" s="831" t="s">
        <v>2655</v>
      </c>
      <c r="K11" s="820" t="s">
        <v>2656</v>
      </c>
      <c r="L11" s="822">
        <v>1.0</v>
      </c>
      <c r="M11" s="824" t="s">
        <v>301</v>
      </c>
      <c r="N11" s="824" t="s">
        <v>301</v>
      </c>
      <c r="O11" s="824" t="s">
        <v>301</v>
      </c>
      <c r="P11" s="824" t="s">
        <v>301</v>
      </c>
      <c r="Q11" s="824" t="s">
        <v>301</v>
      </c>
      <c r="R11" s="808" t="s">
        <v>2541</v>
      </c>
      <c r="S11" s="808"/>
      <c r="T11" s="808"/>
      <c r="U11" s="808"/>
      <c r="V11" s="808"/>
      <c r="W11" s="808"/>
      <c r="X11" s="808"/>
      <c r="Y11" s="808"/>
      <c r="Z11" s="808"/>
      <c r="AA11" s="808"/>
    </row>
    <row r="12" ht="127.5" customHeight="1">
      <c r="A12" s="825">
        <v>8.0</v>
      </c>
      <c r="B12" s="826" t="s">
        <v>2657</v>
      </c>
      <c r="C12" s="827" t="s">
        <v>2658</v>
      </c>
      <c r="D12" s="828" t="s">
        <v>2659</v>
      </c>
      <c r="E12" s="826" t="s">
        <v>2660</v>
      </c>
      <c r="F12" s="827" t="s">
        <v>2661</v>
      </c>
      <c r="G12" s="827" t="s">
        <v>2662</v>
      </c>
      <c r="H12" s="827" t="s">
        <v>2663</v>
      </c>
      <c r="I12" s="827" t="s">
        <v>2664</v>
      </c>
      <c r="J12" s="835" t="s">
        <v>2665</v>
      </c>
      <c r="K12" s="830" t="s">
        <v>2666</v>
      </c>
      <c r="L12" s="829">
        <v>1.2</v>
      </c>
      <c r="M12" s="824" t="s">
        <v>301</v>
      </c>
      <c r="N12" s="824" t="s">
        <v>301</v>
      </c>
      <c r="O12" s="824" t="s">
        <v>301</v>
      </c>
      <c r="P12" s="824" t="s">
        <v>301</v>
      </c>
      <c r="Q12" s="832" t="s">
        <v>271</v>
      </c>
      <c r="R12" s="833">
        <v>1.352</v>
      </c>
      <c r="S12" s="808"/>
      <c r="T12" s="808"/>
      <c r="U12" s="808"/>
      <c r="V12" s="808"/>
      <c r="W12" s="808"/>
      <c r="X12" s="808"/>
      <c r="Y12" s="808"/>
      <c r="Z12" s="808"/>
      <c r="AA12" s="808"/>
    </row>
    <row r="13" ht="127.5" customHeight="1">
      <c r="A13" s="818">
        <v>9.0</v>
      </c>
      <c r="B13" s="819" t="s">
        <v>2667</v>
      </c>
      <c r="C13" s="820" t="s">
        <v>2668</v>
      </c>
      <c r="D13" s="821" t="s">
        <v>2669</v>
      </c>
      <c r="E13" s="819" t="s">
        <v>2670</v>
      </c>
      <c r="F13" s="820" t="s">
        <v>2671</v>
      </c>
      <c r="G13" s="820" t="s">
        <v>2672</v>
      </c>
      <c r="H13" s="820" t="s">
        <v>2673</v>
      </c>
      <c r="I13" s="820" t="s">
        <v>2674</v>
      </c>
      <c r="J13" s="831" t="s">
        <v>2675</v>
      </c>
      <c r="K13" s="820" t="s">
        <v>2676</v>
      </c>
      <c r="L13" s="822">
        <v>1.2</v>
      </c>
      <c r="M13" s="824" t="s">
        <v>301</v>
      </c>
      <c r="N13" s="824" t="s">
        <v>301</v>
      </c>
      <c r="O13" s="824" t="s">
        <v>301</v>
      </c>
      <c r="P13" s="824" t="s">
        <v>301</v>
      </c>
      <c r="Q13" s="832" t="s">
        <v>271</v>
      </c>
      <c r="R13" s="833">
        <v>57.5</v>
      </c>
      <c r="S13" s="808"/>
      <c r="T13" s="808"/>
      <c r="U13" s="808"/>
      <c r="V13" s="808"/>
      <c r="W13" s="808"/>
      <c r="X13" s="808"/>
      <c r="Y13" s="808"/>
      <c r="Z13" s="808"/>
      <c r="AA13" s="808"/>
    </row>
    <row r="14" ht="139.5" customHeight="1">
      <c r="A14" s="825">
        <v>10.0</v>
      </c>
      <c r="B14" s="826" t="s">
        <v>2677</v>
      </c>
      <c r="C14" s="827" t="s">
        <v>2678</v>
      </c>
      <c r="D14" s="828" t="s">
        <v>2679</v>
      </c>
      <c r="E14" s="826" t="s">
        <v>2680</v>
      </c>
      <c r="F14" s="827" t="s">
        <v>2681</v>
      </c>
      <c r="G14" s="827" t="s">
        <v>2682</v>
      </c>
      <c r="H14" s="827" t="s">
        <v>2683</v>
      </c>
      <c r="I14" s="827" t="s">
        <v>2684</v>
      </c>
      <c r="J14" s="835" t="s">
        <v>2685</v>
      </c>
      <c r="K14" s="827" t="s">
        <v>2686</v>
      </c>
      <c r="L14" s="829">
        <v>0.9587</v>
      </c>
      <c r="M14" s="824" t="s">
        <v>301</v>
      </c>
      <c r="N14" s="824" t="s">
        <v>301</v>
      </c>
      <c r="O14" s="824" t="s">
        <v>301</v>
      </c>
      <c r="P14" s="824" t="s">
        <v>301</v>
      </c>
      <c r="Q14" s="824" t="s">
        <v>301</v>
      </c>
      <c r="R14" s="829">
        <v>0.9587</v>
      </c>
      <c r="S14" s="808"/>
      <c r="T14" s="808"/>
      <c r="U14" s="808"/>
      <c r="V14" s="808"/>
      <c r="W14" s="808"/>
      <c r="X14" s="808"/>
      <c r="Y14" s="808"/>
      <c r="Z14" s="808"/>
      <c r="AA14" s="808"/>
    </row>
    <row r="15" ht="139.5" customHeight="1">
      <c r="A15" s="818">
        <v>11.0</v>
      </c>
      <c r="B15" s="819" t="s">
        <v>2687</v>
      </c>
      <c r="C15" s="820" t="s">
        <v>2688</v>
      </c>
      <c r="D15" s="821" t="s">
        <v>2689</v>
      </c>
      <c r="E15" s="836" t="s">
        <v>2690</v>
      </c>
      <c r="F15" s="820" t="s">
        <v>2691</v>
      </c>
      <c r="G15" s="820" t="s">
        <v>2692</v>
      </c>
      <c r="H15" s="820" t="s">
        <v>2693</v>
      </c>
      <c r="I15" s="820" t="s">
        <v>2694</v>
      </c>
      <c r="J15" s="822">
        <v>0.5</v>
      </c>
      <c r="K15" s="822">
        <v>0.5435</v>
      </c>
      <c r="L15" s="822">
        <v>1.087</v>
      </c>
      <c r="M15" s="824" t="s">
        <v>301</v>
      </c>
      <c r="N15" s="824" t="s">
        <v>301</v>
      </c>
      <c r="O15" s="824" t="s">
        <v>301</v>
      </c>
      <c r="P15" s="824" t="s">
        <v>301</v>
      </c>
      <c r="Q15" s="824" t="s">
        <v>301</v>
      </c>
      <c r="R15" s="822">
        <v>1.087</v>
      </c>
      <c r="S15" s="808"/>
      <c r="T15" s="808"/>
      <c r="U15" s="808"/>
      <c r="V15" s="808"/>
      <c r="W15" s="808"/>
      <c r="X15" s="808"/>
      <c r="Y15" s="808"/>
      <c r="Z15" s="808"/>
      <c r="AA15" s="808"/>
    </row>
    <row r="16" ht="127.5" customHeight="1">
      <c r="A16" s="825">
        <v>12.0</v>
      </c>
      <c r="B16" s="826" t="s">
        <v>2695</v>
      </c>
      <c r="C16" s="827" t="s">
        <v>2696</v>
      </c>
      <c r="D16" s="828" t="s">
        <v>2697</v>
      </c>
      <c r="E16" s="827" t="s">
        <v>2698</v>
      </c>
      <c r="F16" s="827" t="s">
        <v>2699</v>
      </c>
      <c r="G16" s="827" t="s">
        <v>2700</v>
      </c>
      <c r="H16" s="827" t="s">
        <v>2701</v>
      </c>
      <c r="I16" s="827" t="s">
        <v>2702</v>
      </c>
      <c r="J16" s="830" t="s">
        <v>2703</v>
      </c>
      <c r="K16" s="830" t="s">
        <v>2704</v>
      </c>
      <c r="L16" s="829">
        <v>1.2</v>
      </c>
      <c r="M16" s="824" t="s">
        <v>301</v>
      </c>
      <c r="N16" s="824" t="s">
        <v>301</v>
      </c>
      <c r="O16" s="824" t="s">
        <v>301</v>
      </c>
      <c r="P16" s="824" t="s">
        <v>301</v>
      </c>
      <c r="Q16" s="832" t="s">
        <v>271</v>
      </c>
      <c r="R16" s="833">
        <v>1.5636</v>
      </c>
      <c r="S16" s="808"/>
      <c r="T16" s="808"/>
      <c r="U16" s="808"/>
      <c r="V16" s="808"/>
      <c r="W16" s="808"/>
      <c r="X16" s="808"/>
      <c r="Y16" s="808"/>
      <c r="Z16" s="808"/>
      <c r="AA16" s="808"/>
    </row>
    <row r="17" ht="127.5" customHeight="1">
      <c r="A17" s="818">
        <v>13.0</v>
      </c>
      <c r="B17" s="819" t="s">
        <v>2705</v>
      </c>
      <c r="C17" s="820" t="s">
        <v>2706</v>
      </c>
      <c r="D17" s="821" t="s">
        <v>2707</v>
      </c>
      <c r="E17" s="821" t="s">
        <v>2708</v>
      </c>
      <c r="F17" s="820" t="s">
        <v>2709</v>
      </c>
      <c r="G17" s="820" t="s">
        <v>2710</v>
      </c>
      <c r="H17" s="820" t="s">
        <v>2711</v>
      </c>
      <c r="I17" s="820" t="s">
        <v>2712</v>
      </c>
      <c r="J17" s="831" t="s">
        <v>2713</v>
      </c>
      <c r="K17" s="820" t="s">
        <v>2714</v>
      </c>
      <c r="L17" s="822">
        <v>1.2</v>
      </c>
      <c r="M17" s="824" t="s">
        <v>301</v>
      </c>
      <c r="N17" s="824" t="s">
        <v>301</v>
      </c>
      <c r="O17" s="824" t="s">
        <v>301</v>
      </c>
      <c r="P17" s="824" t="s">
        <v>301</v>
      </c>
      <c r="Q17" s="832" t="s">
        <v>271</v>
      </c>
      <c r="R17" s="833">
        <v>1.5</v>
      </c>
      <c r="S17" s="808"/>
      <c r="T17" s="808"/>
      <c r="U17" s="808"/>
      <c r="V17" s="808"/>
      <c r="W17" s="808"/>
      <c r="X17" s="808"/>
      <c r="Y17" s="808"/>
      <c r="Z17" s="808"/>
      <c r="AA17" s="808"/>
    </row>
    <row r="18" ht="151.5" customHeight="1">
      <c r="A18" s="825">
        <v>14.0</v>
      </c>
      <c r="B18" s="826" t="s">
        <v>2715</v>
      </c>
      <c r="C18" s="827" t="s">
        <v>2716</v>
      </c>
      <c r="D18" s="828" t="s">
        <v>2717</v>
      </c>
      <c r="E18" s="826" t="s">
        <v>2718</v>
      </c>
      <c r="F18" s="827" t="s">
        <v>2719</v>
      </c>
      <c r="G18" s="827" t="s">
        <v>2720</v>
      </c>
      <c r="H18" s="827" t="s">
        <v>2721</v>
      </c>
      <c r="I18" s="827" t="s">
        <v>2722</v>
      </c>
      <c r="J18" s="830" t="s">
        <v>2723</v>
      </c>
      <c r="K18" s="827" t="s">
        <v>2724</v>
      </c>
      <c r="L18" s="829">
        <v>1.2</v>
      </c>
      <c r="M18" s="824" t="s">
        <v>301</v>
      </c>
      <c r="N18" s="824" t="s">
        <v>301</v>
      </c>
      <c r="O18" s="824" t="s">
        <v>301</v>
      </c>
      <c r="P18" s="824" t="s">
        <v>301</v>
      </c>
      <c r="Q18" s="832" t="s">
        <v>271</v>
      </c>
      <c r="R18" s="833">
        <v>1.4</v>
      </c>
      <c r="S18" s="808"/>
      <c r="T18" s="808"/>
      <c r="U18" s="808"/>
      <c r="V18" s="808"/>
      <c r="W18" s="808"/>
      <c r="X18" s="808"/>
      <c r="Y18" s="808"/>
      <c r="Z18" s="808"/>
      <c r="AA18" s="808"/>
    </row>
    <row r="19" ht="127.5" customHeight="1">
      <c r="A19" s="818">
        <v>15.0</v>
      </c>
      <c r="B19" s="819" t="s">
        <v>2725</v>
      </c>
      <c r="C19" s="820" t="s">
        <v>2726</v>
      </c>
      <c r="D19" s="821" t="s">
        <v>2727</v>
      </c>
      <c r="E19" s="819" t="s">
        <v>2728</v>
      </c>
      <c r="F19" s="820" t="s">
        <v>2729</v>
      </c>
      <c r="G19" s="820" t="s">
        <v>2730</v>
      </c>
      <c r="H19" s="820" t="s">
        <v>2731</v>
      </c>
      <c r="I19" s="820" t="s">
        <v>2732</v>
      </c>
      <c r="J19" s="822">
        <v>1.0</v>
      </c>
      <c r="K19" s="823">
        <v>1.0</v>
      </c>
      <c r="L19" s="822">
        <v>1.0</v>
      </c>
      <c r="M19" s="824" t="s">
        <v>301</v>
      </c>
      <c r="N19" s="824" t="s">
        <v>301</v>
      </c>
      <c r="O19" s="824" t="s">
        <v>301</v>
      </c>
      <c r="P19" s="824" t="s">
        <v>301</v>
      </c>
      <c r="Q19" s="824" t="s">
        <v>301</v>
      </c>
      <c r="R19" s="822">
        <v>1.0</v>
      </c>
      <c r="S19" s="808"/>
      <c r="T19" s="808"/>
      <c r="U19" s="808"/>
      <c r="V19" s="808"/>
      <c r="W19" s="808"/>
      <c r="X19" s="808"/>
      <c r="Y19" s="808"/>
      <c r="Z19" s="808"/>
      <c r="AA19" s="808"/>
    </row>
    <row r="20" ht="127.5" customHeight="1">
      <c r="A20" s="825">
        <v>16.0</v>
      </c>
      <c r="B20" s="826" t="s">
        <v>2733</v>
      </c>
      <c r="C20" s="827" t="s">
        <v>2734</v>
      </c>
      <c r="D20" s="828" t="s">
        <v>2735</v>
      </c>
      <c r="E20" s="826" t="s">
        <v>2736</v>
      </c>
      <c r="F20" s="827" t="s">
        <v>2737</v>
      </c>
      <c r="G20" s="827" t="s">
        <v>2738</v>
      </c>
      <c r="H20" s="827" t="s">
        <v>2739</v>
      </c>
      <c r="I20" s="827" t="s">
        <v>2740</v>
      </c>
      <c r="J20" s="829">
        <v>0.01</v>
      </c>
      <c r="K20" s="829">
        <v>0.0165</v>
      </c>
      <c r="L20" s="829">
        <v>1.2</v>
      </c>
      <c r="M20" s="824" t="s">
        <v>301</v>
      </c>
      <c r="N20" s="824" t="s">
        <v>301</v>
      </c>
      <c r="O20" s="824" t="s">
        <v>301</v>
      </c>
      <c r="P20" s="824" t="s">
        <v>301</v>
      </c>
      <c r="Q20" s="832" t="s">
        <v>271</v>
      </c>
      <c r="R20" s="833">
        <v>1.65</v>
      </c>
      <c r="S20" s="808"/>
      <c r="T20" s="808"/>
      <c r="U20" s="808"/>
      <c r="V20" s="808"/>
      <c r="W20" s="808"/>
      <c r="X20" s="808"/>
      <c r="Y20" s="808"/>
      <c r="Z20" s="808"/>
      <c r="AA20" s="808"/>
    </row>
    <row r="21" ht="187.5" customHeight="1">
      <c r="A21" s="837">
        <v>17.0</v>
      </c>
      <c r="B21" s="819" t="s">
        <v>2741</v>
      </c>
      <c r="C21" s="820" t="s">
        <v>2742</v>
      </c>
      <c r="D21" s="821" t="s">
        <v>2743</v>
      </c>
      <c r="E21" s="820" t="s">
        <v>2744</v>
      </c>
      <c r="F21" s="820" t="s">
        <v>2745</v>
      </c>
      <c r="G21" s="820" t="s">
        <v>2746</v>
      </c>
      <c r="H21" s="820" t="s">
        <v>2747</v>
      </c>
      <c r="I21" s="831" t="s">
        <v>2748</v>
      </c>
      <c r="J21" s="822">
        <v>1.0</v>
      </c>
      <c r="K21" s="823">
        <v>1.0</v>
      </c>
      <c r="L21" s="822">
        <v>1.0</v>
      </c>
      <c r="M21" s="824" t="s">
        <v>301</v>
      </c>
      <c r="N21" s="824" t="s">
        <v>301</v>
      </c>
      <c r="O21" s="824" t="s">
        <v>301</v>
      </c>
      <c r="P21" s="824" t="s">
        <v>301</v>
      </c>
      <c r="Q21" s="824" t="s">
        <v>301</v>
      </c>
      <c r="R21" s="822">
        <v>1.0</v>
      </c>
      <c r="S21" s="808"/>
      <c r="T21" s="808"/>
      <c r="U21" s="808"/>
      <c r="V21" s="808"/>
      <c r="W21" s="808"/>
      <c r="X21" s="808"/>
      <c r="Y21" s="808"/>
      <c r="Z21" s="808"/>
      <c r="AA21" s="808"/>
    </row>
    <row r="22" ht="187.5" customHeight="1">
      <c r="A22" s="838">
        <v>18.0</v>
      </c>
      <c r="B22" s="826" t="s">
        <v>2749</v>
      </c>
      <c r="C22" s="827" t="s">
        <v>2750</v>
      </c>
      <c r="D22" s="828" t="s">
        <v>2751</v>
      </c>
      <c r="E22" s="826" t="s">
        <v>2752</v>
      </c>
      <c r="F22" s="827" t="s">
        <v>2753</v>
      </c>
      <c r="G22" s="827" t="s">
        <v>2754</v>
      </c>
      <c r="H22" s="827" t="s">
        <v>2755</v>
      </c>
      <c r="I22" s="830" t="s">
        <v>2756</v>
      </c>
      <c r="J22" s="829">
        <v>1.0</v>
      </c>
      <c r="K22" s="834">
        <v>1.0</v>
      </c>
      <c r="L22" s="829">
        <v>1.0</v>
      </c>
      <c r="M22" s="824" t="s">
        <v>301</v>
      </c>
      <c r="N22" s="824" t="s">
        <v>301</v>
      </c>
      <c r="O22" s="824" t="s">
        <v>301</v>
      </c>
      <c r="P22" s="824" t="s">
        <v>301</v>
      </c>
      <c r="Q22" s="824" t="s">
        <v>301</v>
      </c>
      <c r="R22" s="829">
        <v>1.0</v>
      </c>
      <c r="S22" s="808"/>
      <c r="T22" s="808"/>
      <c r="U22" s="808"/>
      <c r="V22" s="808"/>
      <c r="W22" s="808"/>
      <c r="X22" s="808"/>
      <c r="Y22" s="808"/>
      <c r="Z22" s="808"/>
      <c r="AA22" s="808"/>
    </row>
    <row r="23" ht="187.5" customHeight="1">
      <c r="A23" s="837">
        <v>19.0</v>
      </c>
      <c r="B23" s="819" t="s">
        <v>2757</v>
      </c>
      <c r="C23" s="820" t="s">
        <v>2758</v>
      </c>
      <c r="D23" s="819" t="s">
        <v>2759</v>
      </c>
      <c r="E23" s="819" t="s">
        <v>2760</v>
      </c>
      <c r="F23" s="820" t="s">
        <v>2761</v>
      </c>
      <c r="G23" s="820" t="s">
        <v>2762</v>
      </c>
      <c r="H23" s="820" t="s">
        <v>2763</v>
      </c>
      <c r="I23" s="831" t="s">
        <v>2764</v>
      </c>
      <c r="J23" s="822">
        <v>1.0</v>
      </c>
      <c r="K23" s="823">
        <v>1.0</v>
      </c>
      <c r="L23" s="822">
        <v>1.0</v>
      </c>
      <c r="M23" s="824" t="s">
        <v>301</v>
      </c>
      <c r="N23" s="824" t="s">
        <v>301</v>
      </c>
      <c r="O23" s="824" t="s">
        <v>301</v>
      </c>
      <c r="P23" s="824" t="s">
        <v>301</v>
      </c>
      <c r="Q23" s="824" t="s">
        <v>301</v>
      </c>
      <c r="R23" s="822">
        <v>1.0</v>
      </c>
      <c r="S23" s="808"/>
      <c r="T23" s="808"/>
      <c r="U23" s="808"/>
      <c r="V23" s="808"/>
      <c r="W23" s="808"/>
      <c r="X23" s="808"/>
      <c r="Y23" s="808"/>
      <c r="Z23" s="808"/>
      <c r="AA23" s="808"/>
    </row>
    <row r="24" ht="187.5" customHeight="1">
      <c r="A24" s="838">
        <v>20.0</v>
      </c>
      <c r="B24" s="826" t="s">
        <v>2765</v>
      </c>
      <c r="C24" s="827" t="s">
        <v>2766</v>
      </c>
      <c r="D24" s="826" t="s">
        <v>2767</v>
      </c>
      <c r="E24" s="826" t="s">
        <v>2768</v>
      </c>
      <c r="F24" s="827" t="s">
        <v>2769</v>
      </c>
      <c r="G24" s="827" t="s">
        <v>2770</v>
      </c>
      <c r="H24" s="827" t="s">
        <v>2771</v>
      </c>
      <c r="I24" s="830" t="s">
        <v>2772</v>
      </c>
      <c r="J24" s="830" t="s">
        <v>2773</v>
      </c>
      <c r="K24" s="827" t="s">
        <v>2774</v>
      </c>
      <c r="L24" s="829">
        <v>1.0</v>
      </c>
      <c r="M24" s="824" t="s">
        <v>301</v>
      </c>
      <c r="N24" s="824" t="s">
        <v>301</v>
      </c>
      <c r="O24" s="824" t="s">
        <v>301</v>
      </c>
      <c r="P24" s="824" t="s">
        <v>301</v>
      </c>
      <c r="Q24" s="824" t="s">
        <v>301</v>
      </c>
      <c r="R24" s="822">
        <v>1.0</v>
      </c>
      <c r="S24" s="808"/>
      <c r="T24" s="808"/>
      <c r="U24" s="808"/>
      <c r="V24" s="808"/>
      <c r="W24" s="808"/>
      <c r="X24" s="808"/>
      <c r="Y24" s="808"/>
      <c r="Z24" s="808"/>
      <c r="AA24" s="808"/>
    </row>
    <row r="25" ht="187.5" customHeight="1">
      <c r="A25" s="839">
        <v>21.0</v>
      </c>
      <c r="B25" s="840" t="s">
        <v>2775</v>
      </c>
      <c r="C25" s="841" t="s">
        <v>2776</v>
      </c>
      <c r="D25" s="842" t="s">
        <v>2777</v>
      </c>
      <c r="E25" s="840" t="s">
        <v>2778</v>
      </c>
      <c r="F25" s="841" t="s">
        <v>2779</v>
      </c>
      <c r="G25" s="841" t="s">
        <v>2780</v>
      </c>
      <c r="H25" s="841" t="s">
        <v>2781</v>
      </c>
      <c r="I25" s="843" t="s">
        <v>2782</v>
      </c>
      <c r="J25" s="844">
        <v>1.0</v>
      </c>
      <c r="K25" s="844">
        <v>0.9967</v>
      </c>
      <c r="L25" s="844">
        <v>0.9967</v>
      </c>
      <c r="M25" s="824" t="s">
        <v>301</v>
      </c>
      <c r="N25" s="824" t="s">
        <v>301</v>
      </c>
      <c r="O25" s="824" t="s">
        <v>301</v>
      </c>
      <c r="P25" s="824" t="s">
        <v>301</v>
      </c>
      <c r="Q25" s="824" t="s">
        <v>301</v>
      </c>
      <c r="R25" s="844">
        <v>0.9967</v>
      </c>
      <c r="S25" s="808"/>
      <c r="T25" s="808"/>
      <c r="U25" s="808"/>
      <c r="V25" s="808"/>
      <c r="W25" s="808"/>
      <c r="X25" s="808"/>
      <c r="Y25" s="808"/>
      <c r="Z25" s="808"/>
      <c r="AA25" s="808"/>
    </row>
    <row r="26" ht="187.5" customHeight="1">
      <c r="A26" s="845">
        <v>22.0</v>
      </c>
      <c r="B26" s="846" t="s">
        <v>2783</v>
      </c>
      <c r="C26" s="847" t="s">
        <v>2784</v>
      </c>
      <c r="D26" s="848" t="s">
        <v>2785</v>
      </c>
      <c r="E26" s="847" t="s">
        <v>2786</v>
      </c>
      <c r="F26" s="847" t="s">
        <v>2787</v>
      </c>
      <c r="G26" s="847" t="s">
        <v>2788</v>
      </c>
      <c r="H26" s="847" t="s">
        <v>2789</v>
      </c>
      <c r="I26" s="849" t="s">
        <v>2790</v>
      </c>
      <c r="J26" s="850">
        <v>0.2</v>
      </c>
      <c r="K26" s="851">
        <v>0.2</v>
      </c>
      <c r="L26" s="850">
        <v>1.0</v>
      </c>
      <c r="M26" s="824" t="s">
        <v>301</v>
      </c>
      <c r="N26" s="824" t="s">
        <v>301</v>
      </c>
      <c r="O26" s="824" t="s">
        <v>301</v>
      </c>
      <c r="P26" s="824" t="s">
        <v>301</v>
      </c>
      <c r="Q26" s="824" t="s">
        <v>301</v>
      </c>
      <c r="R26" s="850">
        <v>1.0</v>
      </c>
      <c r="S26" s="808"/>
      <c r="T26" s="808"/>
      <c r="U26" s="808"/>
      <c r="V26" s="808"/>
      <c r="W26" s="808"/>
      <c r="X26" s="808"/>
      <c r="Y26" s="808"/>
      <c r="Z26" s="808"/>
      <c r="AA26" s="808"/>
    </row>
    <row r="27" ht="187.5" customHeight="1">
      <c r="A27" s="837">
        <v>23.0</v>
      </c>
      <c r="B27" s="819" t="s">
        <v>2791</v>
      </c>
      <c r="C27" s="820" t="s">
        <v>2792</v>
      </c>
      <c r="D27" s="821" t="s">
        <v>2793</v>
      </c>
      <c r="E27" s="819" t="s">
        <v>2794</v>
      </c>
      <c r="F27" s="820" t="s">
        <v>2795</v>
      </c>
      <c r="G27" s="820" t="s">
        <v>2796</v>
      </c>
      <c r="H27" s="820" t="s">
        <v>2797</v>
      </c>
      <c r="I27" s="831" t="s">
        <v>2798</v>
      </c>
      <c r="J27" s="831" t="s">
        <v>2799</v>
      </c>
      <c r="K27" s="831" t="s">
        <v>2800</v>
      </c>
      <c r="L27" s="822">
        <v>1.05</v>
      </c>
      <c r="M27" s="824" t="s">
        <v>301</v>
      </c>
      <c r="N27" s="824" t="s">
        <v>301</v>
      </c>
      <c r="O27" s="824" t="s">
        <v>301</v>
      </c>
      <c r="P27" s="824" t="s">
        <v>301</v>
      </c>
      <c r="Q27" s="824" t="s">
        <v>301</v>
      </c>
      <c r="R27" s="822">
        <v>1.05</v>
      </c>
      <c r="S27" s="808"/>
      <c r="T27" s="808"/>
      <c r="U27" s="808"/>
      <c r="V27" s="808"/>
      <c r="W27" s="808"/>
      <c r="X27" s="808"/>
      <c r="Y27" s="808"/>
      <c r="Z27" s="808"/>
      <c r="AA27" s="808"/>
    </row>
    <row r="28" ht="187.5" customHeight="1">
      <c r="A28" s="838">
        <v>24.0</v>
      </c>
      <c r="B28" s="826" t="s">
        <v>2801</v>
      </c>
      <c r="C28" s="827" t="s">
        <v>2802</v>
      </c>
      <c r="D28" s="828" t="s">
        <v>2803</v>
      </c>
      <c r="E28" s="826" t="s">
        <v>2804</v>
      </c>
      <c r="F28" s="827" t="s">
        <v>2805</v>
      </c>
      <c r="G28" s="827" t="s">
        <v>2806</v>
      </c>
      <c r="H28" s="827" t="s">
        <v>2807</v>
      </c>
      <c r="I28" s="830" t="s">
        <v>2808</v>
      </c>
      <c r="J28" s="830" t="s">
        <v>2809</v>
      </c>
      <c r="K28" s="830" t="s">
        <v>2810</v>
      </c>
      <c r="L28" s="829">
        <v>1.0412</v>
      </c>
      <c r="M28" s="824" t="s">
        <v>301</v>
      </c>
      <c r="N28" s="824" t="s">
        <v>301</v>
      </c>
      <c r="O28" s="824" t="s">
        <v>301</v>
      </c>
      <c r="P28" s="824" t="s">
        <v>301</v>
      </c>
      <c r="Q28" s="824" t="s">
        <v>301</v>
      </c>
      <c r="R28" s="829">
        <v>1.0412</v>
      </c>
      <c r="S28" s="808"/>
      <c r="T28" s="808"/>
      <c r="U28" s="808"/>
      <c r="V28" s="808"/>
      <c r="W28" s="808"/>
      <c r="X28" s="808"/>
      <c r="Y28" s="808"/>
      <c r="Z28" s="808"/>
      <c r="AA28" s="808"/>
    </row>
    <row r="29" ht="187.5" customHeight="1">
      <c r="A29" s="818">
        <v>25.0</v>
      </c>
      <c r="B29" s="819" t="s">
        <v>2811</v>
      </c>
      <c r="C29" s="820" t="s">
        <v>2812</v>
      </c>
      <c r="D29" s="821" t="s">
        <v>2813</v>
      </c>
      <c r="E29" s="820" t="s">
        <v>2814</v>
      </c>
      <c r="F29" s="820" t="s">
        <v>2815</v>
      </c>
      <c r="G29" s="820" t="s">
        <v>2816</v>
      </c>
      <c r="H29" s="820" t="s">
        <v>2817</v>
      </c>
      <c r="I29" s="820" t="s">
        <v>2818</v>
      </c>
      <c r="J29" s="822">
        <v>0.8</v>
      </c>
      <c r="K29" s="823">
        <v>0.66</v>
      </c>
      <c r="L29" s="822">
        <v>0.825</v>
      </c>
      <c r="M29" s="824" t="s">
        <v>301</v>
      </c>
      <c r="N29" s="824" t="s">
        <v>301</v>
      </c>
      <c r="O29" s="824" t="s">
        <v>301</v>
      </c>
      <c r="P29" s="824" t="s">
        <v>301</v>
      </c>
      <c r="Q29" s="824" t="s">
        <v>301</v>
      </c>
      <c r="R29" s="822">
        <v>0.825</v>
      </c>
      <c r="S29" s="808"/>
      <c r="T29" s="808"/>
      <c r="U29" s="808"/>
      <c r="V29" s="808"/>
      <c r="W29" s="808"/>
      <c r="X29" s="808"/>
      <c r="Y29" s="808"/>
      <c r="Z29" s="808"/>
      <c r="AA29" s="808"/>
    </row>
    <row r="30" ht="103.5" customHeight="1">
      <c r="A30" s="825">
        <v>26.0</v>
      </c>
      <c r="B30" s="826" t="s">
        <v>2819</v>
      </c>
      <c r="C30" s="827" t="s">
        <v>2820</v>
      </c>
      <c r="D30" s="828" t="s">
        <v>2821</v>
      </c>
      <c r="E30" s="826" t="s">
        <v>2822</v>
      </c>
      <c r="F30" s="827" t="s">
        <v>2823</v>
      </c>
      <c r="G30" s="827" t="s">
        <v>2824</v>
      </c>
      <c r="H30" s="827" t="s">
        <v>2825</v>
      </c>
      <c r="I30" s="827" t="s">
        <v>2826</v>
      </c>
      <c r="J30" s="828" t="s">
        <v>2827</v>
      </c>
      <c r="K30" s="830" t="s">
        <v>2828</v>
      </c>
      <c r="L30" s="829">
        <v>1.0</v>
      </c>
      <c r="M30" s="824" t="s">
        <v>301</v>
      </c>
      <c r="N30" s="824" t="s">
        <v>301</v>
      </c>
      <c r="O30" s="824" t="s">
        <v>301</v>
      </c>
      <c r="P30" s="824" t="s">
        <v>301</v>
      </c>
      <c r="Q30" s="824" t="s">
        <v>301</v>
      </c>
      <c r="R30" s="829">
        <v>1.0</v>
      </c>
      <c r="S30" s="808"/>
      <c r="T30" s="808"/>
      <c r="U30" s="808"/>
      <c r="V30" s="808"/>
      <c r="W30" s="808"/>
      <c r="X30" s="808"/>
      <c r="Y30" s="808"/>
      <c r="Z30" s="808"/>
      <c r="AA30" s="808"/>
    </row>
    <row r="31" ht="115.5" customHeight="1">
      <c r="A31" s="818">
        <v>27.0</v>
      </c>
      <c r="B31" s="819" t="s">
        <v>2829</v>
      </c>
      <c r="C31" s="820" t="s">
        <v>2830</v>
      </c>
      <c r="D31" s="821" t="s">
        <v>2831</v>
      </c>
      <c r="E31" s="819" t="s">
        <v>2832</v>
      </c>
      <c r="F31" s="820" t="s">
        <v>2833</v>
      </c>
      <c r="G31" s="820" t="s">
        <v>2834</v>
      </c>
      <c r="H31" s="820" t="s">
        <v>2835</v>
      </c>
      <c r="I31" s="820" t="s">
        <v>2836</v>
      </c>
      <c r="J31" s="822">
        <v>0.05</v>
      </c>
      <c r="K31" s="822">
        <v>0.0529</v>
      </c>
      <c r="L31" s="822">
        <v>1.058</v>
      </c>
      <c r="M31" s="824" t="s">
        <v>301</v>
      </c>
      <c r="N31" s="824" t="s">
        <v>301</v>
      </c>
      <c r="O31" s="824" t="s">
        <v>301</v>
      </c>
      <c r="P31" s="824" t="s">
        <v>301</v>
      </c>
      <c r="Q31" s="824" t="s">
        <v>301</v>
      </c>
      <c r="R31" s="822">
        <v>1.058</v>
      </c>
      <c r="S31" s="808"/>
      <c r="T31" s="808"/>
      <c r="U31" s="808"/>
      <c r="V31" s="808"/>
      <c r="W31" s="808"/>
      <c r="X31" s="808"/>
      <c r="Y31" s="808"/>
      <c r="Z31" s="808"/>
      <c r="AA31" s="808"/>
    </row>
    <row r="32" ht="103.5" customHeight="1">
      <c r="A32" s="825">
        <v>28.0</v>
      </c>
      <c r="B32" s="826" t="s">
        <v>2837</v>
      </c>
      <c r="C32" s="827" t="s">
        <v>2838</v>
      </c>
      <c r="D32" s="828" t="s">
        <v>2839</v>
      </c>
      <c r="E32" s="826" t="s">
        <v>2840</v>
      </c>
      <c r="F32" s="827" t="s">
        <v>2841</v>
      </c>
      <c r="G32" s="827" t="s">
        <v>2842</v>
      </c>
      <c r="H32" s="827" t="s">
        <v>2843</v>
      </c>
      <c r="I32" s="827" t="s">
        <v>2844</v>
      </c>
      <c r="J32" s="828" t="s">
        <v>2845</v>
      </c>
      <c r="K32" s="830" t="s">
        <v>2846</v>
      </c>
      <c r="L32" s="829">
        <v>1.0</v>
      </c>
      <c r="M32" s="824" t="s">
        <v>301</v>
      </c>
      <c r="N32" s="824" t="s">
        <v>301</v>
      </c>
      <c r="O32" s="824" t="s">
        <v>301</v>
      </c>
      <c r="P32" s="824" t="s">
        <v>301</v>
      </c>
      <c r="Q32" s="824" t="s">
        <v>301</v>
      </c>
      <c r="R32" s="829">
        <v>1.0</v>
      </c>
      <c r="S32" s="808"/>
      <c r="T32" s="808"/>
      <c r="U32" s="808"/>
      <c r="V32" s="808"/>
      <c r="W32" s="808"/>
      <c r="X32" s="808"/>
      <c r="Y32" s="808"/>
      <c r="Z32" s="808"/>
      <c r="AA32" s="808"/>
    </row>
    <row r="33" ht="103.5" customHeight="1">
      <c r="A33" s="818">
        <v>29.0</v>
      </c>
      <c r="B33" s="819" t="s">
        <v>2847</v>
      </c>
      <c r="C33" s="820" t="s">
        <v>2848</v>
      </c>
      <c r="D33" s="821" t="s">
        <v>2849</v>
      </c>
      <c r="E33" s="819" t="s">
        <v>2850</v>
      </c>
      <c r="F33" s="820" t="s">
        <v>2851</v>
      </c>
      <c r="G33" s="820" t="s">
        <v>2852</v>
      </c>
      <c r="H33" s="820" t="s">
        <v>2853</v>
      </c>
      <c r="I33" s="820" t="s">
        <v>2854</v>
      </c>
      <c r="J33" s="822">
        <v>0.3</v>
      </c>
      <c r="K33" s="822">
        <v>0.3035</v>
      </c>
      <c r="L33" s="822">
        <v>1.0117</v>
      </c>
      <c r="M33" s="824" t="s">
        <v>301</v>
      </c>
      <c r="N33" s="824" t="s">
        <v>301</v>
      </c>
      <c r="O33" s="824" t="s">
        <v>301</v>
      </c>
      <c r="P33" s="824" t="s">
        <v>301</v>
      </c>
      <c r="Q33" s="824" t="s">
        <v>301</v>
      </c>
      <c r="R33" s="822">
        <v>1.0117</v>
      </c>
      <c r="S33" s="808"/>
      <c r="T33" s="808"/>
      <c r="U33" s="808"/>
      <c r="V33" s="808"/>
      <c r="W33" s="808"/>
      <c r="X33" s="808"/>
      <c r="Y33" s="808"/>
      <c r="Z33" s="808"/>
      <c r="AA33" s="808"/>
    </row>
    <row r="34" ht="127.5" customHeight="1">
      <c r="A34" s="825">
        <v>30.0</v>
      </c>
      <c r="B34" s="826" t="s">
        <v>2855</v>
      </c>
      <c r="C34" s="827" t="s">
        <v>2856</v>
      </c>
      <c r="D34" s="828" t="s">
        <v>2857</v>
      </c>
      <c r="E34" s="826" t="s">
        <v>2858</v>
      </c>
      <c r="F34" s="827" t="s">
        <v>2859</v>
      </c>
      <c r="G34" s="827" t="s">
        <v>2860</v>
      </c>
      <c r="H34" s="827" t="s">
        <v>2861</v>
      </c>
      <c r="I34" s="827" t="s">
        <v>2862</v>
      </c>
      <c r="J34" s="830" t="s">
        <v>2863</v>
      </c>
      <c r="K34" s="827" t="s">
        <v>2864</v>
      </c>
      <c r="L34" s="829">
        <v>1.0</v>
      </c>
      <c r="M34" s="824" t="s">
        <v>301</v>
      </c>
      <c r="N34" s="824" t="s">
        <v>301</v>
      </c>
      <c r="O34" s="824" t="s">
        <v>301</v>
      </c>
      <c r="P34" s="824" t="s">
        <v>301</v>
      </c>
      <c r="Q34" s="824" t="s">
        <v>301</v>
      </c>
      <c r="R34" s="829">
        <v>1.0</v>
      </c>
      <c r="S34" s="808"/>
      <c r="T34" s="808"/>
      <c r="U34" s="808"/>
      <c r="V34" s="808"/>
      <c r="W34" s="808"/>
      <c r="X34" s="808"/>
      <c r="Y34" s="808"/>
      <c r="Z34" s="808"/>
      <c r="AA34" s="808"/>
    </row>
    <row r="35" ht="103.5" customHeight="1">
      <c r="A35" s="818">
        <v>31.0</v>
      </c>
      <c r="B35" s="819" t="s">
        <v>2865</v>
      </c>
      <c r="C35" s="820" t="s">
        <v>2866</v>
      </c>
      <c r="D35" s="821" t="s">
        <v>2867</v>
      </c>
      <c r="E35" s="819" t="s">
        <v>2868</v>
      </c>
      <c r="F35" s="820" t="s">
        <v>2869</v>
      </c>
      <c r="G35" s="820" t="s">
        <v>2870</v>
      </c>
      <c r="H35" s="820" t="s">
        <v>2871</v>
      </c>
      <c r="I35" s="820" t="s">
        <v>2872</v>
      </c>
      <c r="J35" s="831" t="s">
        <v>2873</v>
      </c>
      <c r="K35" s="831" t="s">
        <v>2874</v>
      </c>
      <c r="L35" s="822">
        <v>1.0857</v>
      </c>
      <c r="M35" s="824" t="s">
        <v>301</v>
      </c>
      <c r="N35" s="824" t="s">
        <v>301</v>
      </c>
      <c r="O35" s="824" t="s">
        <v>301</v>
      </c>
      <c r="P35" s="824" t="s">
        <v>301</v>
      </c>
      <c r="Q35" s="824" t="s">
        <v>301</v>
      </c>
      <c r="R35" s="822">
        <v>1.0857</v>
      </c>
      <c r="S35" s="808"/>
      <c r="T35" s="808"/>
      <c r="U35" s="808"/>
      <c r="V35" s="808"/>
      <c r="W35" s="808"/>
      <c r="X35" s="808"/>
      <c r="Y35" s="808"/>
      <c r="Z35" s="808"/>
      <c r="AA35" s="808"/>
    </row>
    <row r="36" ht="103.5" customHeight="1">
      <c r="A36" s="825">
        <v>32.0</v>
      </c>
      <c r="B36" s="826" t="s">
        <v>2875</v>
      </c>
      <c r="C36" s="827" t="s">
        <v>2876</v>
      </c>
      <c r="D36" s="828" t="s">
        <v>2877</v>
      </c>
      <c r="E36" s="826" t="s">
        <v>2878</v>
      </c>
      <c r="F36" s="827" t="s">
        <v>2879</v>
      </c>
      <c r="G36" s="827" t="s">
        <v>2880</v>
      </c>
      <c r="H36" s="827" t="s">
        <v>2881</v>
      </c>
      <c r="I36" s="827" t="s">
        <v>2882</v>
      </c>
      <c r="J36" s="830" t="s">
        <v>2883</v>
      </c>
      <c r="K36" s="830" t="s">
        <v>2884</v>
      </c>
      <c r="L36" s="829">
        <v>1.1047</v>
      </c>
      <c r="M36" s="824" t="s">
        <v>301</v>
      </c>
      <c r="N36" s="824" t="s">
        <v>301</v>
      </c>
      <c r="O36" s="824" t="s">
        <v>301</v>
      </c>
      <c r="P36" s="824" t="s">
        <v>301</v>
      </c>
      <c r="Q36" s="824" t="s">
        <v>301</v>
      </c>
      <c r="R36" s="829">
        <v>1.1047</v>
      </c>
      <c r="S36" s="808"/>
      <c r="T36" s="808"/>
      <c r="U36" s="808"/>
      <c r="V36" s="808"/>
      <c r="W36" s="808"/>
      <c r="X36" s="808"/>
      <c r="Y36" s="808"/>
      <c r="Z36" s="808"/>
      <c r="AA36" s="808"/>
    </row>
    <row r="37" ht="91.5" customHeight="1">
      <c r="A37" s="818">
        <v>33.0</v>
      </c>
      <c r="B37" s="819" t="s">
        <v>2885</v>
      </c>
      <c r="C37" s="820" t="s">
        <v>2886</v>
      </c>
      <c r="D37" s="821" t="s">
        <v>2887</v>
      </c>
      <c r="E37" s="819" t="s">
        <v>2888</v>
      </c>
      <c r="F37" s="820" t="s">
        <v>2889</v>
      </c>
      <c r="G37" s="820" t="s">
        <v>2890</v>
      </c>
      <c r="H37" s="820" t="s">
        <v>2891</v>
      </c>
      <c r="I37" s="820" t="s">
        <v>2892</v>
      </c>
      <c r="J37" s="822">
        <v>0.1615</v>
      </c>
      <c r="K37" s="822">
        <v>0.1385</v>
      </c>
      <c r="L37" s="822">
        <v>0.8576</v>
      </c>
      <c r="M37" s="824" t="s">
        <v>301</v>
      </c>
      <c r="N37" s="824" t="s">
        <v>301</v>
      </c>
      <c r="O37" s="824" t="s">
        <v>301</v>
      </c>
      <c r="P37" s="824" t="s">
        <v>301</v>
      </c>
      <c r="Q37" s="824" t="s">
        <v>301</v>
      </c>
      <c r="R37" s="822">
        <v>0.8576</v>
      </c>
      <c r="S37" s="808"/>
      <c r="T37" s="808"/>
      <c r="U37" s="808"/>
      <c r="V37" s="808"/>
      <c r="W37" s="808"/>
      <c r="X37" s="808"/>
      <c r="Y37" s="808"/>
      <c r="Z37" s="808"/>
      <c r="AA37" s="808"/>
    </row>
    <row r="38" ht="91.5" customHeight="1">
      <c r="A38" s="825">
        <v>34.0</v>
      </c>
      <c r="B38" s="826" t="s">
        <v>2893</v>
      </c>
      <c r="C38" s="827" t="s">
        <v>2894</v>
      </c>
      <c r="D38" s="828" t="s">
        <v>2895</v>
      </c>
      <c r="E38" s="826" t="s">
        <v>2896</v>
      </c>
      <c r="F38" s="827" t="s">
        <v>2897</v>
      </c>
      <c r="G38" s="827" t="s">
        <v>2898</v>
      </c>
      <c r="H38" s="827" t="s">
        <v>2899</v>
      </c>
      <c r="I38" s="827" t="s">
        <v>2900</v>
      </c>
      <c r="J38" s="829">
        <v>0.235</v>
      </c>
      <c r="K38" s="829">
        <v>0.2243</v>
      </c>
      <c r="L38" s="829">
        <v>0.9545</v>
      </c>
      <c r="M38" s="824" t="s">
        <v>301</v>
      </c>
      <c r="N38" s="824" t="s">
        <v>301</v>
      </c>
      <c r="O38" s="824" t="s">
        <v>301</v>
      </c>
      <c r="P38" s="824" t="s">
        <v>301</v>
      </c>
      <c r="Q38" s="824" t="s">
        <v>301</v>
      </c>
      <c r="R38" s="829">
        <v>0.9545</v>
      </c>
      <c r="S38" s="808"/>
      <c r="T38" s="808"/>
      <c r="U38" s="808"/>
      <c r="V38" s="808"/>
      <c r="W38" s="808"/>
      <c r="X38" s="808"/>
      <c r="Y38" s="808"/>
      <c r="Z38" s="808"/>
      <c r="AA38" s="808"/>
    </row>
    <row r="39" ht="91.5" customHeight="1">
      <c r="A39" s="818">
        <v>35.0</v>
      </c>
      <c r="B39" s="819" t="s">
        <v>2901</v>
      </c>
      <c r="C39" s="820" t="s">
        <v>2902</v>
      </c>
      <c r="D39" s="821" t="s">
        <v>2903</v>
      </c>
      <c r="E39" s="819" t="s">
        <v>2904</v>
      </c>
      <c r="F39" s="820" t="s">
        <v>2905</v>
      </c>
      <c r="G39" s="820" t="s">
        <v>2906</v>
      </c>
      <c r="H39" s="820" t="s">
        <v>2907</v>
      </c>
      <c r="I39" s="820" t="s">
        <v>2908</v>
      </c>
      <c r="J39" s="822">
        <v>0.1</v>
      </c>
      <c r="K39" s="822">
        <v>0.3019</v>
      </c>
      <c r="L39" s="822">
        <v>1.2</v>
      </c>
      <c r="M39" s="824" t="s">
        <v>301</v>
      </c>
      <c r="N39" s="824" t="s">
        <v>301</v>
      </c>
      <c r="O39" s="824" t="s">
        <v>301</v>
      </c>
      <c r="P39" s="824" t="s">
        <v>301</v>
      </c>
      <c r="Q39" s="832" t="s">
        <v>271</v>
      </c>
      <c r="R39" s="833">
        <v>3.019</v>
      </c>
      <c r="S39" s="808"/>
      <c r="T39" s="808"/>
      <c r="U39" s="808"/>
      <c r="V39" s="808"/>
      <c r="W39" s="808"/>
      <c r="X39" s="808"/>
      <c r="Y39" s="808"/>
      <c r="Z39" s="808"/>
      <c r="AA39" s="808"/>
    </row>
    <row r="40" ht="91.5" customHeight="1">
      <c r="A40" s="825">
        <v>36.0</v>
      </c>
      <c r="B40" s="826" t="s">
        <v>2909</v>
      </c>
      <c r="C40" s="827" t="s">
        <v>2910</v>
      </c>
      <c r="D40" s="828" t="s">
        <v>2911</v>
      </c>
      <c r="E40" s="826" t="s">
        <v>2912</v>
      </c>
      <c r="F40" s="827" t="s">
        <v>2913</v>
      </c>
      <c r="G40" s="827" t="s">
        <v>2914</v>
      </c>
      <c r="H40" s="827" t="s">
        <v>2915</v>
      </c>
      <c r="I40" s="827" t="s">
        <v>2916</v>
      </c>
      <c r="J40" s="829">
        <v>0.35</v>
      </c>
      <c r="K40" s="834">
        <v>0.26</v>
      </c>
      <c r="L40" s="829">
        <v>0.7429</v>
      </c>
      <c r="M40" s="824" t="s">
        <v>301</v>
      </c>
      <c r="N40" s="824" t="s">
        <v>301</v>
      </c>
      <c r="O40" s="824" t="s">
        <v>301</v>
      </c>
      <c r="P40" s="824" t="s">
        <v>301</v>
      </c>
      <c r="Q40" s="824" t="s">
        <v>301</v>
      </c>
      <c r="R40" s="829">
        <v>0.7429</v>
      </c>
      <c r="S40" s="808"/>
      <c r="T40" s="808"/>
      <c r="U40" s="808"/>
      <c r="V40" s="808"/>
      <c r="W40" s="808"/>
      <c r="X40" s="808"/>
      <c r="Y40" s="808"/>
      <c r="Z40" s="808"/>
      <c r="AA40" s="808"/>
    </row>
    <row r="41" ht="139.5" customHeight="1">
      <c r="A41" s="818">
        <v>37.0</v>
      </c>
      <c r="B41" s="819" t="s">
        <v>2917</v>
      </c>
      <c r="C41" s="820" t="s">
        <v>2918</v>
      </c>
      <c r="D41" s="821" t="s">
        <v>2919</v>
      </c>
      <c r="E41" s="836" t="s">
        <v>2920</v>
      </c>
      <c r="F41" s="820" t="s">
        <v>2921</v>
      </c>
      <c r="G41" s="820" t="s">
        <v>2922</v>
      </c>
      <c r="H41" s="820" t="s">
        <v>2923</v>
      </c>
      <c r="I41" s="820" t="s">
        <v>2924</v>
      </c>
      <c r="J41" s="822">
        <v>0.3361</v>
      </c>
      <c r="K41" s="822">
        <v>0.3361</v>
      </c>
      <c r="L41" s="822">
        <v>1.0</v>
      </c>
      <c r="M41" s="824" t="s">
        <v>301</v>
      </c>
      <c r="N41" s="824" t="s">
        <v>301</v>
      </c>
      <c r="O41" s="824" t="s">
        <v>301</v>
      </c>
      <c r="P41" s="824" t="s">
        <v>301</v>
      </c>
      <c r="Q41" s="824" t="s">
        <v>301</v>
      </c>
      <c r="R41" s="822">
        <v>1.0</v>
      </c>
      <c r="S41" s="808"/>
      <c r="T41" s="808"/>
      <c r="U41" s="808"/>
      <c r="V41" s="808"/>
      <c r="W41" s="808"/>
      <c r="X41" s="808"/>
      <c r="Y41" s="808"/>
      <c r="Z41" s="808"/>
      <c r="AA41" s="808"/>
    </row>
    <row r="42" ht="127.5" customHeight="1">
      <c r="A42" s="825">
        <v>38.0</v>
      </c>
      <c r="B42" s="826" t="s">
        <v>2925</v>
      </c>
      <c r="C42" s="827" t="s">
        <v>2926</v>
      </c>
      <c r="D42" s="828" t="s">
        <v>2927</v>
      </c>
      <c r="E42" s="826" t="s">
        <v>2928</v>
      </c>
      <c r="F42" s="827" t="s">
        <v>2929</v>
      </c>
      <c r="G42" s="827" t="s">
        <v>2930</v>
      </c>
      <c r="H42" s="827" t="s">
        <v>2931</v>
      </c>
      <c r="I42" s="827" t="s">
        <v>2932</v>
      </c>
      <c r="J42" s="829">
        <v>0.81</v>
      </c>
      <c r="K42" s="829">
        <v>0.8483</v>
      </c>
      <c r="L42" s="829">
        <v>1.0473</v>
      </c>
      <c r="M42" s="824" t="s">
        <v>301</v>
      </c>
      <c r="N42" s="824" t="s">
        <v>301</v>
      </c>
      <c r="O42" s="824" t="s">
        <v>301</v>
      </c>
      <c r="P42" s="824" t="s">
        <v>301</v>
      </c>
      <c r="Q42" s="824" t="s">
        <v>301</v>
      </c>
      <c r="R42" s="829">
        <v>1.0473</v>
      </c>
      <c r="S42" s="808"/>
      <c r="T42" s="808"/>
      <c r="U42" s="808"/>
      <c r="V42" s="808"/>
      <c r="W42" s="808"/>
      <c r="X42" s="808"/>
      <c r="Y42" s="808"/>
      <c r="Z42" s="808"/>
      <c r="AA42" s="808"/>
    </row>
    <row r="43" ht="127.5" customHeight="1">
      <c r="A43" s="818">
        <v>39.0</v>
      </c>
      <c r="B43" s="819" t="s">
        <v>2933</v>
      </c>
      <c r="C43" s="820" t="s">
        <v>2934</v>
      </c>
      <c r="D43" s="821" t="s">
        <v>2935</v>
      </c>
      <c r="E43" s="819" t="s">
        <v>2936</v>
      </c>
      <c r="F43" s="820" t="s">
        <v>2937</v>
      </c>
      <c r="G43" s="820" t="s">
        <v>2938</v>
      </c>
      <c r="H43" s="820" t="s">
        <v>2939</v>
      </c>
      <c r="I43" s="820" t="s">
        <v>2940</v>
      </c>
      <c r="J43" s="822">
        <v>0.81</v>
      </c>
      <c r="K43" s="823">
        <v>0.82</v>
      </c>
      <c r="L43" s="822">
        <v>1.0123</v>
      </c>
      <c r="M43" s="824" t="s">
        <v>301</v>
      </c>
      <c r="N43" s="824" t="s">
        <v>301</v>
      </c>
      <c r="O43" s="824" t="s">
        <v>301</v>
      </c>
      <c r="P43" s="824" t="s">
        <v>301</v>
      </c>
      <c r="Q43" s="824" t="s">
        <v>301</v>
      </c>
      <c r="R43" s="822">
        <v>1.0123</v>
      </c>
      <c r="S43" s="808"/>
      <c r="T43" s="808"/>
      <c r="U43" s="808"/>
      <c r="V43" s="808"/>
      <c r="W43" s="808"/>
      <c r="X43" s="808"/>
      <c r="Y43" s="808"/>
      <c r="Z43" s="808"/>
      <c r="AA43" s="808"/>
    </row>
    <row r="44" ht="127.5" customHeight="1">
      <c r="A44" s="825">
        <v>40.0</v>
      </c>
      <c r="B44" s="826" t="s">
        <v>2941</v>
      </c>
      <c r="C44" s="827" t="s">
        <v>2942</v>
      </c>
      <c r="D44" s="828" t="s">
        <v>2943</v>
      </c>
      <c r="E44" s="826" t="s">
        <v>2944</v>
      </c>
      <c r="F44" s="827" t="s">
        <v>2945</v>
      </c>
      <c r="G44" s="827" t="s">
        <v>2946</v>
      </c>
      <c r="H44" s="827" t="s">
        <v>2947</v>
      </c>
      <c r="I44" s="827" t="s">
        <v>2948</v>
      </c>
      <c r="J44" s="829">
        <v>0.84</v>
      </c>
      <c r="K44" s="834">
        <v>0.97</v>
      </c>
      <c r="L44" s="829">
        <v>1.1548</v>
      </c>
      <c r="M44" s="824" t="s">
        <v>301</v>
      </c>
      <c r="N44" s="824" t="s">
        <v>301</v>
      </c>
      <c r="O44" s="824" t="s">
        <v>301</v>
      </c>
      <c r="P44" s="824" t="s">
        <v>301</v>
      </c>
      <c r="Q44" s="824" t="s">
        <v>301</v>
      </c>
      <c r="R44" s="829">
        <v>1.1548</v>
      </c>
      <c r="S44" s="808"/>
      <c r="T44" s="808"/>
      <c r="U44" s="808"/>
      <c r="V44" s="808"/>
      <c r="W44" s="808"/>
      <c r="X44" s="808"/>
      <c r="Y44" s="808"/>
      <c r="Z44" s="808"/>
      <c r="AA44" s="808"/>
    </row>
    <row r="45" ht="127.5" customHeight="1">
      <c r="A45" s="818">
        <v>41.0</v>
      </c>
      <c r="B45" s="819" t="s">
        <v>2949</v>
      </c>
      <c r="C45" s="820" t="s">
        <v>2950</v>
      </c>
      <c r="D45" s="821" t="s">
        <v>2951</v>
      </c>
      <c r="E45" s="831" t="s">
        <v>2952</v>
      </c>
      <c r="F45" s="820" t="s">
        <v>2953</v>
      </c>
      <c r="G45" s="820" t="s">
        <v>2954</v>
      </c>
      <c r="H45" s="820" t="s">
        <v>2955</v>
      </c>
      <c r="I45" s="820" t="s">
        <v>2956</v>
      </c>
      <c r="J45" s="822">
        <v>0.87</v>
      </c>
      <c r="K45" s="822">
        <v>0.9367</v>
      </c>
      <c r="L45" s="822">
        <v>1.0766</v>
      </c>
      <c r="M45" s="824" t="s">
        <v>301</v>
      </c>
      <c r="N45" s="824" t="s">
        <v>301</v>
      </c>
      <c r="O45" s="824" t="s">
        <v>301</v>
      </c>
      <c r="P45" s="824" t="s">
        <v>301</v>
      </c>
      <c r="Q45" s="824" t="s">
        <v>301</v>
      </c>
      <c r="R45" s="822">
        <v>1.0766</v>
      </c>
      <c r="S45" s="808"/>
      <c r="T45" s="808"/>
      <c r="U45" s="808"/>
      <c r="V45" s="808"/>
      <c r="W45" s="808"/>
      <c r="X45" s="808"/>
      <c r="Y45" s="808"/>
      <c r="Z45" s="808"/>
      <c r="AA45" s="808"/>
    </row>
    <row r="46" ht="139.5" customHeight="1">
      <c r="A46" s="825">
        <v>42.0</v>
      </c>
      <c r="B46" s="826" t="s">
        <v>2957</v>
      </c>
      <c r="C46" s="827" t="s">
        <v>2958</v>
      </c>
      <c r="D46" s="828" t="s">
        <v>2959</v>
      </c>
      <c r="E46" s="826" t="s">
        <v>2960</v>
      </c>
      <c r="F46" s="827" t="s">
        <v>2961</v>
      </c>
      <c r="G46" s="827" t="s">
        <v>2962</v>
      </c>
      <c r="H46" s="827" t="s">
        <v>2963</v>
      </c>
      <c r="I46" s="827" t="s">
        <v>2964</v>
      </c>
      <c r="J46" s="829">
        <v>0.82</v>
      </c>
      <c r="K46" s="834">
        <v>0.87</v>
      </c>
      <c r="L46" s="829">
        <v>1.061</v>
      </c>
      <c r="M46" s="824" t="s">
        <v>301</v>
      </c>
      <c r="N46" s="824" t="s">
        <v>301</v>
      </c>
      <c r="O46" s="824" t="s">
        <v>301</v>
      </c>
      <c r="P46" s="824" t="s">
        <v>301</v>
      </c>
      <c r="Q46" s="824" t="s">
        <v>301</v>
      </c>
      <c r="R46" s="829">
        <v>1.061</v>
      </c>
      <c r="S46" s="808"/>
      <c r="T46" s="808"/>
      <c r="U46" s="808"/>
      <c r="V46" s="808"/>
      <c r="W46" s="808"/>
      <c r="X46" s="808"/>
      <c r="Y46" s="808"/>
      <c r="Z46" s="808"/>
      <c r="AA46" s="808"/>
    </row>
    <row r="47" ht="139.5" customHeight="1">
      <c r="A47" s="818">
        <v>43.0</v>
      </c>
      <c r="B47" s="819" t="s">
        <v>2965</v>
      </c>
      <c r="C47" s="820" t="s">
        <v>2966</v>
      </c>
      <c r="D47" s="821" t="s">
        <v>2967</v>
      </c>
      <c r="E47" s="819" t="s">
        <v>2968</v>
      </c>
      <c r="F47" s="820" t="s">
        <v>2969</v>
      </c>
      <c r="G47" s="820" t="s">
        <v>2970</v>
      </c>
      <c r="H47" s="820" t="s">
        <v>2971</v>
      </c>
      <c r="I47" s="820" t="s">
        <v>2972</v>
      </c>
      <c r="J47" s="822">
        <v>0.8</v>
      </c>
      <c r="K47" s="823">
        <v>0.94</v>
      </c>
      <c r="L47" s="822">
        <v>1.175</v>
      </c>
      <c r="M47" s="824" t="s">
        <v>301</v>
      </c>
      <c r="N47" s="824" t="s">
        <v>301</v>
      </c>
      <c r="O47" s="824" t="s">
        <v>301</v>
      </c>
      <c r="P47" s="824" t="s">
        <v>301</v>
      </c>
      <c r="Q47" s="824" t="s">
        <v>301</v>
      </c>
      <c r="R47" s="822">
        <v>1.175</v>
      </c>
      <c r="S47" s="808"/>
      <c r="T47" s="808"/>
      <c r="U47" s="808"/>
      <c r="V47" s="808"/>
      <c r="W47" s="808"/>
      <c r="X47" s="808"/>
      <c r="Y47" s="808"/>
      <c r="Z47" s="808"/>
      <c r="AA47" s="808"/>
    </row>
    <row r="48" ht="103.5" customHeight="1">
      <c r="A48" s="825">
        <v>44.0</v>
      </c>
      <c r="B48" s="826" t="s">
        <v>2973</v>
      </c>
      <c r="C48" s="827" t="s">
        <v>2974</v>
      </c>
      <c r="D48" s="828" t="s">
        <v>2975</v>
      </c>
      <c r="E48" s="826" t="s">
        <v>2976</v>
      </c>
      <c r="F48" s="827" t="s">
        <v>2977</v>
      </c>
      <c r="G48" s="827" t="s">
        <v>2978</v>
      </c>
      <c r="H48" s="827" t="s">
        <v>2979</v>
      </c>
      <c r="I48" s="827" t="s">
        <v>2980</v>
      </c>
      <c r="J48" s="830" t="s">
        <v>2981</v>
      </c>
      <c r="K48" s="827" t="s">
        <v>2982</v>
      </c>
      <c r="L48" s="829">
        <v>1.0</v>
      </c>
      <c r="M48" s="824" t="s">
        <v>301</v>
      </c>
      <c r="N48" s="824" t="s">
        <v>301</v>
      </c>
      <c r="O48" s="824" t="s">
        <v>301</v>
      </c>
      <c r="P48" s="824" t="s">
        <v>301</v>
      </c>
      <c r="Q48" s="824" t="s">
        <v>301</v>
      </c>
      <c r="R48" s="829">
        <v>1.0</v>
      </c>
      <c r="S48" s="808"/>
      <c r="T48" s="808"/>
      <c r="U48" s="808"/>
      <c r="V48" s="808"/>
      <c r="W48" s="808"/>
      <c r="X48" s="808"/>
      <c r="Y48" s="808"/>
      <c r="Z48" s="808"/>
      <c r="AA48" s="808"/>
    </row>
    <row r="49" ht="127.5" customHeight="1">
      <c r="A49" s="818">
        <v>45.0</v>
      </c>
      <c r="B49" s="819" t="s">
        <v>2983</v>
      </c>
      <c r="C49" s="820" t="s">
        <v>2984</v>
      </c>
      <c r="D49" s="821" t="s">
        <v>2985</v>
      </c>
      <c r="E49" s="821" t="s">
        <v>2986</v>
      </c>
      <c r="F49" s="820" t="s">
        <v>2987</v>
      </c>
      <c r="G49" s="820" t="s">
        <v>2988</v>
      </c>
      <c r="H49" s="820" t="s">
        <v>2989</v>
      </c>
      <c r="I49" s="820" t="s">
        <v>2990</v>
      </c>
      <c r="J49" s="831" t="s">
        <v>2991</v>
      </c>
      <c r="K49" s="820" t="s">
        <v>2992</v>
      </c>
      <c r="L49" s="822">
        <v>0.95</v>
      </c>
      <c r="M49" s="824" t="s">
        <v>301</v>
      </c>
      <c r="N49" s="824" t="s">
        <v>301</v>
      </c>
      <c r="O49" s="824" t="s">
        <v>301</v>
      </c>
      <c r="P49" s="824" t="s">
        <v>301</v>
      </c>
      <c r="Q49" s="824" t="s">
        <v>301</v>
      </c>
      <c r="R49" s="822">
        <v>0.95</v>
      </c>
      <c r="S49" s="808"/>
      <c r="T49" s="808"/>
      <c r="U49" s="808"/>
      <c r="V49" s="808"/>
      <c r="W49" s="808"/>
      <c r="X49" s="808"/>
      <c r="Y49" s="808"/>
      <c r="Z49" s="808"/>
      <c r="AA49" s="808"/>
    </row>
    <row r="50" ht="115.5" customHeight="1">
      <c r="A50" s="825">
        <v>46.0</v>
      </c>
      <c r="B50" s="826" t="s">
        <v>2993</v>
      </c>
      <c r="C50" s="827" t="s">
        <v>2994</v>
      </c>
      <c r="D50" s="828" t="s">
        <v>2995</v>
      </c>
      <c r="E50" s="826" t="s">
        <v>2996</v>
      </c>
      <c r="F50" s="827" t="s">
        <v>2997</v>
      </c>
      <c r="G50" s="827" t="s">
        <v>2998</v>
      </c>
      <c r="H50" s="827" t="s">
        <v>2999</v>
      </c>
      <c r="I50" s="827" t="s">
        <v>3000</v>
      </c>
      <c r="J50" s="830" t="s">
        <v>3001</v>
      </c>
      <c r="K50" s="827" t="s">
        <v>3002</v>
      </c>
      <c r="L50" s="829">
        <v>0.875</v>
      </c>
      <c r="M50" s="824" t="s">
        <v>301</v>
      </c>
      <c r="N50" s="824" t="s">
        <v>301</v>
      </c>
      <c r="O50" s="824" t="s">
        <v>301</v>
      </c>
      <c r="P50" s="824" t="s">
        <v>301</v>
      </c>
      <c r="Q50" s="824" t="s">
        <v>301</v>
      </c>
      <c r="R50" s="829">
        <v>0.875</v>
      </c>
      <c r="S50" s="808"/>
      <c r="T50" s="808"/>
      <c r="U50" s="808"/>
      <c r="V50" s="808"/>
      <c r="W50" s="808"/>
      <c r="X50" s="808"/>
      <c r="Y50" s="808"/>
      <c r="Z50" s="808"/>
      <c r="AA50" s="808"/>
    </row>
    <row r="51" ht="91.5" customHeight="1">
      <c r="A51" s="818">
        <v>47.0</v>
      </c>
      <c r="B51" s="819" t="s">
        <v>3003</v>
      </c>
      <c r="C51" s="820" t="s">
        <v>3004</v>
      </c>
      <c r="D51" s="821" t="s">
        <v>3005</v>
      </c>
      <c r="E51" s="819" t="s">
        <v>3006</v>
      </c>
      <c r="F51" s="820" t="s">
        <v>3007</v>
      </c>
      <c r="G51" s="820" t="s">
        <v>3008</v>
      </c>
      <c r="H51" s="820" t="s">
        <v>3009</v>
      </c>
      <c r="I51" s="820" t="s">
        <v>3010</v>
      </c>
      <c r="J51" s="831" t="s">
        <v>3011</v>
      </c>
      <c r="K51" s="831" t="s">
        <v>3012</v>
      </c>
      <c r="L51" s="822">
        <v>0.893</v>
      </c>
      <c r="M51" s="824" t="s">
        <v>301</v>
      </c>
      <c r="N51" s="824" t="s">
        <v>301</v>
      </c>
      <c r="O51" s="824" t="s">
        <v>301</v>
      </c>
      <c r="P51" s="824" t="s">
        <v>301</v>
      </c>
      <c r="Q51" s="824" t="s">
        <v>301</v>
      </c>
      <c r="R51" s="822">
        <v>0.893</v>
      </c>
      <c r="S51" s="808"/>
      <c r="T51" s="808"/>
      <c r="U51" s="808"/>
      <c r="V51" s="808"/>
      <c r="W51" s="808"/>
      <c r="X51" s="808"/>
      <c r="Y51" s="808"/>
      <c r="Z51" s="808"/>
      <c r="AA51" s="808"/>
    </row>
    <row r="52" ht="151.5" customHeight="1">
      <c r="A52" s="825">
        <v>48.0</v>
      </c>
      <c r="B52" s="826" t="s">
        <v>3013</v>
      </c>
      <c r="C52" s="827" t="s">
        <v>3014</v>
      </c>
      <c r="D52" s="828" t="s">
        <v>3015</v>
      </c>
      <c r="E52" s="828" t="s">
        <v>3016</v>
      </c>
      <c r="F52" s="827" t="s">
        <v>3017</v>
      </c>
      <c r="G52" s="827" t="s">
        <v>3018</v>
      </c>
      <c r="H52" s="827" t="s">
        <v>3019</v>
      </c>
      <c r="I52" s="827" t="s">
        <v>3020</v>
      </c>
      <c r="J52" s="830" t="s">
        <v>3021</v>
      </c>
      <c r="K52" s="827" t="s">
        <v>3022</v>
      </c>
      <c r="L52" s="829">
        <v>1.0556</v>
      </c>
      <c r="M52" s="824" t="s">
        <v>301</v>
      </c>
      <c r="N52" s="824" t="s">
        <v>301</v>
      </c>
      <c r="O52" s="824" t="s">
        <v>301</v>
      </c>
      <c r="P52" s="824" t="s">
        <v>301</v>
      </c>
      <c r="Q52" s="824" t="s">
        <v>301</v>
      </c>
      <c r="R52" s="829">
        <v>1.0556</v>
      </c>
      <c r="S52" s="808"/>
      <c r="T52" s="808"/>
      <c r="U52" s="808"/>
      <c r="V52" s="808"/>
      <c r="W52" s="808"/>
      <c r="X52" s="808"/>
      <c r="Y52" s="808"/>
      <c r="Z52" s="808"/>
      <c r="AA52" s="808"/>
    </row>
    <row r="53" ht="103.5" customHeight="1">
      <c r="A53" s="818">
        <v>49.0</v>
      </c>
      <c r="B53" s="819" t="s">
        <v>3023</v>
      </c>
      <c r="C53" s="820" t="s">
        <v>3024</v>
      </c>
      <c r="D53" s="821" t="s">
        <v>3025</v>
      </c>
      <c r="E53" s="819" t="s">
        <v>3026</v>
      </c>
      <c r="F53" s="820" t="s">
        <v>3027</v>
      </c>
      <c r="G53" s="820" t="s">
        <v>3028</v>
      </c>
      <c r="H53" s="820" t="s">
        <v>3029</v>
      </c>
      <c r="I53" s="820" t="s">
        <v>3030</v>
      </c>
      <c r="J53" s="831" t="s">
        <v>3031</v>
      </c>
      <c r="K53" s="820" t="s">
        <v>3032</v>
      </c>
      <c r="L53" s="822">
        <v>1.0</v>
      </c>
      <c r="M53" s="824" t="s">
        <v>301</v>
      </c>
      <c r="N53" s="824" t="s">
        <v>301</v>
      </c>
      <c r="O53" s="824" t="s">
        <v>301</v>
      </c>
      <c r="P53" s="824" t="s">
        <v>301</v>
      </c>
      <c r="Q53" s="824" t="s">
        <v>301</v>
      </c>
      <c r="R53" s="822">
        <v>1.0</v>
      </c>
      <c r="S53" s="808"/>
      <c r="T53" s="808"/>
      <c r="U53" s="808"/>
      <c r="V53" s="808"/>
      <c r="W53" s="808"/>
      <c r="X53" s="808"/>
      <c r="Y53" s="808"/>
      <c r="Z53" s="808"/>
      <c r="AA53" s="808"/>
    </row>
    <row r="54" ht="91.5" customHeight="1">
      <c r="A54" s="825">
        <v>50.0</v>
      </c>
      <c r="B54" s="826" t="s">
        <v>3033</v>
      </c>
      <c r="C54" s="827" t="s">
        <v>3034</v>
      </c>
      <c r="D54" s="828" t="s">
        <v>3035</v>
      </c>
      <c r="E54" s="826" t="s">
        <v>3036</v>
      </c>
      <c r="F54" s="827" t="s">
        <v>3037</v>
      </c>
      <c r="G54" s="827" t="s">
        <v>3038</v>
      </c>
      <c r="H54" s="827" t="s">
        <v>3039</v>
      </c>
      <c r="I54" s="827" t="s">
        <v>3040</v>
      </c>
      <c r="J54" s="830" t="s">
        <v>3041</v>
      </c>
      <c r="K54" s="830" t="s">
        <v>3042</v>
      </c>
      <c r="L54" s="829">
        <v>0.9902</v>
      </c>
      <c r="M54" s="824" t="s">
        <v>301</v>
      </c>
      <c r="N54" s="824" t="s">
        <v>301</v>
      </c>
      <c r="O54" s="824" t="s">
        <v>301</v>
      </c>
      <c r="P54" s="824" t="s">
        <v>301</v>
      </c>
      <c r="Q54" s="824" t="s">
        <v>301</v>
      </c>
      <c r="R54" s="829">
        <v>0.9902</v>
      </c>
      <c r="S54" s="808"/>
      <c r="T54" s="808"/>
      <c r="U54" s="808"/>
      <c r="V54" s="808"/>
      <c r="W54" s="808"/>
      <c r="X54" s="808"/>
      <c r="Y54" s="808"/>
      <c r="Z54" s="808"/>
      <c r="AA54" s="808"/>
    </row>
    <row r="55" ht="115.5" customHeight="1">
      <c r="A55" s="818">
        <v>51.0</v>
      </c>
      <c r="B55" s="819" t="s">
        <v>3043</v>
      </c>
      <c r="C55" s="820" t="s">
        <v>3044</v>
      </c>
      <c r="D55" s="821" t="s">
        <v>3045</v>
      </c>
      <c r="E55" s="819" t="s">
        <v>3046</v>
      </c>
      <c r="F55" s="820" t="s">
        <v>3047</v>
      </c>
      <c r="G55" s="820" t="s">
        <v>3048</v>
      </c>
      <c r="H55" s="820" t="s">
        <v>3049</v>
      </c>
      <c r="I55" s="820" t="s">
        <v>3050</v>
      </c>
      <c r="J55" s="836" t="s">
        <v>3051</v>
      </c>
      <c r="K55" s="836" t="s">
        <v>3052</v>
      </c>
      <c r="L55" s="822">
        <v>1.2</v>
      </c>
      <c r="M55" s="824" t="s">
        <v>301</v>
      </c>
      <c r="N55" s="824" t="s">
        <v>301</v>
      </c>
      <c r="O55" s="824" t="s">
        <v>301</v>
      </c>
      <c r="P55" s="824" t="s">
        <v>301</v>
      </c>
      <c r="Q55" s="832" t="s">
        <v>271</v>
      </c>
      <c r="R55" s="833">
        <v>1.6927</v>
      </c>
      <c r="S55" s="808"/>
      <c r="T55" s="808"/>
      <c r="U55" s="808"/>
      <c r="V55" s="808"/>
      <c r="W55" s="808"/>
      <c r="X55" s="808"/>
      <c r="Y55" s="808"/>
      <c r="Z55" s="808"/>
      <c r="AA55" s="808"/>
    </row>
    <row r="56" ht="91.5" customHeight="1">
      <c r="A56" s="825">
        <v>52.0</v>
      </c>
      <c r="B56" s="826" t="s">
        <v>3053</v>
      </c>
      <c r="C56" s="827" t="s">
        <v>3054</v>
      </c>
      <c r="D56" s="828" t="s">
        <v>3055</v>
      </c>
      <c r="E56" s="826" t="s">
        <v>3056</v>
      </c>
      <c r="F56" s="827" t="s">
        <v>3057</v>
      </c>
      <c r="G56" s="827" t="s">
        <v>3058</v>
      </c>
      <c r="H56" s="827" t="s">
        <v>3059</v>
      </c>
      <c r="I56" s="827" t="s">
        <v>3060</v>
      </c>
      <c r="J56" s="830" t="s">
        <v>3061</v>
      </c>
      <c r="K56" s="827" t="s">
        <v>3062</v>
      </c>
      <c r="L56" s="829">
        <v>1.1662</v>
      </c>
      <c r="M56" s="824" t="s">
        <v>301</v>
      </c>
      <c r="N56" s="824" t="s">
        <v>301</v>
      </c>
      <c r="O56" s="824" t="s">
        <v>301</v>
      </c>
      <c r="P56" s="824" t="s">
        <v>301</v>
      </c>
      <c r="Q56" s="824" t="s">
        <v>301</v>
      </c>
      <c r="R56" s="829">
        <v>1.1662</v>
      </c>
      <c r="S56" s="808"/>
      <c r="T56" s="808"/>
      <c r="U56" s="808"/>
      <c r="V56" s="808"/>
      <c r="W56" s="808"/>
      <c r="X56" s="808"/>
      <c r="Y56" s="808"/>
      <c r="Z56" s="808"/>
      <c r="AA56" s="808"/>
    </row>
    <row r="57" ht="91.5" customHeight="1">
      <c r="A57" s="818">
        <v>53.0</v>
      </c>
      <c r="B57" s="819" t="s">
        <v>3063</v>
      </c>
      <c r="C57" s="820" t="s">
        <v>3064</v>
      </c>
      <c r="D57" s="821" t="s">
        <v>3065</v>
      </c>
      <c r="E57" s="852" t="s">
        <v>3066</v>
      </c>
      <c r="F57" s="820" t="s">
        <v>3067</v>
      </c>
      <c r="G57" s="820" t="s">
        <v>3068</v>
      </c>
      <c r="H57" s="820" t="s">
        <v>3069</v>
      </c>
      <c r="I57" s="820" t="s">
        <v>3070</v>
      </c>
      <c r="J57" s="831" t="s">
        <v>3071</v>
      </c>
      <c r="K57" s="831" t="s">
        <v>3072</v>
      </c>
      <c r="L57" s="822">
        <v>1.0361</v>
      </c>
      <c r="M57" s="824" t="s">
        <v>301</v>
      </c>
      <c r="N57" s="824" t="s">
        <v>301</v>
      </c>
      <c r="O57" s="824" t="s">
        <v>301</v>
      </c>
      <c r="P57" s="824" t="s">
        <v>301</v>
      </c>
      <c r="Q57" s="824" t="s">
        <v>301</v>
      </c>
      <c r="R57" s="822">
        <v>1.0361</v>
      </c>
      <c r="S57" s="808"/>
      <c r="T57" s="808"/>
      <c r="U57" s="808"/>
      <c r="V57" s="808"/>
      <c r="W57" s="808"/>
      <c r="X57" s="808"/>
      <c r="Y57" s="808"/>
      <c r="Z57" s="808"/>
      <c r="AA57" s="808"/>
    </row>
    <row r="58" ht="127.5" customHeight="1">
      <c r="A58" s="825">
        <v>54.0</v>
      </c>
      <c r="B58" s="826" t="s">
        <v>3073</v>
      </c>
      <c r="C58" s="827" t="s">
        <v>3074</v>
      </c>
      <c r="D58" s="828" t="s">
        <v>3075</v>
      </c>
      <c r="E58" s="826" t="s">
        <v>3076</v>
      </c>
      <c r="F58" s="827" t="s">
        <v>3077</v>
      </c>
      <c r="G58" s="827" t="s">
        <v>3078</v>
      </c>
      <c r="H58" s="827" t="s">
        <v>3079</v>
      </c>
      <c r="I58" s="827" t="s">
        <v>3080</v>
      </c>
      <c r="J58" s="829">
        <v>0.8653</v>
      </c>
      <c r="K58" s="829">
        <v>0.8653</v>
      </c>
      <c r="L58" s="829">
        <v>1.0</v>
      </c>
      <c r="M58" s="824" t="s">
        <v>301</v>
      </c>
      <c r="N58" s="824" t="s">
        <v>301</v>
      </c>
      <c r="O58" s="824" t="s">
        <v>301</v>
      </c>
      <c r="P58" s="824" t="s">
        <v>301</v>
      </c>
      <c r="Q58" s="824" t="s">
        <v>301</v>
      </c>
      <c r="R58" s="829">
        <v>1.0</v>
      </c>
      <c r="S58" s="808"/>
      <c r="T58" s="808"/>
      <c r="U58" s="808"/>
      <c r="V58" s="808"/>
      <c r="W58" s="808"/>
      <c r="X58" s="808"/>
      <c r="Y58" s="808"/>
      <c r="Z58" s="808"/>
      <c r="AA58" s="808"/>
    </row>
    <row r="59" ht="115.5" customHeight="1">
      <c r="A59" s="818">
        <v>55.0</v>
      </c>
      <c r="B59" s="819" t="s">
        <v>3081</v>
      </c>
      <c r="C59" s="820" t="s">
        <v>3082</v>
      </c>
      <c r="D59" s="821" t="s">
        <v>3083</v>
      </c>
      <c r="E59" s="821" t="s">
        <v>3084</v>
      </c>
      <c r="F59" s="820" t="s">
        <v>3085</v>
      </c>
      <c r="G59" s="820" t="s">
        <v>3086</v>
      </c>
      <c r="H59" s="820" t="s">
        <v>3087</v>
      </c>
      <c r="I59" s="820" t="s">
        <v>3088</v>
      </c>
      <c r="J59" s="822">
        <v>0.4</v>
      </c>
      <c r="K59" s="823">
        <v>0.8</v>
      </c>
      <c r="L59" s="822">
        <v>1.2</v>
      </c>
      <c r="M59" s="824" t="s">
        <v>301</v>
      </c>
      <c r="N59" s="824" t="s">
        <v>301</v>
      </c>
      <c r="O59" s="824" t="s">
        <v>301</v>
      </c>
      <c r="P59" s="824" t="s">
        <v>301</v>
      </c>
      <c r="Q59" s="832" t="s">
        <v>271</v>
      </c>
      <c r="R59" s="833">
        <v>2.0</v>
      </c>
      <c r="S59" s="808"/>
      <c r="T59" s="808"/>
      <c r="U59" s="808"/>
      <c r="V59" s="808"/>
      <c r="W59" s="808"/>
      <c r="X59" s="808"/>
      <c r="Y59" s="808"/>
      <c r="Z59" s="808"/>
      <c r="AA59" s="808"/>
    </row>
    <row r="60" ht="115.5" customHeight="1">
      <c r="A60" s="825">
        <v>56.0</v>
      </c>
      <c r="B60" s="826" t="s">
        <v>3089</v>
      </c>
      <c r="C60" s="827" t="s">
        <v>3090</v>
      </c>
      <c r="D60" s="828" t="s">
        <v>3091</v>
      </c>
      <c r="E60" s="826" t="s">
        <v>3092</v>
      </c>
      <c r="F60" s="827" t="s">
        <v>3093</v>
      </c>
      <c r="G60" s="827" t="s">
        <v>3094</v>
      </c>
      <c r="H60" s="827" t="s">
        <v>3095</v>
      </c>
      <c r="I60" s="827" t="s">
        <v>3096</v>
      </c>
      <c r="J60" s="828" t="s">
        <v>3097</v>
      </c>
      <c r="K60" s="828" t="s">
        <v>3098</v>
      </c>
      <c r="L60" s="829">
        <v>1.0994</v>
      </c>
      <c r="M60" s="824" t="s">
        <v>301</v>
      </c>
      <c r="N60" s="824" t="s">
        <v>301</v>
      </c>
      <c r="O60" s="824" t="s">
        <v>301</v>
      </c>
      <c r="P60" s="824" t="s">
        <v>301</v>
      </c>
      <c r="Q60" s="824" t="s">
        <v>301</v>
      </c>
      <c r="R60" s="829">
        <v>1.0994</v>
      </c>
      <c r="S60" s="808"/>
      <c r="T60" s="808"/>
      <c r="U60" s="808"/>
      <c r="V60" s="808"/>
      <c r="W60" s="808"/>
      <c r="X60" s="808"/>
      <c r="Y60" s="808"/>
      <c r="Z60" s="808"/>
      <c r="AA60" s="808"/>
    </row>
    <row r="61" ht="91.5" customHeight="1">
      <c r="A61" s="818">
        <v>57.0</v>
      </c>
      <c r="B61" s="819" t="s">
        <v>3099</v>
      </c>
      <c r="C61" s="820" t="s">
        <v>3100</v>
      </c>
      <c r="D61" s="821" t="s">
        <v>3101</v>
      </c>
      <c r="E61" s="819" t="s">
        <v>3102</v>
      </c>
      <c r="F61" s="820" t="s">
        <v>3103</v>
      </c>
      <c r="G61" s="820" t="s">
        <v>3104</v>
      </c>
      <c r="H61" s="820" t="s">
        <v>3105</v>
      </c>
      <c r="I61" s="820" t="s">
        <v>3106</v>
      </c>
      <c r="J61" s="831" t="s">
        <v>3107</v>
      </c>
      <c r="K61" s="820" t="s">
        <v>3108</v>
      </c>
      <c r="L61" s="822">
        <v>1.1254</v>
      </c>
      <c r="M61" s="824" t="s">
        <v>301</v>
      </c>
      <c r="N61" s="824" t="s">
        <v>301</v>
      </c>
      <c r="O61" s="824" t="s">
        <v>301</v>
      </c>
      <c r="P61" s="824" t="s">
        <v>301</v>
      </c>
      <c r="Q61" s="824" t="s">
        <v>301</v>
      </c>
      <c r="R61" s="822">
        <v>1.1254</v>
      </c>
      <c r="S61" s="808"/>
      <c r="T61" s="808"/>
      <c r="U61" s="808"/>
      <c r="V61" s="808"/>
      <c r="W61" s="808"/>
      <c r="X61" s="808"/>
      <c r="Y61" s="808"/>
      <c r="Z61" s="808"/>
      <c r="AA61" s="808"/>
    </row>
    <row r="62" ht="91.5" customHeight="1">
      <c r="A62" s="825">
        <v>58.0</v>
      </c>
      <c r="B62" s="826" t="s">
        <v>3109</v>
      </c>
      <c r="C62" s="827" t="s">
        <v>3110</v>
      </c>
      <c r="D62" s="828" t="s">
        <v>3111</v>
      </c>
      <c r="E62" s="853" t="s">
        <v>3112</v>
      </c>
      <c r="F62" s="827" t="s">
        <v>3113</v>
      </c>
      <c r="G62" s="827" t="s">
        <v>3114</v>
      </c>
      <c r="H62" s="827" t="s">
        <v>3115</v>
      </c>
      <c r="I62" s="827" t="s">
        <v>3116</v>
      </c>
      <c r="J62" s="830" t="s">
        <v>3117</v>
      </c>
      <c r="K62" s="830" t="s">
        <v>3118</v>
      </c>
      <c r="L62" s="829">
        <v>0.9458</v>
      </c>
      <c r="M62" s="824" t="s">
        <v>301</v>
      </c>
      <c r="N62" s="824" t="s">
        <v>301</v>
      </c>
      <c r="O62" s="824" t="s">
        <v>301</v>
      </c>
      <c r="P62" s="824" t="s">
        <v>301</v>
      </c>
      <c r="Q62" s="824" t="s">
        <v>301</v>
      </c>
      <c r="R62" s="829">
        <v>0.9458</v>
      </c>
      <c r="S62" s="808"/>
      <c r="T62" s="808"/>
      <c r="U62" s="808"/>
      <c r="V62" s="808"/>
      <c r="W62" s="808"/>
      <c r="X62" s="808"/>
      <c r="Y62" s="808"/>
      <c r="Z62" s="808"/>
      <c r="AA62" s="808"/>
    </row>
    <row r="63" ht="127.5" customHeight="1">
      <c r="A63" s="818">
        <v>59.0</v>
      </c>
      <c r="B63" s="819" t="s">
        <v>3119</v>
      </c>
      <c r="C63" s="820" t="s">
        <v>3120</v>
      </c>
      <c r="D63" s="821" t="s">
        <v>3121</v>
      </c>
      <c r="E63" s="821" t="s">
        <v>3122</v>
      </c>
      <c r="F63" s="820" t="s">
        <v>3123</v>
      </c>
      <c r="G63" s="820" t="s">
        <v>3124</v>
      </c>
      <c r="H63" s="820" t="s">
        <v>3125</v>
      </c>
      <c r="I63" s="820" t="s">
        <v>3126</v>
      </c>
      <c r="J63" s="831" t="s">
        <v>3127</v>
      </c>
      <c r="K63" s="820" t="s">
        <v>3128</v>
      </c>
      <c r="L63" s="822">
        <v>1.0556</v>
      </c>
      <c r="M63" s="824" t="s">
        <v>301</v>
      </c>
      <c r="N63" s="824" t="s">
        <v>301</v>
      </c>
      <c r="O63" s="824" t="s">
        <v>301</v>
      </c>
      <c r="P63" s="824" t="s">
        <v>301</v>
      </c>
      <c r="Q63" s="824" t="s">
        <v>301</v>
      </c>
      <c r="R63" s="822">
        <v>1.0556</v>
      </c>
      <c r="S63" s="808"/>
      <c r="T63" s="808"/>
      <c r="U63" s="808"/>
      <c r="V63" s="808"/>
      <c r="W63" s="808"/>
      <c r="X63" s="808"/>
      <c r="Y63" s="808"/>
      <c r="Z63" s="808"/>
      <c r="AA63" s="808"/>
    </row>
    <row r="64" ht="127.5" customHeight="1">
      <c r="A64" s="825">
        <v>60.0</v>
      </c>
      <c r="B64" s="826" t="s">
        <v>3129</v>
      </c>
      <c r="C64" s="827" t="s">
        <v>3130</v>
      </c>
      <c r="D64" s="828" t="s">
        <v>3131</v>
      </c>
      <c r="E64" s="826" t="s">
        <v>3132</v>
      </c>
      <c r="F64" s="827" t="s">
        <v>3133</v>
      </c>
      <c r="G64" s="827" t="s">
        <v>3134</v>
      </c>
      <c r="H64" s="827" t="s">
        <v>3135</v>
      </c>
      <c r="I64" s="827" t="s">
        <v>3136</v>
      </c>
      <c r="J64" s="829">
        <v>0.2129</v>
      </c>
      <c r="K64" s="829">
        <v>0.9812</v>
      </c>
      <c r="L64" s="829">
        <v>1.2</v>
      </c>
      <c r="M64" s="824" t="s">
        <v>301</v>
      </c>
      <c r="N64" s="824" t="s">
        <v>301</v>
      </c>
      <c r="O64" s="824" t="s">
        <v>301</v>
      </c>
      <c r="P64" s="824" t="s">
        <v>301</v>
      </c>
      <c r="Q64" s="832" t="s">
        <v>271</v>
      </c>
      <c r="R64" s="854">
        <v>4.6087</v>
      </c>
      <c r="S64" s="808"/>
      <c r="T64" s="808"/>
      <c r="U64" s="808"/>
      <c r="V64" s="808"/>
      <c r="W64" s="808"/>
      <c r="X64" s="808"/>
      <c r="Y64" s="808"/>
      <c r="Z64" s="808"/>
      <c r="AA64" s="808"/>
    </row>
    <row r="65" ht="115.5" customHeight="1">
      <c r="A65" s="818">
        <v>61.0</v>
      </c>
      <c r="B65" s="819" t="s">
        <v>3137</v>
      </c>
      <c r="C65" s="820" t="s">
        <v>3138</v>
      </c>
      <c r="D65" s="821" t="s">
        <v>3139</v>
      </c>
      <c r="E65" s="821" t="s">
        <v>3140</v>
      </c>
      <c r="F65" s="820" t="s">
        <v>3141</v>
      </c>
      <c r="G65" s="820" t="s">
        <v>3142</v>
      </c>
      <c r="H65" s="820" t="s">
        <v>3143</v>
      </c>
      <c r="I65" s="820" t="s">
        <v>3144</v>
      </c>
      <c r="J65" s="822">
        <v>0.3</v>
      </c>
      <c r="K65" s="822">
        <v>0.2395</v>
      </c>
      <c r="L65" s="822">
        <v>0.7983</v>
      </c>
      <c r="M65" s="824" t="s">
        <v>301</v>
      </c>
      <c r="N65" s="824" t="s">
        <v>301</v>
      </c>
      <c r="O65" s="824" t="s">
        <v>301</v>
      </c>
      <c r="P65" s="824" t="s">
        <v>301</v>
      </c>
      <c r="Q65" s="824" t="s">
        <v>301</v>
      </c>
      <c r="R65" s="822">
        <v>0.7983</v>
      </c>
      <c r="S65" s="808"/>
      <c r="T65" s="808"/>
      <c r="U65" s="808"/>
      <c r="V65" s="808"/>
      <c r="W65" s="808"/>
      <c r="X65" s="808"/>
      <c r="Y65" s="808"/>
      <c r="Z65" s="808"/>
      <c r="AA65" s="808"/>
    </row>
    <row r="66" ht="91.5" customHeight="1">
      <c r="A66" s="825">
        <v>62.0</v>
      </c>
      <c r="B66" s="826" t="s">
        <v>3145</v>
      </c>
      <c r="C66" s="827" t="s">
        <v>3146</v>
      </c>
      <c r="D66" s="828" t="s">
        <v>3147</v>
      </c>
      <c r="E66" s="826" t="s">
        <v>3148</v>
      </c>
      <c r="F66" s="827" t="s">
        <v>3149</v>
      </c>
      <c r="G66" s="827" t="s">
        <v>3150</v>
      </c>
      <c r="H66" s="827" t="s">
        <v>3151</v>
      </c>
      <c r="I66" s="827" t="s">
        <v>3152</v>
      </c>
      <c r="J66" s="829">
        <v>0.6088</v>
      </c>
      <c r="K66" s="834">
        <v>1.0</v>
      </c>
      <c r="L66" s="829">
        <v>1.2</v>
      </c>
      <c r="M66" s="824" t="s">
        <v>301</v>
      </c>
      <c r="N66" s="824" t="s">
        <v>301</v>
      </c>
      <c r="O66" s="824" t="s">
        <v>301</v>
      </c>
      <c r="P66" s="824" t="s">
        <v>301</v>
      </c>
      <c r="Q66" s="832" t="s">
        <v>271</v>
      </c>
      <c r="R66" s="833">
        <v>1.6425</v>
      </c>
      <c r="S66" s="808"/>
      <c r="T66" s="808"/>
      <c r="U66" s="808"/>
      <c r="V66" s="808"/>
      <c r="W66" s="808"/>
      <c r="X66" s="808"/>
      <c r="Y66" s="808"/>
      <c r="Z66" s="808"/>
      <c r="AA66" s="808"/>
    </row>
    <row r="67" ht="127.5" customHeight="1">
      <c r="A67" s="818">
        <v>63.0</v>
      </c>
      <c r="B67" s="819" t="s">
        <v>3153</v>
      </c>
      <c r="C67" s="820" t="s">
        <v>3154</v>
      </c>
      <c r="D67" s="821" t="s">
        <v>3155</v>
      </c>
      <c r="E67" s="819" t="s">
        <v>3156</v>
      </c>
      <c r="F67" s="820" t="s">
        <v>3157</v>
      </c>
      <c r="G67" s="820" t="s">
        <v>3158</v>
      </c>
      <c r="H67" s="820" t="s">
        <v>3159</v>
      </c>
      <c r="I67" s="820" t="s">
        <v>3160</v>
      </c>
      <c r="J67" s="822">
        <v>0.4</v>
      </c>
      <c r="K67" s="822">
        <v>1.0192</v>
      </c>
      <c r="L67" s="822">
        <v>1.2</v>
      </c>
      <c r="M67" s="824" t="s">
        <v>301</v>
      </c>
      <c r="N67" s="824" t="s">
        <v>301</v>
      </c>
      <c r="O67" s="824" t="s">
        <v>301</v>
      </c>
      <c r="P67" s="824" t="s">
        <v>301</v>
      </c>
      <c r="Q67" s="832" t="s">
        <v>271</v>
      </c>
      <c r="R67" s="854">
        <v>2.548</v>
      </c>
      <c r="S67" s="808"/>
      <c r="T67" s="808"/>
      <c r="U67" s="808"/>
      <c r="V67" s="808"/>
      <c r="W67" s="808"/>
      <c r="X67" s="808"/>
      <c r="Y67" s="808"/>
      <c r="Z67" s="808"/>
      <c r="AA67" s="808"/>
    </row>
    <row r="68" ht="91.5" customHeight="1">
      <c r="A68" s="825">
        <v>64.0</v>
      </c>
      <c r="B68" s="826" t="s">
        <v>3161</v>
      </c>
      <c r="C68" s="827" t="s">
        <v>3162</v>
      </c>
      <c r="D68" s="828" t="s">
        <v>3163</v>
      </c>
      <c r="E68" s="826" t="s">
        <v>3164</v>
      </c>
      <c r="F68" s="827" t="s">
        <v>3165</v>
      </c>
      <c r="G68" s="827" t="s">
        <v>3166</v>
      </c>
      <c r="H68" s="827" t="s">
        <v>3167</v>
      </c>
      <c r="I68" s="827" t="s">
        <v>3168</v>
      </c>
      <c r="J68" s="830" t="s">
        <v>3169</v>
      </c>
      <c r="K68" s="827" t="s">
        <v>3170</v>
      </c>
      <c r="L68" s="829">
        <v>1.0</v>
      </c>
      <c r="M68" s="824" t="s">
        <v>301</v>
      </c>
      <c r="N68" s="824" t="s">
        <v>301</v>
      </c>
      <c r="O68" s="824" t="s">
        <v>301</v>
      </c>
      <c r="P68" s="824" t="s">
        <v>301</v>
      </c>
      <c r="Q68" s="824" t="s">
        <v>301</v>
      </c>
      <c r="R68" s="829">
        <v>1.0</v>
      </c>
      <c r="S68" s="808"/>
      <c r="T68" s="808"/>
      <c r="U68" s="808"/>
      <c r="V68" s="808"/>
      <c r="W68" s="808"/>
      <c r="X68" s="808"/>
      <c r="Y68" s="808"/>
      <c r="Z68" s="808"/>
      <c r="AA68" s="808"/>
    </row>
    <row r="69" ht="115.5" customHeight="1">
      <c r="A69" s="818">
        <v>65.0</v>
      </c>
      <c r="B69" s="821" t="s">
        <v>3171</v>
      </c>
      <c r="C69" s="820" t="s">
        <v>3172</v>
      </c>
      <c r="D69" s="821" t="s">
        <v>3173</v>
      </c>
      <c r="E69" s="821" t="s">
        <v>3174</v>
      </c>
      <c r="F69" s="820" t="s">
        <v>3175</v>
      </c>
      <c r="G69" s="820" t="s">
        <v>3176</v>
      </c>
      <c r="H69" s="820" t="s">
        <v>3177</v>
      </c>
      <c r="I69" s="820" t="s">
        <v>3178</v>
      </c>
      <c r="J69" s="822">
        <v>1.0</v>
      </c>
      <c r="K69" s="822">
        <v>1.0076</v>
      </c>
      <c r="L69" s="822">
        <v>1.0076</v>
      </c>
      <c r="M69" s="824" t="s">
        <v>301</v>
      </c>
      <c r="N69" s="824" t="s">
        <v>301</v>
      </c>
      <c r="O69" s="824" t="s">
        <v>301</v>
      </c>
      <c r="P69" s="824" t="s">
        <v>301</v>
      </c>
      <c r="Q69" s="824" t="s">
        <v>301</v>
      </c>
      <c r="R69" s="822">
        <v>1.0076</v>
      </c>
      <c r="S69" s="808"/>
      <c r="T69" s="808"/>
      <c r="U69" s="808"/>
      <c r="V69" s="808"/>
      <c r="W69" s="808"/>
      <c r="X69" s="808"/>
      <c r="Y69" s="808"/>
      <c r="Z69" s="808"/>
      <c r="AA69" s="808"/>
    </row>
    <row r="70" ht="91.5" customHeight="1">
      <c r="A70" s="825">
        <v>66.0</v>
      </c>
      <c r="B70" s="828" t="s">
        <v>3179</v>
      </c>
      <c r="C70" s="827" t="s">
        <v>3180</v>
      </c>
      <c r="D70" s="828" t="s">
        <v>3181</v>
      </c>
      <c r="E70" s="826" t="s">
        <v>3182</v>
      </c>
      <c r="F70" s="827" t="s">
        <v>3183</v>
      </c>
      <c r="G70" s="827" t="s">
        <v>3184</v>
      </c>
      <c r="H70" s="827" t="s">
        <v>3185</v>
      </c>
      <c r="I70" s="827" t="s">
        <v>3186</v>
      </c>
      <c r="J70" s="829">
        <v>1.0</v>
      </c>
      <c r="K70" s="829">
        <v>1.1692</v>
      </c>
      <c r="L70" s="829">
        <v>1.1692</v>
      </c>
      <c r="M70" s="824" t="s">
        <v>301</v>
      </c>
      <c r="N70" s="824" t="s">
        <v>301</v>
      </c>
      <c r="O70" s="824" t="s">
        <v>301</v>
      </c>
      <c r="P70" s="824" t="s">
        <v>301</v>
      </c>
      <c r="Q70" s="824" t="s">
        <v>301</v>
      </c>
      <c r="R70" s="829">
        <v>1.1692</v>
      </c>
      <c r="S70" s="808"/>
      <c r="T70" s="808"/>
      <c r="U70" s="808"/>
      <c r="V70" s="808"/>
      <c r="W70" s="808"/>
      <c r="X70" s="808"/>
      <c r="Y70" s="808"/>
      <c r="Z70" s="808"/>
      <c r="AA70" s="808"/>
    </row>
    <row r="71" ht="79.5" customHeight="1">
      <c r="A71" s="818">
        <v>67.0</v>
      </c>
      <c r="B71" s="821" t="s">
        <v>3187</v>
      </c>
      <c r="C71" s="820" t="s">
        <v>3188</v>
      </c>
      <c r="D71" s="821" t="s">
        <v>3189</v>
      </c>
      <c r="E71" s="819" t="s">
        <v>3190</v>
      </c>
      <c r="F71" s="820" t="s">
        <v>3191</v>
      </c>
      <c r="G71" s="820" t="s">
        <v>3192</v>
      </c>
      <c r="H71" s="820" t="s">
        <v>3193</v>
      </c>
      <c r="I71" s="820" t="s">
        <v>3194</v>
      </c>
      <c r="J71" s="822">
        <v>1.0</v>
      </c>
      <c r="K71" s="822">
        <v>2.2686</v>
      </c>
      <c r="L71" s="822">
        <v>1.2</v>
      </c>
      <c r="M71" s="824" t="s">
        <v>301</v>
      </c>
      <c r="N71" s="824" t="s">
        <v>301</v>
      </c>
      <c r="O71" s="824" t="s">
        <v>301</v>
      </c>
      <c r="P71" s="824" t="s">
        <v>301</v>
      </c>
      <c r="Q71" s="855" t="s">
        <v>271</v>
      </c>
      <c r="R71" s="854">
        <v>2.2686</v>
      </c>
      <c r="S71" s="808"/>
      <c r="T71" s="808"/>
      <c r="U71" s="808"/>
      <c r="V71" s="808"/>
      <c r="W71" s="808"/>
      <c r="X71" s="808"/>
      <c r="Y71" s="808"/>
      <c r="Z71" s="808"/>
      <c r="AA71" s="808"/>
    </row>
    <row r="72" ht="42.75" customHeight="1">
      <c r="A72" s="809"/>
      <c r="B72" s="62"/>
      <c r="C72" s="62"/>
      <c r="D72" s="62"/>
      <c r="E72" s="62"/>
      <c r="F72" s="62"/>
      <c r="G72" s="62"/>
      <c r="H72" s="62"/>
      <c r="I72" s="62"/>
      <c r="J72" s="63"/>
      <c r="K72" s="853" t="s">
        <v>3195</v>
      </c>
      <c r="L72" s="856">
        <f>AVERAGE(L20:L71)</f>
        <v>1.038892308</v>
      </c>
      <c r="M72" s="857" t="s">
        <v>3196</v>
      </c>
      <c r="N72" s="62"/>
      <c r="O72" s="62"/>
      <c r="P72" s="62"/>
      <c r="Q72" s="63"/>
      <c r="R72" s="856">
        <v>1.0389</v>
      </c>
      <c r="S72" s="808"/>
      <c r="T72" s="808"/>
      <c r="U72" s="808"/>
      <c r="V72" s="808"/>
      <c r="W72" s="808"/>
      <c r="X72" s="808"/>
      <c r="Y72" s="808"/>
      <c r="Z72" s="808"/>
      <c r="AA72" s="808"/>
    </row>
    <row r="73" ht="30.75" customHeight="1">
      <c r="A73" s="858"/>
      <c r="B73" s="62"/>
      <c r="C73" s="62"/>
      <c r="D73" s="62"/>
      <c r="E73" s="62"/>
      <c r="F73" s="62"/>
      <c r="G73" s="62"/>
      <c r="H73" s="62"/>
      <c r="I73" s="62"/>
      <c r="J73" s="63"/>
      <c r="K73" s="852" t="s">
        <v>3197</v>
      </c>
      <c r="L73" s="859" t="str">
        <f>IF(L72&gt;=90%,"A",IF(L72&gt;=70%,"B",IF(L72&gt;=50%,"C",IF(L72&gt;=30%,"D","E"))))</f>
        <v>A</v>
      </c>
      <c r="M73" s="860" t="s">
        <v>3198</v>
      </c>
      <c r="N73" s="62"/>
      <c r="O73" s="62"/>
      <c r="P73" s="62"/>
      <c r="Q73" s="63"/>
      <c r="R73" s="859" t="s">
        <v>1636</v>
      </c>
      <c r="S73" s="808"/>
      <c r="T73" s="808"/>
      <c r="U73" s="808"/>
      <c r="V73" s="808"/>
      <c r="W73" s="808"/>
      <c r="X73" s="808"/>
      <c r="Y73" s="808"/>
      <c r="Z73" s="808"/>
      <c r="AA73" s="808"/>
    </row>
  </sheetData>
  <mergeCells count="14">
    <mergeCell ref="F3:I3"/>
    <mergeCell ref="J3:L3"/>
    <mergeCell ref="M3:S3"/>
    <mergeCell ref="A72:J72"/>
    <mergeCell ref="M72:Q72"/>
    <mergeCell ref="A73:J73"/>
    <mergeCell ref="M73:Q73"/>
    <mergeCell ref="A1:L1"/>
    <mergeCell ref="A2:L2"/>
    <mergeCell ref="A3:A4"/>
    <mergeCell ref="B3:B4"/>
    <mergeCell ref="C3:C4"/>
    <mergeCell ref="D3:D4"/>
    <mergeCell ref="E3:E4"/>
  </mergeCells>
  <conditionalFormatting sqref="M5:Q71">
    <cfRule type="containsText" dxfId="8" priority="1" operator="containsText" text="T">
      <formula>NOT(ISERROR(SEARCH(("T"),(M5))))</formula>
    </cfRule>
  </conditionalFormatting>
  <conditionalFormatting sqref="M5:Q71">
    <cfRule type="containsText" dxfId="9" priority="2" operator="containsText" text="T">
      <formula>NOT(ISERROR(SEARCH(("T"),(M5))))</formula>
    </cfRule>
  </conditionalFormatting>
  <dataValidations>
    <dataValidation type="list" allowBlank="1" showErrorMessage="1" sqref="M5:Q71">
      <formula1>"Y,T"</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18.44"/>
    <col customWidth="1" min="3" max="3" width="21.67"/>
    <col customWidth="1" min="4" max="4" width="13.67"/>
    <col customWidth="1" min="5" max="5" width="17.89"/>
    <col customWidth="1" min="6" max="6" width="19.0"/>
    <col customWidth="1" min="7" max="7" width="13.44"/>
    <col customWidth="1" min="8" max="8" width="14.89"/>
    <col customWidth="1" min="9" max="9" width="16.11"/>
    <col customWidth="1" min="10" max="10" width="14.56"/>
    <col customWidth="1" min="11" max="13" width="8.56"/>
    <col customWidth="1" min="14" max="14" width="15.44"/>
    <col customWidth="1" min="15" max="26" width="8.56"/>
  </cols>
  <sheetData>
    <row r="1" ht="42.75" customHeight="1">
      <c r="A1" s="807" t="s">
        <v>3199</v>
      </c>
      <c r="B1" s="62"/>
      <c r="C1" s="62"/>
      <c r="D1" s="62"/>
      <c r="E1" s="62"/>
      <c r="F1" s="62"/>
      <c r="G1" s="62"/>
      <c r="H1" s="62"/>
      <c r="I1" s="62"/>
      <c r="J1" s="63"/>
      <c r="K1" s="808"/>
      <c r="L1" s="808"/>
      <c r="M1" s="808"/>
      <c r="N1" s="861"/>
      <c r="O1" s="808"/>
      <c r="P1" s="808"/>
      <c r="Q1" s="808"/>
      <c r="R1" s="808"/>
      <c r="S1" s="808"/>
      <c r="T1" s="808"/>
      <c r="U1" s="808"/>
      <c r="V1" s="808"/>
      <c r="W1" s="808"/>
      <c r="X1" s="808"/>
      <c r="Y1" s="808"/>
      <c r="Z1" s="808"/>
    </row>
    <row r="2" ht="42.75" customHeight="1">
      <c r="A2" s="809" t="s">
        <v>3200</v>
      </c>
      <c r="B2" s="62"/>
      <c r="C2" s="62"/>
      <c r="D2" s="62"/>
      <c r="E2" s="62"/>
      <c r="F2" s="62"/>
      <c r="G2" s="62"/>
      <c r="H2" s="62"/>
      <c r="I2" s="62"/>
      <c r="J2" s="63"/>
      <c r="K2" s="808"/>
      <c r="L2" s="808"/>
      <c r="M2" s="808"/>
      <c r="N2" s="861"/>
      <c r="O2" s="808"/>
      <c r="P2" s="808"/>
      <c r="Q2" s="808"/>
      <c r="R2" s="808"/>
      <c r="S2" s="808"/>
      <c r="T2" s="808"/>
      <c r="U2" s="808"/>
      <c r="V2" s="808"/>
      <c r="W2" s="808"/>
      <c r="X2" s="808"/>
      <c r="Y2" s="808"/>
      <c r="Z2" s="808"/>
    </row>
    <row r="3" ht="42.75" customHeight="1">
      <c r="A3" s="470" t="s">
        <v>999</v>
      </c>
      <c r="B3" s="62"/>
      <c r="C3" s="62"/>
      <c r="D3" s="62"/>
      <c r="E3" s="62"/>
      <c r="F3" s="62"/>
      <c r="G3" s="62"/>
      <c r="H3" s="62"/>
      <c r="I3" s="62"/>
      <c r="J3" s="62"/>
      <c r="K3" s="62"/>
      <c r="L3" s="62"/>
      <c r="M3" s="62"/>
      <c r="N3" s="62"/>
      <c r="O3" s="63"/>
    </row>
    <row r="4">
      <c r="A4" s="810" t="s">
        <v>3201</v>
      </c>
      <c r="B4" s="810" t="s">
        <v>3202</v>
      </c>
      <c r="C4" s="862" t="s">
        <v>3203</v>
      </c>
      <c r="D4" s="813" t="s">
        <v>3204</v>
      </c>
      <c r="E4" s="62"/>
      <c r="F4" s="62"/>
      <c r="G4" s="63"/>
      <c r="H4" s="814" t="s">
        <v>3205</v>
      </c>
      <c r="I4" s="62"/>
      <c r="J4" s="63"/>
      <c r="K4" s="299" t="s">
        <v>3206</v>
      </c>
      <c r="L4" s="62"/>
      <c r="M4" s="62"/>
      <c r="N4" s="62"/>
      <c r="O4" s="63"/>
    </row>
    <row r="5" ht="81.75" customHeight="1">
      <c r="A5" s="210"/>
      <c r="B5" s="210"/>
      <c r="C5" s="210"/>
      <c r="D5" s="815" t="s">
        <v>3207</v>
      </c>
      <c r="E5" s="815" t="s">
        <v>3208</v>
      </c>
      <c r="F5" s="815" t="s">
        <v>3209</v>
      </c>
      <c r="G5" s="817" t="s">
        <v>3210</v>
      </c>
      <c r="H5" s="815" t="s">
        <v>3211</v>
      </c>
      <c r="I5" s="815" t="s">
        <v>3212</v>
      </c>
      <c r="J5" s="817" t="s">
        <v>3213</v>
      </c>
      <c r="K5" s="302" t="s">
        <v>2526</v>
      </c>
      <c r="L5" s="302" t="s">
        <v>2527</v>
      </c>
      <c r="M5" s="302" t="s">
        <v>2528</v>
      </c>
      <c r="N5" s="863" t="s">
        <v>2529</v>
      </c>
      <c r="O5" s="302" t="s">
        <v>2530</v>
      </c>
    </row>
    <row r="6">
      <c r="A6" s="864">
        <v>1.0</v>
      </c>
      <c r="B6" s="819" t="s">
        <v>3214</v>
      </c>
      <c r="C6" s="819" t="s">
        <v>3215</v>
      </c>
      <c r="D6" s="819" t="s">
        <v>3216</v>
      </c>
      <c r="E6" s="819" t="s">
        <v>3217</v>
      </c>
      <c r="F6" s="819" t="s">
        <v>3218</v>
      </c>
      <c r="G6" s="819" t="s">
        <v>3219</v>
      </c>
      <c r="H6" s="852" t="s">
        <v>3220</v>
      </c>
      <c r="I6" s="852" t="s">
        <v>3221</v>
      </c>
      <c r="J6" s="865">
        <v>1.2</v>
      </c>
      <c r="K6" s="824" t="s">
        <v>301</v>
      </c>
      <c r="L6" s="824" t="s">
        <v>301</v>
      </c>
      <c r="M6" s="824" t="s">
        <v>271</v>
      </c>
      <c r="N6" s="324">
        <v>1.4</v>
      </c>
      <c r="O6" s="866" t="s">
        <v>3222</v>
      </c>
    </row>
    <row r="7">
      <c r="A7" s="867">
        <v>2.0</v>
      </c>
      <c r="B7" s="826" t="s">
        <v>3223</v>
      </c>
      <c r="C7" s="853" t="s">
        <v>3224</v>
      </c>
      <c r="D7" s="826" t="s">
        <v>3225</v>
      </c>
      <c r="E7" s="826" t="s">
        <v>3226</v>
      </c>
      <c r="F7" s="826" t="s">
        <v>3227</v>
      </c>
      <c r="G7" s="826" t="s">
        <v>3228</v>
      </c>
      <c r="H7" s="868">
        <v>1.0</v>
      </c>
      <c r="I7" s="868">
        <v>1.0</v>
      </c>
      <c r="J7" s="868">
        <v>1.0</v>
      </c>
      <c r="K7" s="824" t="s">
        <v>301</v>
      </c>
      <c r="L7" s="824" t="s">
        <v>301</v>
      </c>
      <c r="M7" s="824" t="s">
        <v>301</v>
      </c>
      <c r="N7" s="869">
        <v>1.0</v>
      </c>
    </row>
    <row r="8">
      <c r="A8" s="864">
        <v>3.0</v>
      </c>
      <c r="B8" s="819" t="s">
        <v>3229</v>
      </c>
      <c r="C8" s="819" t="s">
        <v>3230</v>
      </c>
      <c r="D8" s="819" t="s">
        <v>3231</v>
      </c>
      <c r="E8" s="819" t="s">
        <v>3232</v>
      </c>
      <c r="F8" s="819" t="s">
        <v>3233</v>
      </c>
      <c r="G8" s="819" t="s">
        <v>3234</v>
      </c>
      <c r="H8" s="852" t="s">
        <v>3235</v>
      </c>
      <c r="I8" s="852" t="s">
        <v>3236</v>
      </c>
      <c r="J8" s="865">
        <v>1.2</v>
      </c>
      <c r="K8" s="824" t="s">
        <v>301</v>
      </c>
      <c r="L8" s="824" t="s">
        <v>301</v>
      </c>
      <c r="M8" s="824" t="s">
        <v>271</v>
      </c>
      <c r="N8" s="324">
        <v>2.5</v>
      </c>
      <c r="O8" s="866" t="s">
        <v>3222</v>
      </c>
    </row>
    <row r="9">
      <c r="A9" s="867">
        <v>4.0</v>
      </c>
      <c r="B9" s="826" t="s">
        <v>3237</v>
      </c>
      <c r="C9" s="853" t="s">
        <v>3238</v>
      </c>
      <c r="D9" s="826" t="s">
        <v>3239</v>
      </c>
      <c r="E9" s="826" t="s">
        <v>3240</v>
      </c>
      <c r="F9" s="826" t="s">
        <v>3241</v>
      </c>
      <c r="G9" s="826" t="s">
        <v>3242</v>
      </c>
      <c r="H9" s="868">
        <v>0.5</v>
      </c>
      <c r="I9" s="868">
        <v>0.5435</v>
      </c>
      <c r="J9" s="868">
        <v>1.087</v>
      </c>
      <c r="K9" s="824" t="s">
        <v>301</v>
      </c>
      <c r="L9" s="824" t="s">
        <v>301</v>
      </c>
      <c r="M9" s="824" t="s">
        <v>301</v>
      </c>
      <c r="N9" s="869">
        <v>1.087</v>
      </c>
    </row>
    <row r="10">
      <c r="A10" s="864">
        <v>5.0</v>
      </c>
      <c r="B10" s="819" t="s">
        <v>3243</v>
      </c>
      <c r="C10" s="852" t="s">
        <v>3244</v>
      </c>
      <c r="D10" s="819" t="s">
        <v>3245</v>
      </c>
      <c r="E10" s="819" t="s">
        <v>3246</v>
      </c>
      <c r="F10" s="819" t="s">
        <v>3247</v>
      </c>
      <c r="G10" s="819" t="s">
        <v>3248</v>
      </c>
      <c r="H10" s="865">
        <v>0.55</v>
      </c>
      <c r="I10" s="865">
        <v>0.55</v>
      </c>
      <c r="J10" s="865">
        <v>1.0</v>
      </c>
      <c r="K10" s="824" t="s">
        <v>301</v>
      </c>
      <c r="L10" s="824" t="s">
        <v>301</v>
      </c>
      <c r="M10" s="824" t="s">
        <v>301</v>
      </c>
      <c r="N10" s="870">
        <v>1.0</v>
      </c>
    </row>
    <row r="11">
      <c r="A11" s="867">
        <v>6.0</v>
      </c>
      <c r="B11" s="826" t="s">
        <v>3249</v>
      </c>
      <c r="C11" s="826" t="s">
        <v>3250</v>
      </c>
      <c r="D11" s="826" t="s">
        <v>3251</v>
      </c>
      <c r="E11" s="826" t="s">
        <v>3252</v>
      </c>
      <c r="F11" s="826" t="s">
        <v>3253</v>
      </c>
      <c r="G11" s="826" t="s">
        <v>3254</v>
      </c>
      <c r="H11" s="868">
        <v>0.84</v>
      </c>
      <c r="I11" s="868">
        <v>0.97</v>
      </c>
      <c r="J11" s="868">
        <v>1.1548</v>
      </c>
      <c r="K11" s="824" t="s">
        <v>301</v>
      </c>
      <c r="L11" s="824" t="s">
        <v>301</v>
      </c>
      <c r="M11" s="824" t="s">
        <v>301</v>
      </c>
      <c r="N11" s="869">
        <v>1.1548</v>
      </c>
    </row>
    <row r="12">
      <c r="A12" s="864">
        <v>7.0</v>
      </c>
      <c r="B12" s="819" t="s">
        <v>3255</v>
      </c>
      <c r="C12" s="852" t="s">
        <v>3256</v>
      </c>
      <c r="D12" s="819" t="s">
        <v>3257</v>
      </c>
      <c r="E12" s="819" t="s">
        <v>3258</v>
      </c>
      <c r="F12" s="819" t="s">
        <v>3259</v>
      </c>
      <c r="G12" s="819" t="s">
        <v>3260</v>
      </c>
      <c r="H12" s="865">
        <v>0.95</v>
      </c>
      <c r="I12" s="865">
        <v>0.95</v>
      </c>
      <c r="J12" s="865">
        <v>1.0</v>
      </c>
      <c r="K12" s="824" t="s">
        <v>301</v>
      </c>
      <c r="L12" s="824" t="s">
        <v>301</v>
      </c>
      <c r="M12" s="824" t="s">
        <v>301</v>
      </c>
      <c r="N12" s="870">
        <v>1.0</v>
      </c>
    </row>
    <row r="13">
      <c r="A13" s="867">
        <v>8.0</v>
      </c>
      <c r="B13" s="826" t="s">
        <v>3261</v>
      </c>
      <c r="C13" s="826" t="s">
        <v>3262</v>
      </c>
      <c r="D13" s="826" t="s">
        <v>3263</v>
      </c>
      <c r="E13" s="826" t="s">
        <v>3264</v>
      </c>
      <c r="F13" s="826" t="s">
        <v>3265</v>
      </c>
      <c r="G13" s="826" t="s">
        <v>3266</v>
      </c>
      <c r="H13" s="868">
        <v>0.85</v>
      </c>
      <c r="I13" s="868">
        <v>1.0705</v>
      </c>
      <c r="J13" s="868">
        <v>1.2</v>
      </c>
      <c r="K13" s="824" t="s">
        <v>301</v>
      </c>
      <c r="L13" s="824" t="s">
        <v>301</v>
      </c>
      <c r="M13" s="824" t="s">
        <v>271</v>
      </c>
      <c r="N13" s="324">
        <v>1.2594</v>
      </c>
      <c r="O13" s="866" t="s">
        <v>3222</v>
      </c>
    </row>
    <row r="14">
      <c r="A14" s="818">
        <v>9.0</v>
      </c>
      <c r="B14" s="819" t="s">
        <v>3267</v>
      </c>
      <c r="C14" s="852" t="s">
        <v>3268</v>
      </c>
      <c r="D14" s="820" t="s">
        <v>3269</v>
      </c>
      <c r="E14" s="820" t="s">
        <v>3270</v>
      </c>
      <c r="F14" s="820" t="s">
        <v>3271</v>
      </c>
      <c r="G14" s="820" t="s">
        <v>3272</v>
      </c>
      <c r="H14" s="831" t="s">
        <v>3273</v>
      </c>
      <c r="I14" s="831" t="s">
        <v>3274</v>
      </c>
      <c r="J14" s="822">
        <v>1.1353</v>
      </c>
      <c r="K14" s="824" t="s">
        <v>301</v>
      </c>
      <c r="L14" s="824" t="s">
        <v>301</v>
      </c>
      <c r="M14" s="824" t="s">
        <v>301</v>
      </c>
      <c r="N14" s="871">
        <v>1.1353</v>
      </c>
    </row>
    <row r="15">
      <c r="A15" s="825">
        <v>10.0</v>
      </c>
      <c r="B15" s="826" t="s">
        <v>3275</v>
      </c>
      <c r="C15" s="853" t="s">
        <v>3276</v>
      </c>
      <c r="D15" s="827" t="s">
        <v>3277</v>
      </c>
      <c r="E15" s="827" t="s">
        <v>3278</v>
      </c>
      <c r="F15" s="827" t="s">
        <v>3279</v>
      </c>
      <c r="G15" s="827" t="s">
        <v>3280</v>
      </c>
      <c r="H15" s="830" t="s">
        <v>3281</v>
      </c>
      <c r="I15" s="830" t="s">
        <v>3282</v>
      </c>
      <c r="J15" s="829">
        <v>1.0417</v>
      </c>
      <c r="K15" s="824" t="s">
        <v>301</v>
      </c>
      <c r="L15" s="824" t="s">
        <v>301</v>
      </c>
      <c r="M15" s="824" t="s">
        <v>301</v>
      </c>
      <c r="N15" s="872">
        <v>1.0417</v>
      </c>
    </row>
    <row r="16">
      <c r="A16" s="818">
        <v>11.0</v>
      </c>
      <c r="B16" s="819" t="s">
        <v>3283</v>
      </c>
      <c r="C16" s="820" t="s">
        <v>3284</v>
      </c>
      <c r="D16" s="820" t="s">
        <v>3285</v>
      </c>
      <c r="E16" s="820" t="s">
        <v>3286</v>
      </c>
      <c r="F16" s="820" t="s">
        <v>3287</v>
      </c>
      <c r="G16" s="820" t="s">
        <v>3288</v>
      </c>
      <c r="H16" s="852" t="s">
        <v>3289</v>
      </c>
      <c r="I16" s="852" t="s">
        <v>3290</v>
      </c>
      <c r="J16" s="822">
        <v>1.2</v>
      </c>
      <c r="K16" s="824" t="s">
        <v>301</v>
      </c>
      <c r="L16" s="824" t="s">
        <v>301</v>
      </c>
      <c r="M16" s="824" t="s">
        <v>271</v>
      </c>
      <c r="N16" s="324">
        <v>2.3992</v>
      </c>
      <c r="O16" s="866" t="s">
        <v>3222</v>
      </c>
    </row>
    <row r="17">
      <c r="A17" s="825">
        <v>12.0</v>
      </c>
      <c r="B17" s="826" t="s">
        <v>3291</v>
      </c>
      <c r="C17" s="827" t="s">
        <v>3292</v>
      </c>
      <c r="D17" s="827" t="s">
        <v>3293</v>
      </c>
      <c r="E17" s="827" t="s">
        <v>3294</v>
      </c>
      <c r="F17" s="827" t="s">
        <v>3295</v>
      </c>
      <c r="G17" s="827" t="s">
        <v>3296</v>
      </c>
      <c r="H17" s="853" t="s">
        <v>3297</v>
      </c>
      <c r="I17" s="826" t="s">
        <v>3298</v>
      </c>
      <c r="J17" s="829">
        <v>1.2</v>
      </c>
      <c r="K17" s="824" t="s">
        <v>301</v>
      </c>
      <c r="L17" s="824" t="s">
        <v>301</v>
      </c>
      <c r="M17" s="824" t="s">
        <v>271</v>
      </c>
      <c r="N17" s="324">
        <v>1.306</v>
      </c>
      <c r="O17" s="866" t="s">
        <v>3222</v>
      </c>
    </row>
    <row r="18">
      <c r="A18" s="818">
        <v>13.0</v>
      </c>
      <c r="B18" s="819" t="s">
        <v>3299</v>
      </c>
      <c r="C18" s="820" t="s">
        <v>3300</v>
      </c>
      <c r="D18" s="820" t="s">
        <v>3301</v>
      </c>
      <c r="E18" s="820" t="s">
        <v>3302</v>
      </c>
      <c r="F18" s="820" t="s">
        <v>3303</v>
      </c>
      <c r="G18" s="820" t="s">
        <v>3304</v>
      </c>
      <c r="H18" s="820" t="s">
        <v>3305</v>
      </c>
      <c r="I18" s="820" t="s">
        <v>3306</v>
      </c>
      <c r="J18" s="822">
        <v>1.2</v>
      </c>
      <c r="K18" s="824" t="s">
        <v>301</v>
      </c>
      <c r="L18" s="824" t="s">
        <v>301</v>
      </c>
      <c r="M18" s="824" t="s">
        <v>271</v>
      </c>
      <c r="N18" s="324">
        <v>2.0428</v>
      </c>
      <c r="O18" s="866" t="s">
        <v>3222</v>
      </c>
    </row>
    <row r="19">
      <c r="A19" s="825">
        <v>14.0</v>
      </c>
      <c r="B19" s="826" t="s">
        <v>3307</v>
      </c>
      <c r="C19" s="853" t="s">
        <v>3308</v>
      </c>
      <c r="D19" s="827" t="s">
        <v>3309</v>
      </c>
      <c r="E19" s="827" t="s">
        <v>3310</v>
      </c>
      <c r="F19" s="827" t="s">
        <v>3311</v>
      </c>
      <c r="G19" s="827" t="s">
        <v>3312</v>
      </c>
      <c r="H19" s="830" t="s">
        <v>3313</v>
      </c>
      <c r="I19" s="830" t="s">
        <v>3314</v>
      </c>
      <c r="J19" s="829">
        <v>1.0863</v>
      </c>
      <c r="K19" s="824" t="s">
        <v>301</v>
      </c>
      <c r="L19" s="824" t="s">
        <v>301</v>
      </c>
      <c r="M19" s="824" t="s">
        <v>301</v>
      </c>
      <c r="N19" s="872">
        <v>1.0863</v>
      </c>
    </row>
    <row r="20">
      <c r="A20" s="818">
        <v>15.0</v>
      </c>
      <c r="B20" s="819" t="s">
        <v>3315</v>
      </c>
      <c r="C20" s="820" t="s">
        <v>3316</v>
      </c>
      <c r="D20" s="820" t="s">
        <v>3317</v>
      </c>
      <c r="E20" s="820" t="s">
        <v>3318</v>
      </c>
      <c r="F20" s="820" t="s">
        <v>3319</v>
      </c>
      <c r="G20" s="820" t="s">
        <v>3320</v>
      </c>
      <c r="H20" s="831" t="s">
        <v>3321</v>
      </c>
      <c r="I20" s="831" t="s">
        <v>3322</v>
      </c>
      <c r="J20" s="822">
        <v>1.0638</v>
      </c>
      <c r="K20" s="824" t="s">
        <v>301</v>
      </c>
      <c r="L20" s="824" t="s">
        <v>301</v>
      </c>
      <c r="M20" s="824" t="s">
        <v>301</v>
      </c>
      <c r="N20" s="871">
        <v>1.0638</v>
      </c>
    </row>
    <row r="21">
      <c r="A21" s="825">
        <v>16.0</v>
      </c>
      <c r="B21" s="826" t="s">
        <v>3323</v>
      </c>
      <c r="C21" s="827" t="s">
        <v>3324</v>
      </c>
      <c r="D21" s="827" t="s">
        <v>3325</v>
      </c>
      <c r="E21" s="827" t="s">
        <v>3326</v>
      </c>
      <c r="F21" s="827" t="s">
        <v>3327</v>
      </c>
      <c r="G21" s="827" t="s">
        <v>3328</v>
      </c>
      <c r="H21" s="830" t="s">
        <v>3329</v>
      </c>
      <c r="I21" s="830" t="s">
        <v>3330</v>
      </c>
      <c r="J21" s="829">
        <v>1.0002</v>
      </c>
      <c r="K21" s="824" t="s">
        <v>301</v>
      </c>
      <c r="L21" s="824" t="s">
        <v>301</v>
      </c>
      <c r="M21" s="824" t="s">
        <v>301</v>
      </c>
      <c r="N21" s="872">
        <v>1.0002</v>
      </c>
    </row>
    <row r="22">
      <c r="A22" s="818">
        <v>17.0</v>
      </c>
      <c r="B22" s="819" t="s">
        <v>3331</v>
      </c>
      <c r="C22" s="820" t="s">
        <v>3332</v>
      </c>
      <c r="D22" s="820" t="s">
        <v>3333</v>
      </c>
      <c r="E22" s="820" t="s">
        <v>3334</v>
      </c>
      <c r="F22" s="820" t="s">
        <v>3335</v>
      </c>
      <c r="G22" s="820" t="s">
        <v>3336</v>
      </c>
      <c r="H22" s="831" t="s">
        <v>3337</v>
      </c>
      <c r="I22" s="831" t="s">
        <v>3338</v>
      </c>
      <c r="J22" s="822">
        <v>1.0526</v>
      </c>
      <c r="K22" s="824" t="s">
        <v>301</v>
      </c>
      <c r="L22" s="824" t="s">
        <v>301</v>
      </c>
      <c r="M22" s="824" t="s">
        <v>301</v>
      </c>
      <c r="N22" s="871">
        <v>1.0526</v>
      </c>
    </row>
    <row r="23">
      <c r="A23" s="867">
        <v>18.0</v>
      </c>
      <c r="B23" s="853" t="s">
        <v>3339</v>
      </c>
      <c r="C23" s="826" t="s">
        <v>3340</v>
      </c>
      <c r="D23" s="826" t="s">
        <v>3341</v>
      </c>
      <c r="E23" s="826" t="s">
        <v>3342</v>
      </c>
      <c r="F23" s="826" t="s">
        <v>3343</v>
      </c>
      <c r="G23" s="826" t="s">
        <v>3344</v>
      </c>
      <c r="H23" s="853" t="s">
        <v>3345</v>
      </c>
      <c r="I23" s="853" t="s">
        <v>3346</v>
      </c>
      <c r="J23" s="868">
        <v>1.0176</v>
      </c>
      <c r="K23" s="824" t="s">
        <v>301</v>
      </c>
      <c r="L23" s="824" t="s">
        <v>301</v>
      </c>
      <c r="M23" s="824" t="s">
        <v>301</v>
      </c>
      <c r="N23" s="869">
        <v>1.0176</v>
      </c>
    </row>
    <row r="24">
      <c r="A24" s="864">
        <v>19.0</v>
      </c>
      <c r="B24" s="852" t="s">
        <v>3347</v>
      </c>
      <c r="C24" s="852" t="s">
        <v>3348</v>
      </c>
      <c r="D24" s="819" t="s">
        <v>3349</v>
      </c>
      <c r="E24" s="819" t="s">
        <v>3350</v>
      </c>
      <c r="F24" s="819" t="s">
        <v>3351</v>
      </c>
      <c r="G24" s="819" t="s">
        <v>3352</v>
      </c>
      <c r="H24" s="852" t="s">
        <v>3353</v>
      </c>
      <c r="I24" s="852" t="s">
        <v>3354</v>
      </c>
      <c r="J24" s="865">
        <v>1.0486</v>
      </c>
      <c r="K24" s="824" t="s">
        <v>301</v>
      </c>
      <c r="L24" s="824" t="s">
        <v>301</v>
      </c>
      <c r="M24" s="824" t="s">
        <v>301</v>
      </c>
      <c r="N24" s="870">
        <v>1.0486</v>
      </c>
    </row>
    <row r="25">
      <c r="A25" s="867">
        <v>20.0</v>
      </c>
      <c r="B25" s="853" t="s">
        <v>3355</v>
      </c>
      <c r="C25" s="853" t="s">
        <v>3356</v>
      </c>
      <c r="D25" s="826" t="s">
        <v>3357</v>
      </c>
      <c r="E25" s="826" t="s">
        <v>3358</v>
      </c>
      <c r="F25" s="826" t="s">
        <v>3359</v>
      </c>
      <c r="G25" s="826" t="s">
        <v>3360</v>
      </c>
      <c r="H25" s="853" t="s">
        <v>3361</v>
      </c>
      <c r="I25" s="853" t="s">
        <v>3362</v>
      </c>
      <c r="J25" s="868">
        <v>1.0486</v>
      </c>
      <c r="K25" s="824" t="s">
        <v>301</v>
      </c>
      <c r="L25" s="824" t="s">
        <v>301</v>
      </c>
      <c r="M25" s="824" t="s">
        <v>301</v>
      </c>
      <c r="N25" s="869">
        <v>1.0486</v>
      </c>
    </row>
    <row r="26">
      <c r="A26" s="864">
        <v>21.0</v>
      </c>
      <c r="B26" s="852" t="s">
        <v>3363</v>
      </c>
      <c r="C26" s="819" t="s">
        <v>3364</v>
      </c>
      <c r="D26" s="819" t="s">
        <v>3365</v>
      </c>
      <c r="E26" s="819" t="s">
        <v>3366</v>
      </c>
      <c r="F26" s="819" t="s">
        <v>3367</v>
      </c>
      <c r="G26" s="819" t="s">
        <v>3368</v>
      </c>
      <c r="H26" s="821" t="s">
        <v>3369</v>
      </c>
      <c r="I26" s="821" t="s">
        <v>3370</v>
      </c>
      <c r="J26" s="865">
        <v>1.2</v>
      </c>
      <c r="K26" s="824" t="s">
        <v>301</v>
      </c>
      <c r="L26" s="824" t="s">
        <v>301</v>
      </c>
      <c r="M26" s="824" t="s">
        <v>271</v>
      </c>
      <c r="N26" s="870">
        <v>1.2325</v>
      </c>
      <c r="O26" s="866" t="s">
        <v>3222</v>
      </c>
    </row>
    <row r="27">
      <c r="A27" s="867">
        <v>22.0</v>
      </c>
      <c r="B27" s="853" t="s">
        <v>3371</v>
      </c>
      <c r="C27" s="826" t="s">
        <v>3372</v>
      </c>
      <c r="D27" s="826" t="s">
        <v>3373</v>
      </c>
      <c r="E27" s="826" t="s">
        <v>3374</v>
      </c>
      <c r="F27" s="826" t="s">
        <v>3375</v>
      </c>
      <c r="G27" s="826" t="s">
        <v>3376</v>
      </c>
      <c r="H27" s="853" t="s">
        <v>3377</v>
      </c>
      <c r="I27" s="853" t="s">
        <v>3378</v>
      </c>
      <c r="J27" s="868">
        <v>1.178</v>
      </c>
      <c r="K27" s="824" t="s">
        <v>301</v>
      </c>
      <c r="L27" s="824" t="s">
        <v>301</v>
      </c>
      <c r="M27" s="824" t="s">
        <v>301</v>
      </c>
      <c r="N27" s="869">
        <v>1.178</v>
      </c>
    </row>
    <row r="28">
      <c r="A28" s="864">
        <v>23.0</v>
      </c>
      <c r="B28" s="852" t="s">
        <v>3379</v>
      </c>
      <c r="C28" s="852" t="s">
        <v>3380</v>
      </c>
      <c r="D28" s="819" t="s">
        <v>3381</v>
      </c>
      <c r="E28" s="819" t="s">
        <v>3382</v>
      </c>
      <c r="F28" s="819" t="s">
        <v>3383</v>
      </c>
      <c r="G28" s="819" t="s">
        <v>3384</v>
      </c>
      <c r="H28" s="852" t="s">
        <v>3385</v>
      </c>
      <c r="I28" s="852" t="s">
        <v>3386</v>
      </c>
      <c r="J28" s="865">
        <v>1.1114</v>
      </c>
      <c r="K28" s="824" t="s">
        <v>301</v>
      </c>
      <c r="L28" s="824" t="s">
        <v>301</v>
      </c>
      <c r="M28" s="824" t="s">
        <v>301</v>
      </c>
      <c r="N28" s="870">
        <v>1.1114</v>
      </c>
    </row>
    <row r="29">
      <c r="A29" s="867">
        <v>24.0</v>
      </c>
      <c r="B29" s="853" t="s">
        <v>3387</v>
      </c>
      <c r="C29" s="853" t="s">
        <v>3388</v>
      </c>
      <c r="D29" s="826" t="s">
        <v>3389</v>
      </c>
      <c r="E29" s="826" t="s">
        <v>3390</v>
      </c>
      <c r="F29" s="826" t="s">
        <v>3391</v>
      </c>
      <c r="G29" s="826" t="s">
        <v>3392</v>
      </c>
      <c r="H29" s="853" t="s">
        <v>3393</v>
      </c>
      <c r="I29" s="853" t="s">
        <v>3394</v>
      </c>
      <c r="J29" s="868">
        <v>1.0971</v>
      </c>
      <c r="K29" s="824" t="s">
        <v>301</v>
      </c>
      <c r="L29" s="824" t="s">
        <v>301</v>
      </c>
      <c r="M29" s="824" t="s">
        <v>301</v>
      </c>
      <c r="N29" s="869">
        <v>1.0971</v>
      </c>
    </row>
    <row r="30">
      <c r="A30" s="864">
        <v>25.0</v>
      </c>
      <c r="B30" s="852" t="s">
        <v>3395</v>
      </c>
      <c r="C30" s="852" t="s">
        <v>3396</v>
      </c>
      <c r="D30" s="819" t="s">
        <v>3397</v>
      </c>
      <c r="E30" s="819" t="s">
        <v>3398</v>
      </c>
      <c r="F30" s="819" t="s">
        <v>3399</v>
      </c>
      <c r="G30" s="819" t="s">
        <v>3400</v>
      </c>
      <c r="H30" s="852" t="s">
        <v>3401</v>
      </c>
      <c r="I30" s="852" t="s">
        <v>3402</v>
      </c>
      <c r="J30" s="865">
        <v>1.16</v>
      </c>
      <c r="K30" s="824" t="s">
        <v>301</v>
      </c>
      <c r="L30" s="824" t="s">
        <v>301</v>
      </c>
      <c r="M30" s="824" t="s">
        <v>301</v>
      </c>
      <c r="N30" s="870">
        <v>1.16</v>
      </c>
    </row>
    <row r="31">
      <c r="A31" s="825">
        <v>26.0</v>
      </c>
      <c r="B31" s="826" t="s">
        <v>3403</v>
      </c>
      <c r="C31" s="853" t="s">
        <v>3404</v>
      </c>
      <c r="D31" s="827" t="s">
        <v>3405</v>
      </c>
      <c r="E31" s="827" t="s">
        <v>3406</v>
      </c>
      <c r="F31" s="827" t="s">
        <v>3407</v>
      </c>
      <c r="G31" s="827" t="s">
        <v>3408</v>
      </c>
      <c r="H31" s="830" t="s">
        <v>3409</v>
      </c>
      <c r="I31" s="830" t="s">
        <v>3410</v>
      </c>
      <c r="J31" s="829">
        <v>1.1254</v>
      </c>
      <c r="K31" s="824" t="s">
        <v>301</v>
      </c>
      <c r="L31" s="824" t="s">
        <v>301</v>
      </c>
      <c r="M31" s="824" t="s">
        <v>301</v>
      </c>
      <c r="N31" s="872">
        <v>1.1254</v>
      </c>
    </row>
    <row r="32">
      <c r="A32" s="818">
        <v>27.0</v>
      </c>
      <c r="B32" s="819" t="s">
        <v>3411</v>
      </c>
      <c r="C32" s="852" t="s">
        <v>3412</v>
      </c>
      <c r="D32" s="820" t="s">
        <v>3413</v>
      </c>
      <c r="E32" s="820" t="s">
        <v>3414</v>
      </c>
      <c r="F32" s="820" t="s">
        <v>3415</v>
      </c>
      <c r="G32" s="820" t="s">
        <v>3416</v>
      </c>
      <c r="H32" s="831" t="s">
        <v>3417</v>
      </c>
      <c r="I32" s="831" t="s">
        <v>3418</v>
      </c>
      <c r="J32" s="822">
        <v>1.1569</v>
      </c>
      <c r="K32" s="824" t="s">
        <v>301</v>
      </c>
      <c r="L32" s="824" t="s">
        <v>301</v>
      </c>
      <c r="M32" s="824" t="s">
        <v>301</v>
      </c>
      <c r="N32" s="871">
        <v>1.1569</v>
      </c>
    </row>
    <row r="33">
      <c r="A33" s="825">
        <v>28.0</v>
      </c>
      <c r="B33" s="826" t="s">
        <v>3419</v>
      </c>
      <c r="C33" s="827" t="s">
        <v>3420</v>
      </c>
      <c r="D33" s="827" t="s">
        <v>3421</v>
      </c>
      <c r="E33" s="827" t="s">
        <v>3422</v>
      </c>
      <c r="F33" s="827" t="s">
        <v>3423</v>
      </c>
      <c r="G33" s="827" t="s">
        <v>3424</v>
      </c>
      <c r="H33" s="830" t="s">
        <v>3425</v>
      </c>
      <c r="I33" s="830" t="s">
        <v>3426</v>
      </c>
      <c r="J33" s="829">
        <v>1.0027</v>
      </c>
      <c r="K33" s="824" t="s">
        <v>301</v>
      </c>
      <c r="L33" s="824" t="s">
        <v>301</v>
      </c>
      <c r="M33" s="824" t="s">
        <v>301</v>
      </c>
      <c r="N33" s="872">
        <v>1.0027</v>
      </c>
    </row>
    <row r="34">
      <c r="A34" s="818">
        <v>29.0</v>
      </c>
      <c r="B34" s="819" t="s">
        <v>3427</v>
      </c>
      <c r="C34" s="820" t="s">
        <v>3428</v>
      </c>
      <c r="D34" s="820" t="s">
        <v>3429</v>
      </c>
      <c r="E34" s="820" t="s">
        <v>3430</v>
      </c>
      <c r="F34" s="820" t="s">
        <v>3431</v>
      </c>
      <c r="G34" s="820" t="s">
        <v>3432</v>
      </c>
      <c r="H34" s="831" t="s">
        <v>3433</v>
      </c>
      <c r="I34" s="831" t="s">
        <v>3434</v>
      </c>
      <c r="J34" s="822">
        <v>0.9458</v>
      </c>
      <c r="K34" s="824" t="s">
        <v>301</v>
      </c>
      <c r="L34" s="824" t="s">
        <v>301</v>
      </c>
      <c r="M34" s="824" t="s">
        <v>301</v>
      </c>
      <c r="N34" s="871">
        <v>0.9458</v>
      </c>
    </row>
    <row r="35">
      <c r="A35" s="825">
        <v>30.0</v>
      </c>
      <c r="B35" s="826" t="s">
        <v>3435</v>
      </c>
      <c r="C35" s="827" t="s">
        <v>3436</v>
      </c>
      <c r="D35" s="827" t="s">
        <v>3437</v>
      </c>
      <c r="E35" s="827" t="s">
        <v>3438</v>
      </c>
      <c r="F35" s="827" t="s">
        <v>3439</v>
      </c>
      <c r="G35" s="827" t="s">
        <v>3440</v>
      </c>
      <c r="H35" s="830" t="s">
        <v>3441</v>
      </c>
      <c r="I35" s="830" t="s">
        <v>3442</v>
      </c>
      <c r="J35" s="829">
        <v>1.1167</v>
      </c>
      <c r="K35" s="824" t="s">
        <v>301</v>
      </c>
      <c r="L35" s="824" t="s">
        <v>301</v>
      </c>
      <c r="M35" s="824" t="s">
        <v>301</v>
      </c>
      <c r="N35" s="872">
        <v>1.1167</v>
      </c>
    </row>
    <row r="36">
      <c r="A36" s="818">
        <v>31.0</v>
      </c>
      <c r="B36" s="819" t="s">
        <v>3443</v>
      </c>
      <c r="C36" s="852" t="s">
        <v>3444</v>
      </c>
      <c r="D36" s="820" t="s">
        <v>3445</v>
      </c>
      <c r="E36" s="820" t="s">
        <v>3446</v>
      </c>
      <c r="F36" s="820" t="s">
        <v>3447</v>
      </c>
      <c r="G36" s="820" t="s">
        <v>3448</v>
      </c>
      <c r="H36" s="831" t="s">
        <v>3449</v>
      </c>
      <c r="I36" s="831" t="s">
        <v>3450</v>
      </c>
      <c r="J36" s="822">
        <v>0.9949</v>
      </c>
      <c r="K36" s="824" t="s">
        <v>301</v>
      </c>
      <c r="L36" s="824" t="s">
        <v>301</v>
      </c>
      <c r="M36" s="824" t="s">
        <v>301</v>
      </c>
      <c r="N36" s="871">
        <v>0.9949</v>
      </c>
    </row>
    <row r="37">
      <c r="A37" s="825">
        <v>32.0</v>
      </c>
      <c r="B37" s="826" t="s">
        <v>3451</v>
      </c>
      <c r="C37" s="853" t="s">
        <v>3452</v>
      </c>
      <c r="D37" s="827" t="s">
        <v>3453</v>
      </c>
      <c r="E37" s="827" t="s">
        <v>3454</v>
      </c>
      <c r="F37" s="827" t="s">
        <v>3455</v>
      </c>
      <c r="G37" s="827" t="s">
        <v>3456</v>
      </c>
      <c r="H37" s="830" t="s">
        <v>3457</v>
      </c>
      <c r="I37" s="830" t="s">
        <v>3458</v>
      </c>
      <c r="J37" s="829">
        <v>1.0556</v>
      </c>
      <c r="K37" s="824" t="s">
        <v>301</v>
      </c>
      <c r="L37" s="824" t="s">
        <v>301</v>
      </c>
      <c r="M37" s="824" t="s">
        <v>301</v>
      </c>
      <c r="N37" s="872">
        <v>1.0556</v>
      </c>
    </row>
    <row r="38">
      <c r="A38" s="818">
        <v>33.0</v>
      </c>
      <c r="B38" s="819" t="s">
        <v>3459</v>
      </c>
      <c r="C38" s="852" t="s">
        <v>3460</v>
      </c>
      <c r="D38" s="820" t="s">
        <v>3461</v>
      </c>
      <c r="E38" s="820" t="s">
        <v>3462</v>
      </c>
      <c r="F38" s="820" t="s">
        <v>3463</v>
      </c>
      <c r="G38" s="820" t="s">
        <v>3464</v>
      </c>
      <c r="H38" s="822">
        <v>0.01</v>
      </c>
      <c r="I38" s="822">
        <v>7.0E-4</v>
      </c>
      <c r="J38" s="822">
        <v>1.0</v>
      </c>
      <c r="K38" s="824" t="s">
        <v>301</v>
      </c>
      <c r="L38" s="824" t="s">
        <v>301</v>
      </c>
      <c r="M38" s="824" t="s">
        <v>301</v>
      </c>
      <c r="N38" s="871">
        <v>1.0</v>
      </c>
    </row>
    <row r="39">
      <c r="A39" s="825">
        <v>34.0</v>
      </c>
      <c r="B39" s="826" t="s">
        <v>3465</v>
      </c>
      <c r="C39" s="853" t="s">
        <v>3466</v>
      </c>
      <c r="D39" s="827" t="s">
        <v>3467</v>
      </c>
      <c r="E39" s="827" t="s">
        <v>3468</v>
      </c>
      <c r="F39" s="827" t="s">
        <v>3469</v>
      </c>
      <c r="G39" s="827" t="s">
        <v>3470</v>
      </c>
      <c r="H39" s="829">
        <v>0.3</v>
      </c>
      <c r="I39" s="829">
        <v>0.2696</v>
      </c>
      <c r="J39" s="829">
        <v>0.8987</v>
      </c>
      <c r="K39" s="824" t="s">
        <v>301</v>
      </c>
      <c r="L39" s="824" t="s">
        <v>301</v>
      </c>
      <c r="M39" s="824" t="s">
        <v>301</v>
      </c>
      <c r="N39" s="872">
        <v>0.8987</v>
      </c>
    </row>
    <row r="40">
      <c r="A40" s="818">
        <v>35.0</v>
      </c>
      <c r="B40" s="819" t="s">
        <v>3471</v>
      </c>
      <c r="C40" s="852" t="s">
        <v>3472</v>
      </c>
      <c r="D40" s="820" t="s">
        <v>3473</v>
      </c>
      <c r="E40" s="820" t="s">
        <v>3474</v>
      </c>
      <c r="F40" s="820" t="s">
        <v>3475</v>
      </c>
      <c r="G40" s="820" t="s">
        <v>3476</v>
      </c>
      <c r="H40" s="822">
        <v>1.0</v>
      </c>
      <c r="I40" s="822">
        <v>1.0</v>
      </c>
      <c r="J40" s="822">
        <v>1.0</v>
      </c>
      <c r="K40" s="824" t="s">
        <v>301</v>
      </c>
      <c r="L40" s="824" t="s">
        <v>301</v>
      </c>
      <c r="M40" s="824" t="s">
        <v>301</v>
      </c>
      <c r="N40" s="871">
        <v>1.0</v>
      </c>
    </row>
    <row r="41">
      <c r="A41" s="825">
        <v>36.0</v>
      </c>
      <c r="B41" s="826" t="s">
        <v>3477</v>
      </c>
      <c r="C41" s="853" t="s">
        <v>3478</v>
      </c>
      <c r="D41" s="827" t="s">
        <v>3479</v>
      </c>
      <c r="E41" s="827" t="s">
        <v>3480</v>
      </c>
      <c r="F41" s="827" t="s">
        <v>3481</v>
      </c>
      <c r="G41" s="827" t="s">
        <v>3482</v>
      </c>
      <c r="H41" s="829">
        <v>0.2129</v>
      </c>
      <c r="I41" s="829">
        <v>0.2129</v>
      </c>
      <c r="J41" s="829">
        <v>1.0</v>
      </c>
      <c r="K41" s="824" t="s">
        <v>301</v>
      </c>
      <c r="L41" s="824" t="s">
        <v>301</v>
      </c>
      <c r="M41" s="824" t="s">
        <v>301</v>
      </c>
      <c r="N41" s="872">
        <v>1.0</v>
      </c>
    </row>
    <row r="42">
      <c r="A42" s="818">
        <v>37.0</v>
      </c>
      <c r="B42" s="819" t="s">
        <v>3483</v>
      </c>
      <c r="C42" s="852" t="s">
        <v>3484</v>
      </c>
      <c r="D42" s="820" t="s">
        <v>3485</v>
      </c>
      <c r="E42" s="820" t="s">
        <v>3486</v>
      </c>
      <c r="F42" s="820" t="s">
        <v>3487</v>
      </c>
      <c r="G42" s="820" t="s">
        <v>3488</v>
      </c>
      <c r="H42" s="822">
        <v>0.7</v>
      </c>
      <c r="I42" s="822">
        <v>0.7586</v>
      </c>
      <c r="J42" s="822">
        <v>1.0837</v>
      </c>
      <c r="K42" s="824" t="s">
        <v>301</v>
      </c>
      <c r="L42" s="824" t="s">
        <v>301</v>
      </c>
      <c r="M42" s="824" t="s">
        <v>301</v>
      </c>
      <c r="N42" s="871">
        <v>1.0837</v>
      </c>
    </row>
    <row r="43">
      <c r="A43" s="825">
        <v>38.0</v>
      </c>
      <c r="B43" s="826" t="s">
        <v>3489</v>
      </c>
      <c r="C43" s="853" t="s">
        <v>3490</v>
      </c>
      <c r="D43" s="827" t="s">
        <v>3491</v>
      </c>
      <c r="E43" s="827" t="s">
        <v>3492</v>
      </c>
      <c r="F43" s="827" t="s">
        <v>3493</v>
      </c>
      <c r="G43" s="827" t="s">
        <v>3494</v>
      </c>
      <c r="H43" s="829">
        <v>0.3</v>
      </c>
      <c r="I43" s="829">
        <v>0.875</v>
      </c>
      <c r="J43" s="829">
        <v>1.2</v>
      </c>
      <c r="K43" s="824" t="s">
        <v>301</v>
      </c>
      <c r="L43" s="824" t="s">
        <v>301</v>
      </c>
      <c r="M43" s="824" t="s">
        <v>271</v>
      </c>
      <c r="N43" s="324">
        <v>2.9167</v>
      </c>
      <c r="O43" s="866" t="s">
        <v>3222</v>
      </c>
    </row>
    <row r="44">
      <c r="A44" s="864">
        <v>39.0</v>
      </c>
      <c r="B44" s="852" t="s">
        <v>3495</v>
      </c>
      <c r="C44" s="852" t="s">
        <v>3496</v>
      </c>
      <c r="D44" s="819" t="s">
        <v>3497</v>
      </c>
      <c r="E44" s="819" t="s">
        <v>3498</v>
      </c>
      <c r="F44" s="819" t="s">
        <v>3499</v>
      </c>
      <c r="G44" s="819" t="s">
        <v>3500</v>
      </c>
      <c r="H44" s="852" t="s">
        <v>3501</v>
      </c>
      <c r="I44" s="852" t="s">
        <v>3502</v>
      </c>
      <c r="J44" s="865">
        <v>1.0</v>
      </c>
      <c r="K44" s="824" t="s">
        <v>301</v>
      </c>
      <c r="L44" s="824" t="s">
        <v>301</v>
      </c>
      <c r="M44" s="824" t="s">
        <v>301</v>
      </c>
      <c r="N44" s="870">
        <v>1.0</v>
      </c>
    </row>
    <row r="45">
      <c r="A45" s="867">
        <v>40.0</v>
      </c>
      <c r="B45" s="853" t="s">
        <v>3503</v>
      </c>
      <c r="C45" s="853" t="s">
        <v>3504</v>
      </c>
      <c r="D45" s="826" t="s">
        <v>3505</v>
      </c>
      <c r="E45" s="826" t="s">
        <v>3506</v>
      </c>
      <c r="F45" s="826" t="s">
        <v>3507</v>
      </c>
      <c r="G45" s="826" t="s">
        <v>3508</v>
      </c>
      <c r="H45" s="853" t="s">
        <v>3509</v>
      </c>
      <c r="I45" s="853" t="s">
        <v>3510</v>
      </c>
      <c r="J45" s="868">
        <v>1.2</v>
      </c>
      <c r="K45" s="824" t="s">
        <v>301</v>
      </c>
      <c r="L45" s="824" t="s">
        <v>301</v>
      </c>
      <c r="M45" s="824" t="s">
        <v>271</v>
      </c>
      <c r="N45" s="324">
        <v>1.6</v>
      </c>
      <c r="O45" s="866" t="s">
        <v>3222</v>
      </c>
    </row>
    <row r="46">
      <c r="A46" s="864">
        <v>41.0</v>
      </c>
      <c r="B46" s="852" t="s">
        <v>3511</v>
      </c>
      <c r="C46" s="852" t="s">
        <v>3512</v>
      </c>
      <c r="D46" s="819" t="s">
        <v>3513</v>
      </c>
      <c r="E46" s="819" t="s">
        <v>3514</v>
      </c>
      <c r="F46" s="819" t="s">
        <v>3515</v>
      </c>
      <c r="G46" s="819" t="s">
        <v>3516</v>
      </c>
      <c r="H46" s="852" t="s">
        <v>3517</v>
      </c>
      <c r="I46" s="852" t="s">
        <v>3518</v>
      </c>
      <c r="J46" s="865">
        <v>1.0</v>
      </c>
      <c r="K46" s="824" t="s">
        <v>301</v>
      </c>
      <c r="L46" s="824" t="s">
        <v>301</v>
      </c>
      <c r="M46" s="824" t="s">
        <v>301</v>
      </c>
      <c r="N46" s="869">
        <v>1.1099</v>
      </c>
    </row>
    <row r="47">
      <c r="A47" s="867">
        <v>42.0</v>
      </c>
      <c r="B47" s="853" t="s">
        <v>3519</v>
      </c>
      <c r="C47" s="853" t="s">
        <v>3520</v>
      </c>
      <c r="D47" s="826" t="s">
        <v>3521</v>
      </c>
      <c r="E47" s="826" t="s">
        <v>3522</v>
      </c>
      <c r="F47" s="826" t="s">
        <v>3523</v>
      </c>
      <c r="G47" s="826" t="s">
        <v>3524</v>
      </c>
      <c r="H47" s="868">
        <v>0.9</v>
      </c>
      <c r="I47" s="868">
        <v>0.9989</v>
      </c>
      <c r="J47" s="868">
        <v>1.1099</v>
      </c>
      <c r="K47" s="824" t="s">
        <v>301</v>
      </c>
      <c r="L47" s="824" t="s">
        <v>301</v>
      </c>
      <c r="M47" s="824" t="s">
        <v>301</v>
      </c>
      <c r="N47" s="870">
        <v>1.0</v>
      </c>
    </row>
    <row r="48">
      <c r="A48" s="864">
        <v>43.0</v>
      </c>
      <c r="B48" s="819" t="s">
        <v>3525</v>
      </c>
      <c r="C48" s="852" t="s">
        <v>3526</v>
      </c>
      <c r="D48" s="819" t="s">
        <v>3527</v>
      </c>
      <c r="E48" s="819" t="s">
        <v>3528</v>
      </c>
      <c r="F48" s="819" t="s">
        <v>3529</v>
      </c>
      <c r="G48" s="819" t="s">
        <v>3530</v>
      </c>
      <c r="H48" s="865">
        <v>1.0</v>
      </c>
      <c r="I48" s="865">
        <v>1.0</v>
      </c>
      <c r="J48" s="865">
        <v>1.0</v>
      </c>
      <c r="K48" s="824" t="s">
        <v>301</v>
      </c>
      <c r="L48" s="824" t="s">
        <v>301</v>
      </c>
      <c r="M48" s="824" t="s">
        <v>301</v>
      </c>
      <c r="N48" s="869">
        <v>1.0</v>
      </c>
    </row>
    <row r="49">
      <c r="A49" s="867">
        <v>44.0</v>
      </c>
      <c r="B49" s="826" t="s">
        <v>3531</v>
      </c>
      <c r="C49" s="853" t="s">
        <v>3532</v>
      </c>
      <c r="D49" s="826" t="s">
        <v>3533</v>
      </c>
      <c r="E49" s="826" t="s">
        <v>3534</v>
      </c>
      <c r="F49" s="826" t="s">
        <v>3535</v>
      </c>
      <c r="G49" s="826" t="s">
        <v>3536</v>
      </c>
      <c r="H49" s="868">
        <v>1.0</v>
      </c>
      <c r="I49" s="868">
        <v>1.0</v>
      </c>
      <c r="J49" s="868">
        <v>1.0</v>
      </c>
      <c r="K49" s="824" t="s">
        <v>301</v>
      </c>
      <c r="L49" s="824" t="s">
        <v>301</v>
      </c>
      <c r="M49" s="824" t="s">
        <v>301</v>
      </c>
      <c r="N49" s="870">
        <v>1.0</v>
      </c>
    </row>
    <row r="50">
      <c r="A50" s="864">
        <v>45.0</v>
      </c>
      <c r="B50" s="819" t="s">
        <v>3537</v>
      </c>
      <c r="C50" s="852" t="s">
        <v>3538</v>
      </c>
      <c r="D50" s="819" t="s">
        <v>3539</v>
      </c>
      <c r="E50" s="819" t="s">
        <v>3540</v>
      </c>
      <c r="F50" s="819" t="s">
        <v>3541</v>
      </c>
      <c r="G50" s="819" t="s">
        <v>3542</v>
      </c>
      <c r="H50" s="865">
        <v>1.0</v>
      </c>
      <c r="I50" s="865">
        <v>1.0</v>
      </c>
      <c r="J50" s="865">
        <v>1.0</v>
      </c>
      <c r="K50" s="824" t="s">
        <v>301</v>
      </c>
      <c r="L50" s="824" t="s">
        <v>301</v>
      </c>
      <c r="M50" s="824" t="s">
        <v>301</v>
      </c>
      <c r="N50" s="872">
        <v>1.0</v>
      </c>
    </row>
    <row r="51">
      <c r="A51" s="825">
        <v>46.0</v>
      </c>
      <c r="B51" s="826" t="s">
        <v>3543</v>
      </c>
      <c r="C51" s="853" t="s">
        <v>3544</v>
      </c>
      <c r="D51" s="827" t="s">
        <v>3545</v>
      </c>
      <c r="E51" s="827" t="s">
        <v>3546</v>
      </c>
      <c r="F51" s="827" t="s">
        <v>3547</v>
      </c>
      <c r="G51" s="827" t="s">
        <v>3548</v>
      </c>
      <c r="H51" s="830" t="s">
        <v>3549</v>
      </c>
      <c r="I51" s="830" t="s">
        <v>3550</v>
      </c>
      <c r="J51" s="829">
        <v>1.0</v>
      </c>
      <c r="K51" s="824" t="s">
        <v>301</v>
      </c>
      <c r="L51" s="824" t="s">
        <v>301</v>
      </c>
      <c r="M51" s="824" t="s">
        <v>301</v>
      </c>
      <c r="N51" s="871">
        <v>1.0</v>
      </c>
    </row>
    <row r="52">
      <c r="A52" s="818">
        <v>47.0</v>
      </c>
      <c r="B52" s="819" t="s">
        <v>3551</v>
      </c>
      <c r="C52" s="852" t="s">
        <v>3552</v>
      </c>
      <c r="D52" s="820" t="s">
        <v>3553</v>
      </c>
      <c r="E52" s="820" t="s">
        <v>3554</v>
      </c>
      <c r="F52" s="820" t="s">
        <v>3555</v>
      </c>
      <c r="G52" s="820" t="s">
        <v>3556</v>
      </c>
      <c r="H52" s="831" t="s">
        <v>3557</v>
      </c>
      <c r="I52" s="831" t="s">
        <v>3558</v>
      </c>
      <c r="J52" s="822">
        <v>1.0</v>
      </c>
      <c r="K52" s="824" t="s">
        <v>301</v>
      </c>
      <c r="L52" s="824" t="s">
        <v>301</v>
      </c>
      <c r="M52" s="824" t="s">
        <v>301</v>
      </c>
      <c r="N52" s="872">
        <v>1.0417</v>
      </c>
    </row>
    <row r="53">
      <c r="A53" s="825">
        <v>48.0</v>
      </c>
      <c r="B53" s="826" t="s">
        <v>3559</v>
      </c>
      <c r="C53" s="853" t="s">
        <v>3560</v>
      </c>
      <c r="D53" s="827" t="s">
        <v>3561</v>
      </c>
      <c r="E53" s="827" t="s">
        <v>3562</v>
      </c>
      <c r="F53" s="827" t="s">
        <v>3563</v>
      </c>
      <c r="G53" s="827" t="s">
        <v>3564</v>
      </c>
      <c r="H53" s="829">
        <v>0.96</v>
      </c>
      <c r="I53" s="829">
        <v>1.0</v>
      </c>
      <c r="J53" s="829">
        <v>1.0417</v>
      </c>
      <c r="K53" s="824" t="s">
        <v>301</v>
      </c>
      <c r="L53" s="824" t="s">
        <v>301</v>
      </c>
      <c r="M53" s="824" t="s">
        <v>301</v>
      </c>
      <c r="N53" s="871">
        <v>1.0</v>
      </c>
    </row>
    <row r="54">
      <c r="A54" s="818">
        <v>49.0</v>
      </c>
      <c r="B54" s="819" t="s">
        <v>3565</v>
      </c>
      <c r="C54" s="831" t="s">
        <v>3566</v>
      </c>
      <c r="D54" s="820" t="s">
        <v>3567</v>
      </c>
      <c r="E54" s="820" t="s">
        <v>3568</v>
      </c>
      <c r="F54" s="820" t="s">
        <v>3569</v>
      </c>
      <c r="G54" s="820" t="s">
        <v>3570</v>
      </c>
      <c r="H54" s="822">
        <v>1.0</v>
      </c>
      <c r="I54" s="822">
        <v>1.0</v>
      </c>
      <c r="J54" s="822">
        <v>1.0</v>
      </c>
      <c r="K54" s="824" t="s">
        <v>301</v>
      </c>
      <c r="L54" s="824" t="s">
        <v>301</v>
      </c>
      <c r="M54" s="824" t="s">
        <v>301</v>
      </c>
      <c r="N54" s="872">
        <v>1.0</v>
      </c>
    </row>
    <row r="55">
      <c r="A55" s="825">
        <v>50.0</v>
      </c>
      <c r="B55" s="826" t="s">
        <v>3571</v>
      </c>
      <c r="C55" s="853" t="s">
        <v>3572</v>
      </c>
      <c r="D55" s="827" t="s">
        <v>3573</v>
      </c>
      <c r="E55" s="827" t="s">
        <v>3574</v>
      </c>
      <c r="F55" s="827" t="s">
        <v>3575</v>
      </c>
      <c r="G55" s="827" t="s">
        <v>3576</v>
      </c>
      <c r="H55" s="829">
        <v>1.0</v>
      </c>
      <c r="I55" s="829">
        <v>1.0</v>
      </c>
      <c r="J55" s="829">
        <v>1.0</v>
      </c>
      <c r="K55" s="824" t="s">
        <v>301</v>
      </c>
      <c r="L55" s="824" t="s">
        <v>301</v>
      </c>
      <c r="M55" s="824" t="s">
        <v>301</v>
      </c>
      <c r="N55" s="871">
        <v>1.0417</v>
      </c>
    </row>
    <row r="56">
      <c r="A56" s="818">
        <v>51.0</v>
      </c>
      <c r="B56" s="819" t="s">
        <v>3577</v>
      </c>
      <c r="C56" s="852" t="s">
        <v>3578</v>
      </c>
      <c r="D56" s="820" t="s">
        <v>3579</v>
      </c>
      <c r="E56" s="820" t="s">
        <v>3580</v>
      </c>
      <c r="F56" s="820" t="s">
        <v>3581</v>
      </c>
      <c r="G56" s="820" t="s">
        <v>3582</v>
      </c>
      <c r="H56" s="822">
        <v>0.96</v>
      </c>
      <c r="I56" s="822">
        <v>1.0</v>
      </c>
      <c r="J56" s="822">
        <v>1.0417</v>
      </c>
      <c r="K56" s="824" t="s">
        <v>301</v>
      </c>
      <c r="L56" s="824" t="s">
        <v>301</v>
      </c>
      <c r="M56" s="824" t="s">
        <v>301</v>
      </c>
      <c r="N56" s="872">
        <v>1.0</v>
      </c>
    </row>
    <row r="57">
      <c r="A57" s="825">
        <v>52.0</v>
      </c>
      <c r="B57" s="826" t="s">
        <v>3583</v>
      </c>
      <c r="C57" s="853" t="s">
        <v>3584</v>
      </c>
      <c r="D57" s="827" t="s">
        <v>3585</v>
      </c>
      <c r="E57" s="827" t="s">
        <v>3586</v>
      </c>
      <c r="F57" s="827" t="s">
        <v>3587</v>
      </c>
      <c r="G57" s="827" t="s">
        <v>3588</v>
      </c>
      <c r="H57" s="829">
        <v>1.0</v>
      </c>
      <c r="I57" s="829">
        <v>1.0</v>
      </c>
      <c r="J57" s="829">
        <v>1.0</v>
      </c>
      <c r="K57" s="824" t="s">
        <v>301</v>
      </c>
      <c r="L57" s="824" t="s">
        <v>301</v>
      </c>
      <c r="M57" s="824" t="s">
        <v>301</v>
      </c>
      <c r="N57" s="871">
        <v>1.0824</v>
      </c>
    </row>
    <row r="58">
      <c r="A58" s="818">
        <v>53.0</v>
      </c>
      <c r="B58" s="819" t="s">
        <v>3589</v>
      </c>
      <c r="C58" s="821" t="s">
        <v>3590</v>
      </c>
      <c r="D58" s="820" t="s">
        <v>3591</v>
      </c>
      <c r="E58" s="820" t="s">
        <v>3592</v>
      </c>
      <c r="F58" s="820" t="s">
        <v>3593</v>
      </c>
      <c r="G58" s="820" t="s">
        <v>3594</v>
      </c>
      <c r="H58" s="831" t="s">
        <v>3595</v>
      </c>
      <c r="I58" s="831" t="s">
        <v>3596</v>
      </c>
      <c r="J58" s="822">
        <v>1.0824</v>
      </c>
      <c r="K58" s="824" t="s">
        <v>301</v>
      </c>
      <c r="L58" s="824" t="s">
        <v>301</v>
      </c>
      <c r="M58" s="824" t="s">
        <v>301</v>
      </c>
      <c r="N58" s="871">
        <v>1.0824</v>
      </c>
    </row>
    <row r="59">
      <c r="A59" s="825">
        <v>54.0</v>
      </c>
      <c r="B59" s="826" t="s">
        <v>3597</v>
      </c>
      <c r="C59" s="828" t="s">
        <v>3598</v>
      </c>
      <c r="D59" s="827" t="s">
        <v>3599</v>
      </c>
      <c r="E59" s="827" t="s">
        <v>3600</v>
      </c>
      <c r="F59" s="827" t="s">
        <v>3601</v>
      </c>
      <c r="G59" s="827" t="s">
        <v>3602</v>
      </c>
      <c r="H59" s="830" t="s">
        <v>3603</v>
      </c>
      <c r="I59" s="830" t="s">
        <v>3604</v>
      </c>
      <c r="J59" s="829">
        <v>1.0</v>
      </c>
      <c r="K59" s="824" t="s">
        <v>301</v>
      </c>
      <c r="L59" s="824" t="s">
        <v>301</v>
      </c>
      <c r="M59" s="824" t="s">
        <v>301</v>
      </c>
      <c r="N59" s="872">
        <v>1.0</v>
      </c>
    </row>
    <row r="60">
      <c r="A60" s="818">
        <v>55.0</v>
      </c>
      <c r="B60" s="819" t="s">
        <v>3605</v>
      </c>
      <c r="C60" s="852" t="s">
        <v>3606</v>
      </c>
      <c r="D60" s="820" t="s">
        <v>3607</v>
      </c>
      <c r="E60" s="820" t="s">
        <v>3608</v>
      </c>
      <c r="F60" s="820" t="s">
        <v>3609</v>
      </c>
      <c r="G60" s="820" t="s">
        <v>3610</v>
      </c>
      <c r="H60" s="822">
        <v>1.0</v>
      </c>
      <c r="I60" s="822">
        <v>1.4882</v>
      </c>
      <c r="J60" s="822">
        <v>1.2</v>
      </c>
      <c r="K60" s="824" t="s">
        <v>301</v>
      </c>
      <c r="L60" s="824" t="s">
        <v>301</v>
      </c>
      <c r="M60" s="824" t="s">
        <v>271</v>
      </c>
      <c r="N60" s="324">
        <v>1.4882</v>
      </c>
      <c r="O60" s="866" t="s">
        <v>3222</v>
      </c>
    </row>
    <row r="61">
      <c r="A61" s="825">
        <v>56.0</v>
      </c>
      <c r="B61" s="826" t="s">
        <v>3611</v>
      </c>
      <c r="C61" s="853" t="s">
        <v>3612</v>
      </c>
      <c r="D61" s="827" t="s">
        <v>3613</v>
      </c>
      <c r="E61" s="827" t="s">
        <v>3614</v>
      </c>
      <c r="F61" s="827" t="s">
        <v>3615</v>
      </c>
      <c r="G61" s="827" t="s">
        <v>3616</v>
      </c>
      <c r="H61" s="829">
        <v>0.825</v>
      </c>
      <c r="I61" s="829">
        <v>0.9951</v>
      </c>
      <c r="J61" s="829">
        <v>1.2</v>
      </c>
      <c r="K61" s="824" t="s">
        <v>301</v>
      </c>
      <c r="L61" s="824" t="s">
        <v>301</v>
      </c>
      <c r="M61" s="824" t="s">
        <v>271</v>
      </c>
      <c r="N61" s="324">
        <v>1.2062</v>
      </c>
      <c r="O61" s="866" t="s">
        <v>3222</v>
      </c>
    </row>
    <row r="62">
      <c r="A62" s="818">
        <v>57.0</v>
      </c>
      <c r="B62" s="819" t="s">
        <v>3617</v>
      </c>
      <c r="C62" s="852" t="s">
        <v>3618</v>
      </c>
      <c r="D62" s="820" t="s">
        <v>3619</v>
      </c>
      <c r="E62" s="820" t="s">
        <v>3620</v>
      </c>
      <c r="F62" s="820" t="s">
        <v>3621</v>
      </c>
      <c r="G62" s="820" t="s">
        <v>3622</v>
      </c>
      <c r="H62" s="822">
        <v>1.0</v>
      </c>
      <c r="I62" s="822">
        <v>1.0</v>
      </c>
      <c r="J62" s="822">
        <v>1.0</v>
      </c>
      <c r="K62" s="824" t="s">
        <v>301</v>
      </c>
      <c r="L62" s="824" t="s">
        <v>301</v>
      </c>
      <c r="M62" s="824" t="s">
        <v>301</v>
      </c>
      <c r="N62" s="871">
        <v>1.0</v>
      </c>
    </row>
    <row r="63">
      <c r="A63" s="825">
        <v>58.0</v>
      </c>
      <c r="B63" s="826" t="s">
        <v>3623</v>
      </c>
      <c r="C63" s="853" t="s">
        <v>3624</v>
      </c>
      <c r="D63" s="827" t="s">
        <v>3625</v>
      </c>
      <c r="E63" s="827" t="s">
        <v>3626</v>
      </c>
      <c r="F63" s="827" t="s">
        <v>3627</v>
      </c>
      <c r="G63" s="827" t="s">
        <v>3628</v>
      </c>
      <c r="H63" s="829">
        <v>1.0</v>
      </c>
      <c r="I63" s="829">
        <v>1.0</v>
      </c>
      <c r="J63" s="829">
        <v>1.0</v>
      </c>
      <c r="K63" s="824" t="s">
        <v>301</v>
      </c>
      <c r="L63" s="824" t="s">
        <v>301</v>
      </c>
      <c r="M63" s="824" t="s">
        <v>301</v>
      </c>
      <c r="N63" s="872">
        <v>1.0</v>
      </c>
    </row>
    <row r="64">
      <c r="A64" s="818">
        <v>59.0</v>
      </c>
      <c r="B64" s="819" t="s">
        <v>3629</v>
      </c>
      <c r="C64" s="852" t="s">
        <v>3630</v>
      </c>
      <c r="D64" s="820" t="s">
        <v>3631</v>
      </c>
      <c r="E64" s="820" t="s">
        <v>3632</v>
      </c>
      <c r="F64" s="820" t="s">
        <v>3633</v>
      </c>
      <c r="G64" s="820" t="s">
        <v>3634</v>
      </c>
      <c r="H64" s="822">
        <v>1.0</v>
      </c>
      <c r="I64" s="822">
        <v>1.0</v>
      </c>
      <c r="J64" s="822">
        <v>1.0</v>
      </c>
      <c r="K64" s="824" t="s">
        <v>301</v>
      </c>
      <c r="L64" s="824" t="s">
        <v>301</v>
      </c>
      <c r="M64" s="824" t="s">
        <v>301</v>
      </c>
      <c r="N64" s="871">
        <v>1.0</v>
      </c>
    </row>
    <row r="65">
      <c r="A65" s="825">
        <v>60.0</v>
      </c>
      <c r="B65" s="826" t="s">
        <v>3635</v>
      </c>
      <c r="C65" s="827" t="s">
        <v>3636</v>
      </c>
      <c r="D65" s="827" t="s">
        <v>3637</v>
      </c>
      <c r="E65" s="827" t="s">
        <v>3638</v>
      </c>
      <c r="F65" s="827" t="s">
        <v>3639</v>
      </c>
      <c r="G65" s="827" t="s">
        <v>3640</v>
      </c>
      <c r="H65" s="830" t="s">
        <v>3641</v>
      </c>
      <c r="I65" s="830" t="s">
        <v>3642</v>
      </c>
      <c r="J65" s="829">
        <v>1.1667</v>
      </c>
      <c r="K65" s="824" t="s">
        <v>301</v>
      </c>
      <c r="L65" s="824" t="s">
        <v>301</v>
      </c>
      <c r="M65" s="824" t="s">
        <v>301</v>
      </c>
      <c r="N65" s="872">
        <v>1.1667</v>
      </c>
    </row>
    <row r="66">
      <c r="A66" s="818">
        <v>61.0</v>
      </c>
      <c r="B66" s="819" t="s">
        <v>3643</v>
      </c>
      <c r="C66" s="820" t="s">
        <v>3644</v>
      </c>
      <c r="D66" s="820" t="s">
        <v>3645</v>
      </c>
      <c r="E66" s="820" t="s">
        <v>3646</v>
      </c>
      <c r="F66" s="820" t="s">
        <v>3647</v>
      </c>
      <c r="G66" s="820" t="s">
        <v>3648</v>
      </c>
      <c r="H66" s="822">
        <v>1.0</v>
      </c>
      <c r="I66" s="822">
        <v>1.0</v>
      </c>
      <c r="J66" s="822">
        <v>1.0</v>
      </c>
      <c r="K66" s="824" t="s">
        <v>301</v>
      </c>
      <c r="L66" s="824" t="s">
        <v>301</v>
      </c>
      <c r="M66" s="824" t="s">
        <v>301</v>
      </c>
      <c r="N66" s="871">
        <v>1.0</v>
      </c>
    </row>
    <row r="67">
      <c r="A67" s="825">
        <v>62.0</v>
      </c>
      <c r="B67" s="826" t="s">
        <v>3649</v>
      </c>
      <c r="C67" s="853" t="s">
        <v>3650</v>
      </c>
      <c r="D67" s="827" t="s">
        <v>3651</v>
      </c>
      <c r="E67" s="827" t="s">
        <v>3652</v>
      </c>
      <c r="F67" s="827" t="s">
        <v>3653</v>
      </c>
      <c r="G67" s="827" t="s">
        <v>3654</v>
      </c>
      <c r="H67" s="829">
        <v>0.05</v>
      </c>
      <c r="I67" s="829">
        <v>0.0529</v>
      </c>
      <c r="J67" s="829">
        <v>1.058</v>
      </c>
      <c r="K67" s="824" t="s">
        <v>301</v>
      </c>
      <c r="L67" s="824" t="s">
        <v>301</v>
      </c>
      <c r="M67" s="824" t="s">
        <v>301</v>
      </c>
      <c r="N67" s="872">
        <v>1.058</v>
      </c>
    </row>
    <row r="68">
      <c r="A68" s="864">
        <v>63.0</v>
      </c>
      <c r="B68" s="852" t="s">
        <v>3655</v>
      </c>
      <c r="C68" s="819" t="s">
        <v>3656</v>
      </c>
      <c r="D68" s="819" t="s">
        <v>3657</v>
      </c>
      <c r="E68" s="819" t="s">
        <v>3658</v>
      </c>
      <c r="F68" s="819" t="s">
        <v>3659</v>
      </c>
      <c r="G68" s="819" t="s">
        <v>3660</v>
      </c>
      <c r="H68" s="852" t="s">
        <v>3661</v>
      </c>
      <c r="I68" s="852" t="s">
        <v>3662</v>
      </c>
      <c r="J68" s="865">
        <v>1.0</v>
      </c>
      <c r="K68" s="824" t="s">
        <v>301</v>
      </c>
      <c r="L68" s="824" t="s">
        <v>301</v>
      </c>
      <c r="M68" s="824" t="s">
        <v>301</v>
      </c>
      <c r="N68" s="870">
        <v>1.0</v>
      </c>
    </row>
    <row r="69">
      <c r="A69" s="825">
        <v>64.0</v>
      </c>
      <c r="B69" s="853" t="s">
        <v>3663</v>
      </c>
      <c r="C69" s="853" t="s">
        <v>3664</v>
      </c>
      <c r="D69" s="827" t="s">
        <v>3665</v>
      </c>
      <c r="E69" s="827" t="s">
        <v>3666</v>
      </c>
      <c r="F69" s="827" t="s">
        <v>3667</v>
      </c>
      <c r="G69" s="827" t="s">
        <v>3668</v>
      </c>
      <c r="H69" s="830" t="s">
        <v>3669</v>
      </c>
      <c r="I69" s="830" t="s">
        <v>3670</v>
      </c>
      <c r="J69" s="829">
        <v>1.0</v>
      </c>
      <c r="K69" s="824" t="s">
        <v>301</v>
      </c>
      <c r="L69" s="824" t="s">
        <v>301</v>
      </c>
      <c r="M69" s="824" t="s">
        <v>301</v>
      </c>
      <c r="N69" s="872">
        <v>1.0</v>
      </c>
    </row>
    <row r="70">
      <c r="A70" s="818">
        <v>65.0</v>
      </c>
      <c r="B70" s="852" t="s">
        <v>3671</v>
      </c>
      <c r="C70" s="819" t="s">
        <v>3672</v>
      </c>
      <c r="D70" s="820" t="s">
        <v>3673</v>
      </c>
      <c r="E70" s="820" t="s">
        <v>3674</v>
      </c>
      <c r="F70" s="820" t="s">
        <v>3675</v>
      </c>
      <c r="G70" s="820" t="s">
        <v>3676</v>
      </c>
      <c r="H70" s="822">
        <v>0.95</v>
      </c>
      <c r="I70" s="822">
        <v>1.0</v>
      </c>
      <c r="J70" s="822">
        <v>1.0526</v>
      </c>
      <c r="K70" s="824" t="s">
        <v>301</v>
      </c>
      <c r="L70" s="824" t="s">
        <v>301</v>
      </c>
      <c r="M70" s="824" t="s">
        <v>301</v>
      </c>
      <c r="N70" s="871">
        <v>1.0526</v>
      </c>
    </row>
    <row r="71">
      <c r="A71" s="825">
        <v>66.0</v>
      </c>
      <c r="B71" s="853" t="s">
        <v>3677</v>
      </c>
      <c r="C71" s="853" t="s">
        <v>3678</v>
      </c>
      <c r="D71" s="827" t="s">
        <v>3679</v>
      </c>
      <c r="E71" s="827" t="s">
        <v>3680</v>
      </c>
      <c r="F71" s="827" t="s">
        <v>3681</v>
      </c>
      <c r="G71" s="827" t="s">
        <v>3682</v>
      </c>
      <c r="H71" s="829">
        <v>0.99</v>
      </c>
      <c r="I71" s="829">
        <v>0.9999</v>
      </c>
      <c r="J71" s="829">
        <v>1.01</v>
      </c>
      <c r="K71" s="824" t="s">
        <v>301</v>
      </c>
      <c r="L71" s="824" t="s">
        <v>301</v>
      </c>
      <c r="M71" s="824" t="s">
        <v>301</v>
      </c>
      <c r="N71" s="872">
        <v>1.01</v>
      </c>
    </row>
    <row r="72">
      <c r="A72" s="818">
        <v>67.0</v>
      </c>
      <c r="B72" s="852" t="s">
        <v>3683</v>
      </c>
      <c r="C72" s="819" t="s">
        <v>3684</v>
      </c>
      <c r="D72" s="820" t="s">
        <v>3685</v>
      </c>
      <c r="E72" s="820" t="s">
        <v>3686</v>
      </c>
      <c r="F72" s="820" t="s">
        <v>3687</v>
      </c>
      <c r="G72" s="820" t="s">
        <v>3688</v>
      </c>
      <c r="H72" s="822">
        <v>1.0</v>
      </c>
      <c r="I72" s="822">
        <v>1.0</v>
      </c>
      <c r="J72" s="822">
        <v>1.0</v>
      </c>
      <c r="K72" s="824" t="s">
        <v>301</v>
      </c>
      <c r="L72" s="824" t="s">
        <v>301</v>
      </c>
      <c r="M72" s="824" t="s">
        <v>301</v>
      </c>
      <c r="N72" s="871">
        <v>1.0</v>
      </c>
    </row>
    <row r="73">
      <c r="A73" s="867">
        <v>68.0</v>
      </c>
      <c r="B73" s="826" t="s">
        <v>3689</v>
      </c>
      <c r="C73" s="853" t="s">
        <v>3690</v>
      </c>
      <c r="D73" s="826" t="s">
        <v>3691</v>
      </c>
      <c r="E73" s="826" t="s">
        <v>3692</v>
      </c>
      <c r="F73" s="826" t="s">
        <v>3693</v>
      </c>
      <c r="G73" s="826" t="s">
        <v>3694</v>
      </c>
      <c r="H73" s="853" t="s">
        <v>3695</v>
      </c>
      <c r="I73" s="853" t="s">
        <v>3696</v>
      </c>
      <c r="J73" s="868">
        <v>1.0753</v>
      </c>
      <c r="K73" s="824" t="s">
        <v>301</v>
      </c>
      <c r="L73" s="824" t="s">
        <v>301</v>
      </c>
      <c r="M73" s="824" t="s">
        <v>301</v>
      </c>
      <c r="N73" s="869">
        <v>1.0753</v>
      </c>
    </row>
    <row r="74">
      <c r="A74" s="864">
        <v>69.0</v>
      </c>
      <c r="B74" s="819" t="s">
        <v>3697</v>
      </c>
      <c r="C74" s="852" t="s">
        <v>3698</v>
      </c>
      <c r="D74" s="819" t="s">
        <v>3699</v>
      </c>
      <c r="E74" s="819" t="s">
        <v>3700</v>
      </c>
      <c r="F74" s="819" t="s">
        <v>3701</v>
      </c>
      <c r="G74" s="819" t="s">
        <v>3702</v>
      </c>
      <c r="H74" s="852" t="s">
        <v>3703</v>
      </c>
      <c r="I74" s="852" t="s">
        <v>3704</v>
      </c>
      <c r="J74" s="865">
        <v>1.0583</v>
      </c>
      <c r="K74" s="824" t="s">
        <v>301</v>
      </c>
      <c r="L74" s="824" t="s">
        <v>301</v>
      </c>
      <c r="M74" s="824" t="s">
        <v>301</v>
      </c>
      <c r="N74" s="870">
        <v>1.0583</v>
      </c>
    </row>
    <row r="75">
      <c r="A75" s="867">
        <v>70.0</v>
      </c>
      <c r="B75" s="826" t="s">
        <v>3705</v>
      </c>
      <c r="C75" s="853" t="s">
        <v>3706</v>
      </c>
      <c r="D75" s="826" t="s">
        <v>3707</v>
      </c>
      <c r="E75" s="826" t="s">
        <v>3708</v>
      </c>
      <c r="F75" s="826" t="s">
        <v>3709</v>
      </c>
      <c r="G75" s="826" t="s">
        <v>3710</v>
      </c>
      <c r="H75" s="868">
        <v>1.0</v>
      </c>
      <c r="I75" s="868">
        <v>3.44</v>
      </c>
      <c r="J75" s="868">
        <v>1.2</v>
      </c>
      <c r="K75" s="824" t="s">
        <v>301</v>
      </c>
      <c r="L75" s="824" t="s">
        <v>301</v>
      </c>
      <c r="M75" s="824" t="s">
        <v>271</v>
      </c>
      <c r="N75" s="324">
        <v>3.44</v>
      </c>
      <c r="O75" s="866" t="s">
        <v>3222</v>
      </c>
    </row>
    <row r="76">
      <c r="A76" s="864">
        <v>71.0</v>
      </c>
      <c r="B76" s="852" t="s">
        <v>3711</v>
      </c>
      <c r="C76" s="819" t="s">
        <v>3712</v>
      </c>
      <c r="D76" s="819" t="s">
        <v>3713</v>
      </c>
      <c r="E76" s="819" t="s">
        <v>3714</v>
      </c>
      <c r="F76" s="819" t="s">
        <v>3715</v>
      </c>
      <c r="G76" s="819" t="s">
        <v>3716</v>
      </c>
      <c r="H76" s="865">
        <v>0.025</v>
      </c>
      <c r="I76" s="865">
        <v>0.2442</v>
      </c>
      <c r="J76" s="865">
        <v>1.2</v>
      </c>
      <c r="K76" s="824" t="s">
        <v>301</v>
      </c>
      <c r="L76" s="824" t="s">
        <v>301</v>
      </c>
      <c r="M76" s="824" t="s">
        <v>271</v>
      </c>
      <c r="N76" s="324">
        <v>9.768</v>
      </c>
      <c r="O76" s="866" t="s">
        <v>3222</v>
      </c>
    </row>
    <row r="77">
      <c r="A77" s="825">
        <v>72.0</v>
      </c>
      <c r="B77" s="826" t="s">
        <v>3717</v>
      </c>
      <c r="C77" s="827" t="s">
        <v>3718</v>
      </c>
      <c r="D77" s="827" t="s">
        <v>3719</v>
      </c>
      <c r="E77" s="827" t="s">
        <v>3720</v>
      </c>
      <c r="F77" s="827" t="s">
        <v>3721</v>
      </c>
      <c r="G77" s="827" t="s">
        <v>3722</v>
      </c>
      <c r="H77" s="829">
        <v>0.05</v>
      </c>
      <c r="I77" s="829">
        <v>0.1452</v>
      </c>
      <c r="J77" s="829">
        <v>1.2</v>
      </c>
      <c r="K77" s="824" t="s">
        <v>301</v>
      </c>
      <c r="L77" s="824" t="s">
        <v>301</v>
      </c>
      <c r="M77" s="824" t="s">
        <v>271</v>
      </c>
      <c r="N77" s="324">
        <v>2.904</v>
      </c>
      <c r="O77" s="866" t="s">
        <v>3222</v>
      </c>
    </row>
    <row r="78">
      <c r="A78" s="864">
        <v>73.0</v>
      </c>
      <c r="B78" s="852" t="s">
        <v>3723</v>
      </c>
      <c r="C78" s="852" t="s">
        <v>3724</v>
      </c>
      <c r="D78" s="819" t="s">
        <v>3725</v>
      </c>
      <c r="E78" s="819" t="s">
        <v>3726</v>
      </c>
      <c r="F78" s="819" t="s">
        <v>3727</v>
      </c>
      <c r="G78" s="819" t="s">
        <v>3728</v>
      </c>
      <c r="H78" s="852" t="s">
        <v>3729</v>
      </c>
      <c r="I78" s="852" t="s">
        <v>3730</v>
      </c>
      <c r="J78" s="865">
        <v>1.0</v>
      </c>
      <c r="K78" s="824" t="s">
        <v>301</v>
      </c>
      <c r="L78" s="824" t="s">
        <v>301</v>
      </c>
      <c r="M78" s="824" t="s">
        <v>301</v>
      </c>
      <c r="N78" s="324">
        <v>1.0</v>
      </c>
    </row>
    <row r="79">
      <c r="A79" s="825">
        <v>74.0</v>
      </c>
      <c r="B79" s="826" t="s">
        <v>3731</v>
      </c>
      <c r="C79" s="827" t="s">
        <v>3732</v>
      </c>
      <c r="D79" s="827" t="s">
        <v>3733</v>
      </c>
      <c r="E79" s="827" t="s">
        <v>3734</v>
      </c>
      <c r="F79" s="827" t="s">
        <v>3735</v>
      </c>
      <c r="G79" s="827" t="s">
        <v>3736</v>
      </c>
      <c r="H79" s="828" t="s">
        <v>3737</v>
      </c>
      <c r="I79" s="828" t="s">
        <v>3738</v>
      </c>
      <c r="J79" s="829">
        <v>1.161</v>
      </c>
      <c r="K79" s="824" t="s">
        <v>301</v>
      </c>
      <c r="L79" s="824" t="s">
        <v>301</v>
      </c>
      <c r="M79" s="824" t="s">
        <v>301</v>
      </c>
      <c r="N79" s="872">
        <v>1.161</v>
      </c>
    </row>
    <row r="80">
      <c r="A80" s="818">
        <v>75.0</v>
      </c>
      <c r="B80" s="819" t="s">
        <v>3739</v>
      </c>
      <c r="C80" s="852" t="s">
        <v>3740</v>
      </c>
      <c r="D80" s="820" t="s">
        <v>3741</v>
      </c>
      <c r="E80" s="820" t="s">
        <v>3742</v>
      </c>
      <c r="F80" s="820" t="s">
        <v>3743</v>
      </c>
      <c r="G80" s="820" t="s">
        <v>3744</v>
      </c>
      <c r="H80" s="821" t="s">
        <v>3745</v>
      </c>
      <c r="I80" s="821" t="s">
        <v>3746</v>
      </c>
      <c r="J80" s="822">
        <v>1.0617</v>
      </c>
      <c r="K80" s="824" t="s">
        <v>301</v>
      </c>
      <c r="L80" s="824" t="s">
        <v>301</v>
      </c>
      <c r="M80" s="824" t="s">
        <v>301</v>
      </c>
      <c r="N80" s="871">
        <v>1.0617</v>
      </c>
    </row>
    <row r="81">
      <c r="A81" s="825">
        <v>76.0</v>
      </c>
      <c r="B81" s="826" t="s">
        <v>3747</v>
      </c>
      <c r="C81" s="827" t="s">
        <v>3748</v>
      </c>
      <c r="D81" s="827" t="s">
        <v>3749</v>
      </c>
      <c r="E81" s="827" t="s">
        <v>3750</v>
      </c>
      <c r="F81" s="827" t="s">
        <v>3751</v>
      </c>
      <c r="G81" s="827" t="s">
        <v>3752</v>
      </c>
      <c r="H81" s="829">
        <v>1.0</v>
      </c>
      <c r="I81" s="829">
        <v>1.0</v>
      </c>
      <c r="J81" s="829">
        <v>1.0</v>
      </c>
      <c r="K81" s="824" t="s">
        <v>301</v>
      </c>
      <c r="L81" s="824" t="s">
        <v>301</v>
      </c>
      <c r="M81" s="824" t="s">
        <v>301</v>
      </c>
      <c r="N81" s="872">
        <v>1.0</v>
      </c>
    </row>
    <row r="82">
      <c r="A82" s="818">
        <v>77.0</v>
      </c>
      <c r="B82" s="819" t="s">
        <v>3753</v>
      </c>
      <c r="C82" s="820" t="s">
        <v>3754</v>
      </c>
      <c r="D82" s="820" t="s">
        <v>3755</v>
      </c>
      <c r="E82" s="820" t="s">
        <v>3756</v>
      </c>
      <c r="F82" s="820" t="s">
        <v>3757</v>
      </c>
      <c r="G82" s="820" t="s">
        <v>3758</v>
      </c>
      <c r="H82" s="822">
        <v>1.0</v>
      </c>
      <c r="I82" s="822">
        <v>1.0</v>
      </c>
      <c r="J82" s="822">
        <v>1.0</v>
      </c>
      <c r="K82" s="824" t="s">
        <v>301</v>
      </c>
      <c r="L82" s="824" t="s">
        <v>301</v>
      </c>
      <c r="M82" s="824" t="s">
        <v>301</v>
      </c>
      <c r="N82" s="871">
        <v>1.0</v>
      </c>
    </row>
    <row r="83">
      <c r="A83" s="825">
        <v>78.0</v>
      </c>
      <c r="B83" s="826" t="s">
        <v>3759</v>
      </c>
      <c r="C83" s="827" t="s">
        <v>3760</v>
      </c>
      <c r="D83" s="827" t="s">
        <v>3761</v>
      </c>
      <c r="E83" s="827" t="s">
        <v>3762</v>
      </c>
      <c r="F83" s="827" t="s">
        <v>3763</v>
      </c>
      <c r="G83" s="827" t="s">
        <v>3764</v>
      </c>
      <c r="H83" s="829">
        <v>1.0</v>
      </c>
      <c r="I83" s="829">
        <v>1.0</v>
      </c>
      <c r="J83" s="829">
        <v>1.0</v>
      </c>
      <c r="K83" s="824" t="s">
        <v>301</v>
      </c>
      <c r="L83" s="824" t="s">
        <v>301</v>
      </c>
      <c r="M83" s="824" t="s">
        <v>301</v>
      </c>
      <c r="N83" s="872">
        <v>1.0</v>
      </c>
    </row>
    <row r="84">
      <c r="A84" s="864">
        <v>79.0</v>
      </c>
      <c r="B84" s="819" t="s">
        <v>3765</v>
      </c>
      <c r="C84" s="819" t="s">
        <v>3766</v>
      </c>
      <c r="D84" s="819" t="s">
        <v>3767</v>
      </c>
      <c r="E84" s="819" t="s">
        <v>3768</v>
      </c>
      <c r="F84" s="819" t="s">
        <v>3769</v>
      </c>
      <c r="G84" s="819" t="s">
        <v>3770</v>
      </c>
      <c r="H84" s="819" t="s">
        <v>3771</v>
      </c>
      <c r="I84" s="819" t="s">
        <v>3772</v>
      </c>
      <c r="J84" s="865">
        <v>1.0653</v>
      </c>
      <c r="K84" s="824" t="s">
        <v>301</v>
      </c>
      <c r="L84" s="824" t="s">
        <v>301</v>
      </c>
      <c r="M84" s="824" t="s">
        <v>301</v>
      </c>
      <c r="N84" s="870">
        <v>1.0653</v>
      </c>
    </row>
    <row r="85">
      <c r="A85" s="867">
        <v>80.0</v>
      </c>
      <c r="B85" s="826" t="s">
        <v>3773</v>
      </c>
      <c r="C85" s="853" t="s">
        <v>3774</v>
      </c>
      <c r="D85" s="826" t="s">
        <v>3775</v>
      </c>
      <c r="E85" s="826" t="s">
        <v>3776</v>
      </c>
      <c r="F85" s="826" t="s">
        <v>3777</v>
      </c>
      <c r="G85" s="826" t="s">
        <v>3778</v>
      </c>
      <c r="H85" s="853" t="s">
        <v>3779</v>
      </c>
      <c r="I85" s="853" t="s">
        <v>3780</v>
      </c>
      <c r="J85" s="868">
        <v>1.0346</v>
      </c>
      <c r="K85" s="824" t="s">
        <v>301</v>
      </c>
      <c r="L85" s="824" t="s">
        <v>301</v>
      </c>
      <c r="M85" s="824" t="s">
        <v>301</v>
      </c>
      <c r="N85" s="869">
        <v>1.0346</v>
      </c>
    </row>
    <row r="86">
      <c r="A86" s="864">
        <v>81.0</v>
      </c>
      <c r="B86" s="819" t="s">
        <v>3781</v>
      </c>
      <c r="C86" s="852" t="s">
        <v>3782</v>
      </c>
      <c r="D86" s="819" t="s">
        <v>3783</v>
      </c>
      <c r="E86" s="819" t="s">
        <v>3784</v>
      </c>
      <c r="F86" s="819" t="s">
        <v>3785</v>
      </c>
      <c r="G86" s="819" t="s">
        <v>3786</v>
      </c>
      <c r="H86" s="852" t="s">
        <v>3787</v>
      </c>
      <c r="I86" s="852" t="s">
        <v>3788</v>
      </c>
      <c r="J86" s="865">
        <v>1.0</v>
      </c>
      <c r="K86" s="824" t="s">
        <v>301</v>
      </c>
      <c r="L86" s="824" t="s">
        <v>301</v>
      </c>
      <c r="M86" s="824" t="s">
        <v>301</v>
      </c>
      <c r="N86" s="870">
        <v>1.0</v>
      </c>
    </row>
    <row r="87">
      <c r="A87" s="867">
        <v>82.0</v>
      </c>
      <c r="B87" s="826" t="s">
        <v>3789</v>
      </c>
      <c r="C87" s="826" t="s">
        <v>3790</v>
      </c>
      <c r="D87" s="826" t="s">
        <v>3791</v>
      </c>
      <c r="E87" s="826" t="s">
        <v>3792</v>
      </c>
      <c r="F87" s="826" t="s">
        <v>3793</v>
      </c>
      <c r="G87" s="826" t="s">
        <v>3794</v>
      </c>
      <c r="H87" s="853" t="s">
        <v>3795</v>
      </c>
      <c r="I87" s="853" t="s">
        <v>3796</v>
      </c>
      <c r="J87" s="868">
        <v>1.0</v>
      </c>
      <c r="K87" s="824" t="s">
        <v>301</v>
      </c>
      <c r="L87" s="824" t="s">
        <v>301</v>
      </c>
      <c r="M87" s="824" t="s">
        <v>301</v>
      </c>
      <c r="N87" s="869">
        <v>1.0</v>
      </c>
    </row>
    <row r="88">
      <c r="A88" s="864">
        <v>83.0</v>
      </c>
      <c r="B88" s="819" t="s">
        <v>3797</v>
      </c>
      <c r="C88" s="819" t="s">
        <v>3798</v>
      </c>
      <c r="D88" s="819" t="s">
        <v>3799</v>
      </c>
      <c r="E88" s="819" t="s">
        <v>3800</v>
      </c>
      <c r="F88" s="819" t="s">
        <v>3801</v>
      </c>
      <c r="G88" s="819" t="s">
        <v>3802</v>
      </c>
      <c r="H88" s="819" t="s">
        <v>3803</v>
      </c>
      <c r="I88" s="819" t="s">
        <v>3804</v>
      </c>
      <c r="J88" s="865">
        <v>1.2</v>
      </c>
      <c r="K88" s="824" t="s">
        <v>301</v>
      </c>
      <c r="L88" s="824" t="s">
        <v>301</v>
      </c>
      <c r="M88" s="824" t="s">
        <v>271</v>
      </c>
      <c r="N88" s="324">
        <v>2.4893</v>
      </c>
      <c r="O88" s="866" t="s">
        <v>3222</v>
      </c>
    </row>
    <row r="89">
      <c r="A89" s="825">
        <v>84.0</v>
      </c>
      <c r="B89" s="826" t="s">
        <v>3805</v>
      </c>
      <c r="C89" s="826" t="s">
        <v>3806</v>
      </c>
      <c r="D89" s="827" t="s">
        <v>3807</v>
      </c>
      <c r="E89" s="827" t="s">
        <v>3808</v>
      </c>
      <c r="F89" s="827" t="s">
        <v>3809</v>
      </c>
      <c r="G89" s="827" t="s">
        <v>3810</v>
      </c>
      <c r="H89" s="827" t="s">
        <v>3811</v>
      </c>
      <c r="I89" s="827" t="s">
        <v>3812</v>
      </c>
      <c r="J89" s="829">
        <v>1.2</v>
      </c>
      <c r="K89" s="824" t="s">
        <v>301</v>
      </c>
      <c r="L89" s="824" t="s">
        <v>301</v>
      </c>
      <c r="M89" s="824" t="s">
        <v>271</v>
      </c>
      <c r="N89" s="324">
        <v>1.5299</v>
      </c>
      <c r="O89" s="866" t="s">
        <v>3222</v>
      </c>
    </row>
    <row r="90">
      <c r="A90" s="818">
        <v>85.0</v>
      </c>
      <c r="B90" s="819" t="s">
        <v>3813</v>
      </c>
      <c r="C90" s="819" t="s">
        <v>3814</v>
      </c>
      <c r="D90" s="820" t="s">
        <v>3815</v>
      </c>
      <c r="E90" s="820" t="s">
        <v>3816</v>
      </c>
      <c r="F90" s="820" t="s">
        <v>3817</v>
      </c>
      <c r="G90" s="820" t="s">
        <v>3818</v>
      </c>
      <c r="H90" s="820" t="s">
        <v>3819</v>
      </c>
      <c r="I90" s="820" t="s">
        <v>3820</v>
      </c>
      <c r="J90" s="822">
        <v>1.2</v>
      </c>
      <c r="K90" s="824" t="s">
        <v>301</v>
      </c>
      <c r="L90" s="824" t="s">
        <v>301</v>
      </c>
      <c r="M90" s="824" t="s">
        <v>271</v>
      </c>
      <c r="N90" s="324">
        <v>2.9988</v>
      </c>
      <c r="O90" s="866" t="s">
        <v>3222</v>
      </c>
    </row>
    <row r="91">
      <c r="A91" s="825">
        <v>86.0</v>
      </c>
      <c r="B91" s="826" t="s">
        <v>3821</v>
      </c>
      <c r="C91" s="826" t="s">
        <v>3822</v>
      </c>
      <c r="D91" s="827" t="s">
        <v>3823</v>
      </c>
      <c r="E91" s="827" t="s">
        <v>3824</v>
      </c>
      <c r="F91" s="827" t="s">
        <v>3825</v>
      </c>
      <c r="G91" s="827" t="s">
        <v>3826</v>
      </c>
      <c r="H91" s="827" t="s">
        <v>3827</v>
      </c>
      <c r="I91" s="827" t="s">
        <v>3828</v>
      </c>
      <c r="J91" s="829">
        <v>1.2</v>
      </c>
      <c r="K91" s="824" t="s">
        <v>301</v>
      </c>
      <c r="L91" s="824" t="s">
        <v>301</v>
      </c>
      <c r="M91" s="824" t="s">
        <v>271</v>
      </c>
      <c r="N91" s="324">
        <v>9.4333</v>
      </c>
      <c r="O91" s="866" t="s">
        <v>3222</v>
      </c>
    </row>
    <row r="92">
      <c r="A92" s="818">
        <v>87.0</v>
      </c>
      <c r="B92" s="819" t="s">
        <v>3829</v>
      </c>
      <c r="C92" s="819" t="s">
        <v>3830</v>
      </c>
      <c r="D92" s="820" t="s">
        <v>3831</v>
      </c>
      <c r="E92" s="820" t="s">
        <v>3832</v>
      </c>
      <c r="F92" s="820" t="s">
        <v>3833</v>
      </c>
      <c r="G92" s="820" t="s">
        <v>3834</v>
      </c>
      <c r="H92" s="836" t="s">
        <v>3835</v>
      </c>
      <c r="I92" s="836" t="s">
        <v>3836</v>
      </c>
      <c r="J92" s="822">
        <v>1.2</v>
      </c>
      <c r="K92" s="824" t="s">
        <v>301</v>
      </c>
      <c r="L92" s="824" t="s">
        <v>301</v>
      </c>
      <c r="M92" s="824" t="s">
        <v>271</v>
      </c>
      <c r="N92" s="324">
        <v>2.243</v>
      </c>
      <c r="O92" s="866" t="s">
        <v>3222</v>
      </c>
    </row>
    <row r="93">
      <c r="A93" s="825">
        <v>88.0</v>
      </c>
      <c r="B93" s="826" t="s">
        <v>3837</v>
      </c>
      <c r="C93" s="826" t="s">
        <v>3838</v>
      </c>
      <c r="D93" s="827" t="s">
        <v>3839</v>
      </c>
      <c r="E93" s="827" t="s">
        <v>3840</v>
      </c>
      <c r="F93" s="827" t="s">
        <v>3841</v>
      </c>
      <c r="G93" s="827" t="s">
        <v>3842</v>
      </c>
      <c r="H93" s="873" t="s">
        <v>3843</v>
      </c>
      <c r="I93" s="873" t="s">
        <v>3844</v>
      </c>
      <c r="J93" s="829">
        <v>1.2</v>
      </c>
      <c r="K93" s="824" t="s">
        <v>301</v>
      </c>
      <c r="L93" s="824" t="s">
        <v>301</v>
      </c>
      <c r="M93" s="824" t="s">
        <v>271</v>
      </c>
      <c r="N93" s="324">
        <v>2.3005</v>
      </c>
      <c r="O93" s="866" t="s">
        <v>3222</v>
      </c>
    </row>
    <row r="94">
      <c r="A94" s="818">
        <v>89.0</v>
      </c>
      <c r="B94" s="819" t="s">
        <v>3845</v>
      </c>
      <c r="C94" s="819" t="s">
        <v>3846</v>
      </c>
      <c r="D94" s="820" t="s">
        <v>3847</v>
      </c>
      <c r="E94" s="820" t="s">
        <v>3848</v>
      </c>
      <c r="F94" s="820" t="s">
        <v>3849</v>
      </c>
      <c r="G94" s="820" t="s">
        <v>3850</v>
      </c>
      <c r="H94" s="820" t="s">
        <v>3851</v>
      </c>
      <c r="I94" s="820" t="s">
        <v>3852</v>
      </c>
      <c r="J94" s="822">
        <v>1.2</v>
      </c>
      <c r="K94" s="824" t="s">
        <v>301</v>
      </c>
      <c r="L94" s="824" t="s">
        <v>301</v>
      </c>
      <c r="M94" s="824" t="s">
        <v>271</v>
      </c>
      <c r="N94" s="324">
        <v>3.3806</v>
      </c>
      <c r="O94" s="866" t="s">
        <v>3222</v>
      </c>
    </row>
    <row r="95">
      <c r="A95" s="825">
        <v>90.0</v>
      </c>
      <c r="B95" s="826" t="s">
        <v>3853</v>
      </c>
      <c r="C95" s="827" t="s">
        <v>3854</v>
      </c>
      <c r="D95" s="827" t="s">
        <v>3855</v>
      </c>
      <c r="E95" s="827" t="s">
        <v>3856</v>
      </c>
      <c r="F95" s="827" t="s">
        <v>3857</v>
      </c>
      <c r="G95" s="827" t="s">
        <v>3858</v>
      </c>
      <c r="H95" s="829">
        <v>0.87</v>
      </c>
      <c r="I95" s="829">
        <v>1.0</v>
      </c>
      <c r="J95" s="829">
        <v>1.1494</v>
      </c>
      <c r="K95" s="824" t="s">
        <v>301</v>
      </c>
      <c r="L95" s="824" t="s">
        <v>301</v>
      </c>
      <c r="M95" s="824" t="s">
        <v>301</v>
      </c>
      <c r="N95" s="872">
        <v>1.1494</v>
      </c>
    </row>
    <row r="96">
      <c r="A96" s="818">
        <v>91.0</v>
      </c>
      <c r="B96" s="819" t="s">
        <v>3859</v>
      </c>
      <c r="C96" s="852" t="s">
        <v>3860</v>
      </c>
      <c r="D96" s="820" t="s">
        <v>3861</v>
      </c>
      <c r="E96" s="820" t="s">
        <v>3862</v>
      </c>
      <c r="F96" s="820" t="s">
        <v>3863</v>
      </c>
      <c r="G96" s="820" t="s">
        <v>3864</v>
      </c>
      <c r="H96" s="822">
        <v>0.81</v>
      </c>
      <c r="I96" s="822">
        <v>0.824</v>
      </c>
      <c r="J96" s="822">
        <v>1.0173</v>
      </c>
      <c r="K96" s="824" t="s">
        <v>301</v>
      </c>
      <c r="L96" s="824" t="s">
        <v>301</v>
      </c>
      <c r="M96" s="824" t="s">
        <v>301</v>
      </c>
      <c r="N96" s="871">
        <v>1.0173</v>
      </c>
    </row>
    <row r="97">
      <c r="A97" s="825">
        <v>92.0</v>
      </c>
      <c r="B97" s="826" t="s">
        <v>3865</v>
      </c>
      <c r="C97" s="826" t="s">
        <v>3866</v>
      </c>
      <c r="D97" s="827" t="s">
        <v>3867</v>
      </c>
      <c r="E97" s="827" t="s">
        <v>3868</v>
      </c>
      <c r="F97" s="827" t="s">
        <v>3869</v>
      </c>
      <c r="G97" s="827" t="s">
        <v>3870</v>
      </c>
      <c r="H97" s="829">
        <v>0.69</v>
      </c>
      <c r="I97" s="829">
        <v>0.7456</v>
      </c>
      <c r="J97" s="829">
        <v>1.0806</v>
      </c>
      <c r="K97" s="824" t="s">
        <v>301</v>
      </c>
      <c r="L97" s="824" t="s">
        <v>301</v>
      </c>
      <c r="M97" s="824" t="s">
        <v>301</v>
      </c>
      <c r="N97" s="872">
        <v>1.0806</v>
      </c>
    </row>
    <row r="98">
      <c r="A98" s="818">
        <v>93.0</v>
      </c>
      <c r="B98" s="819" t="s">
        <v>3871</v>
      </c>
      <c r="C98" s="852" t="s">
        <v>3872</v>
      </c>
      <c r="D98" s="820" t="s">
        <v>3873</v>
      </c>
      <c r="E98" s="820" t="s">
        <v>3874</v>
      </c>
      <c r="F98" s="820" t="s">
        <v>3875</v>
      </c>
      <c r="G98" s="820" t="s">
        <v>3876</v>
      </c>
      <c r="H98" s="822">
        <v>0.81</v>
      </c>
      <c r="I98" s="822">
        <v>0.8483</v>
      </c>
      <c r="J98" s="822">
        <v>1.0473</v>
      </c>
      <c r="K98" s="824" t="s">
        <v>301</v>
      </c>
      <c r="L98" s="824" t="s">
        <v>301</v>
      </c>
      <c r="M98" s="824" t="s">
        <v>301</v>
      </c>
      <c r="N98" s="871">
        <v>1.0473</v>
      </c>
    </row>
    <row r="99">
      <c r="A99" s="825">
        <v>94.0</v>
      </c>
      <c r="B99" s="826" t="s">
        <v>3877</v>
      </c>
      <c r="C99" s="853" t="s">
        <v>3878</v>
      </c>
      <c r="D99" s="827" t="s">
        <v>3879</v>
      </c>
      <c r="E99" s="827" t="s">
        <v>3880</v>
      </c>
      <c r="F99" s="827" t="s">
        <v>3881</v>
      </c>
      <c r="G99" s="827" t="s">
        <v>3882</v>
      </c>
      <c r="H99" s="830" t="s">
        <v>3883</v>
      </c>
      <c r="I99" s="830" t="s">
        <v>3884</v>
      </c>
      <c r="J99" s="829">
        <v>1.2</v>
      </c>
      <c r="K99" s="824" t="s">
        <v>301</v>
      </c>
      <c r="L99" s="824" t="s">
        <v>301</v>
      </c>
      <c r="M99" s="824" t="s">
        <v>271</v>
      </c>
      <c r="N99" s="324">
        <v>1.6425</v>
      </c>
      <c r="O99" s="866" t="s">
        <v>3222</v>
      </c>
    </row>
    <row r="100">
      <c r="A100" s="818">
        <v>95.0</v>
      </c>
      <c r="B100" s="819" t="s">
        <v>3885</v>
      </c>
      <c r="C100" s="852" t="s">
        <v>3886</v>
      </c>
      <c r="D100" s="820" t="s">
        <v>3887</v>
      </c>
      <c r="E100" s="820" t="s">
        <v>3888</v>
      </c>
      <c r="F100" s="820" t="s">
        <v>3889</v>
      </c>
      <c r="G100" s="820" t="s">
        <v>3890</v>
      </c>
      <c r="H100" s="831" t="s">
        <v>3891</v>
      </c>
      <c r="I100" s="831" t="s">
        <v>3892</v>
      </c>
      <c r="J100" s="822">
        <v>1.0</v>
      </c>
      <c r="K100" s="824" t="s">
        <v>301</v>
      </c>
      <c r="L100" s="824" t="s">
        <v>301</v>
      </c>
      <c r="M100" s="824" t="s">
        <v>301</v>
      </c>
      <c r="N100" s="324">
        <v>1.0</v>
      </c>
    </row>
    <row r="101">
      <c r="A101" s="825">
        <v>96.0</v>
      </c>
      <c r="B101" s="826" t="s">
        <v>3893</v>
      </c>
      <c r="C101" s="827" t="s">
        <v>3894</v>
      </c>
      <c r="D101" s="827" t="s">
        <v>3895</v>
      </c>
      <c r="E101" s="827" t="s">
        <v>3896</v>
      </c>
      <c r="F101" s="827" t="s">
        <v>3897</v>
      </c>
      <c r="G101" s="827" t="s">
        <v>3898</v>
      </c>
      <c r="H101" s="830" t="s">
        <v>3899</v>
      </c>
      <c r="I101" s="830" t="s">
        <v>3900</v>
      </c>
      <c r="J101" s="829">
        <v>1.0</v>
      </c>
      <c r="K101" s="824" t="s">
        <v>301</v>
      </c>
      <c r="L101" s="824" t="s">
        <v>301</v>
      </c>
      <c r="M101" s="824" t="s">
        <v>301</v>
      </c>
      <c r="N101" s="872">
        <v>1.0</v>
      </c>
    </row>
    <row r="102">
      <c r="A102" s="818">
        <v>97.0</v>
      </c>
      <c r="B102" s="819" t="s">
        <v>3901</v>
      </c>
      <c r="C102" s="852" t="s">
        <v>3902</v>
      </c>
      <c r="D102" s="820" t="s">
        <v>3903</v>
      </c>
      <c r="E102" s="820" t="s">
        <v>3904</v>
      </c>
      <c r="F102" s="820" t="s">
        <v>3905</v>
      </c>
      <c r="G102" s="820" t="s">
        <v>3906</v>
      </c>
      <c r="H102" s="822">
        <v>0.4</v>
      </c>
      <c r="I102" s="822">
        <v>0.6753</v>
      </c>
      <c r="J102" s="822">
        <v>1.2</v>
      </c>
      <c r="K102" s="824" t="s">
        <v>301</v>
      </c>
      <c r="L102" s="824" t="s">
        <v>301</v>
      </c>
      <c r="M102" s="824" t="s">
        <v>271</v>
      </c>
      <c r="N102" s="324">
        <v>16.88</v>
      </c>
      <c r="O102" s="866" t="s">
        <v>3222</v>
      </c>
    </row>
    <row r="103">
      <c r="A103" s="825">
        <v>98.0</v>
      </c>
      <c r="B103" s="826" t="s">
        <v>3907</v>
      </c>
      <c r="C103" s="853" t="s">
        <v>3908</v>
      </c>
      <c r="D103" s="827" t="s">
        <v>3909</v>
      </c>
      <c r="E103" s="827" t="s">
        <v>3910</v>
      </c>
      <c r="F103" s="827" t="s">
        <v>3911</v>
      </c>
      <c r="G103" s="827" t="s">
        <v>3912</v>
      </c>
      <c r="H103" s="830" t="s">
        <v>3913</v>
      </c>
      <c r="I103" s="830" t="s">
        <v>3914</v>
      </c>
      <c r="J103" s="829">
        <v>1.1662</v>
      </c>
      <c r="K103" s="824" t="s">
        <v>301</v>
      </c>
      <c r="L103" s="824" t="s">
        <v>301</v>
      </c>
      <c r="M103" s="824" t="s">
        <v>301</v>
      </c>
      <c r="N103" s="872">
        <v>1.1662</v>
      </c>
    </row>
    <row r="104">
      <c r="A104" s="818">
        <v>99.0</v>
      </c>
      <c r="B104" s="819" t="s">
        <v>3915</v>
      </c>
      <c r="C104" s="852" t="s">
        <v>3916</v>
      </c>
      <c r="D104" s="820" t="s">
        <v>3917</v>
      </c>
      <c r="E104" s="820" t="s">
        <v>3918</v>
      </c>
      <c r="F104" s="820" t="s">
        <v>3919</v>
      </c>
      <c r="G104" s="820" t="s">
        <v>3920</v>
      </c>
      <c r="H104" s="822">
        <v>0.0427</v>
      </c>
      <c r="I104" s="822">
        <v>0.0428</v>
      </c>
      <c r="J104" s="822">
        <v>1.0023</v>
      </c>
      <c r="K104" s="824" t="s">
        <v>301</v>
      </c>
      <c r="L104" s="824" t="s">
        <v>301</v>
      </c>
      <c r="M104" s="824" t="s">
        <v>301</v>
      </c>
      <c r="N104" s="871">
        <v>1.0023</v>
      </c>
    </row>
    <row r="105">
      <c r="A105" s="825">
        <v>100.0</v>
      </c>
      <c r="B105" s="826" t="s">
        <v>3921</v>
      </c>
      <c r="C105" s="827" t="s">
        <v>3922</v>
      </c>
      <c r="D105" s="827" t="s">
        <v>3923</v>
      </c>
      <c r="E105" s="827" t="s">
        <v>3924</v>
      </c>
      <c r="F105" s="827" t="s">
        <v>3925</v>
      </c>
      <c r="G105" s="827" t="s">
        <v>3926</v>
      </c>
      <c r="H105" s="830" t="s">
        <v>3927</v>
      </c>
      <c r="I105" s="830" t="s">
        <v>3928</v>
      </c>
      <c r="J105" s="829">
        <v>0.8901</v>
      </c>
      <c r="K105" s="824" t="s">
        <v>301</v>
      </c>
      <c r="L105" s="824" t="s">
        <v>301</v>
      </c>
      <c r="M105" s="824" t="s">
        <v>301</v>
      </c>
      <c r="N105" s="872">
        <v>0.8901</v>
      </c>
    </row>
    <row r="106">
      <c r="A106" s="818">
        <v>101.0</v>
      </c>
      <c r="B106" s="819" t="s">
        <v>3929</v>
      </c>
      <c r="C106" s="820" t="s">
        <v>3930</v>
      </c>
      <c r="D106" s="820" t="s">
        <v>3931</v>
      </c>
      <c r="E106" s="820" t="s">
        <v>3932</v>
      </c>
      <c r="F106" s="820" t="s">
        <v>3933</v>
      </c>
      <c r="G106" s="820" t="s">
        <v>3934</v>
      </c>
      <c r="H106" s="831" t="s">
        <v>3935</v>
      </c>
      <c r="I106" s="831" t="s">
        <v>3936</v>
      </c>
      <c r="J106" s="822">
        <v>1.0361</v>
      </c>
      <c r="K106" s="824" t="s">
        <v>301</v>
      </c>
      <c r="L106" s="824" t="s">
        <v>301</v>
      </c>
      <c r="M106" s="824" t="s">
        <v>301</v>
      </c>
      <c r="N106" s="871">
        <v>1.0361</v>
      </c>
    </row>
    <row r="107">
      <c r="A107" s="825">
        <v>102.0</v>
      </c>
      <c r="B107" s="826" t="s">
        <v>3937</v>
      </c>
      <c r="C107" s="853" t="s">
        <v>3938</v>
      </c>
      <c r="D107" s="827" t="s">
        <v>3939</v>
      </c>
      <c r="E107" s="827" t="s">
        <v>3940</v>
      </c>
      <c r="F107" s="827" t="s">
        <v>3941</v>
      </c>
      <c r="G107" s="827" t="s">
        <v>3942</v>
      </c>
      <c r="H107" s="830" t="s">
        <v>3943</v>
      </c>
      <c r="I107" s="830" t="s">
        <v>3944</v>
      </c>
      <c r="J107" s="829">
        <v>0.97</v>
      </c>
      <c r="K107" s="824" t="s">
        <v>301</v>
      </c>
      <c r="L107" s="824" t="s">
        <v>301</v>
      </c>
      <c r="M107" s="824" t="s">
        <v>301</v>
      </c>
      <c r="N107" s="872">
        <v>0.97</v>
      </c>
    </row>
    <row r="108">
      <c r="A108" s="818">
        <v>103.0</v>
      </c>
      <c r="B108" s="819" t="s">
        <v>3945</v>
      </c>
      <c r="C108" s="852" t="s">
        <v>3946</v>
      </c>
      <c r="D108" s="820" t="s">
        <v>3947</v>
      </c>
      <c r="E108" s="820" t="s">
        <v>3948</v>
      </c>
      <c r="F108" s="820" t="s">
        <v>3949</v>
      </c>
      <c r="G108" s="820" t="s">
        <v>3950</v>
      </c>
      <c r="H108" s="831" t="s">
        <v>3951</v>
      </c>
      <c r="I108" s="831" t="s">
        <v>3952</v>
      </c>
      <c r="J108" s="822">
        <v>0.95</v>
      </c>
      <c r="K108" s="824" t="s">
        <v>301</v>
      </c>
      <c r="L108" s="824" t="s">
        <v>301</v>
      </c>
      <c r="M108" s="824" t="s">
        <v>301</v>
      </c>
      <c r="N108" s="871">
        <v>0.95</v>
      </c>
    </row>
    <row r="109">
      <c r="A109" s="825">
        <v>104.0</v>
      </c>
      <c r="B109" s="826" t="s">
        <v>3953</v>
      </c>
      <c r="C109" s="827" t="s">
        <v>3954</v>
      </c>
      <c r="D109" s="827" t="s">
        <v>3955</v>
      </c>
      <c r="E109" s="827" t="s">
        <v>3956</v>
      </c>
      <c r="F109" s="827" t="s">
        <v>3957</v>
      </c>
      <c r="G109" s="827" t="s">
        <v>3958</v>
      </c>
      <c r="H109" s="830" t="s">
        <v>3959</v>
      </c>
      <c r="I109" s="830" t="s">
        <v>3960</v>
      </c>
      <c r="J109" s="829">
        <v>0.8961</v>
      </c>
      <c r="K109" s="824" t="s">
        <v>301</v>
      </c>
      <c r="L109" s="824" t="s">
        <v>301</v>
      </c>
      <c r="M109" s="824" t="s">
        <v>301</v>
      </c>
      <c r="N109" s="872">
        <v>0.8961</v>
      </c>
    </row>
    <row r="110">
      <c r="A110" s="818">
        <v>105.0</v>
      </c>
      <c r="B110" s="819" t="s">
        <v>3961</v>
      </c>
      <c r="C110" s="852" t="s">
        <v>3962</v>
      </c>
      <c r="D110" s="820" t="s">
        <v>3963</v>
      </c>
      <c r="E110" s="820" t="s">
        <v>3964</v>
      </c>
      <c r="F110" s="820" t="s">
        <v>3965</v>
      </c>
      <c r="G110" s="820" t="s">
        <v>3966</v>
      </c>
      <c r="H110" s="822">
        <v>0.01</v>
      </c>
      <c r="I110" s="822">
        <v>0.0</v>
      </c>
      <c r="J110" s="822">
        <v>0.0</v>
      </c>
      <c r="K110" s="824" t="s">
        <v>301</v>
      </c>
      <c r="L110" s="824" t="s">
        <v>301</v>
      </c>
      <c r="M110" s="824" t="s">
        <v>301</v>
      </c>
      <c r="N110" s="871">
        <v>0.0</v>
      </c>
    </row>
    <row r="111">
      <c r="A111" s="825">
        <v>106.0</v>
      </c>
      <c r="B111" s="826" t="s">
        <v>3967</v>
      </c>
      <c r="C111" s="853" t="s">
        <v>3968</v>
      </c>
      <c r="D111" s="827" t="s">
        <v>3969</v>
      </c>
      <c r="E111" s="827" t="s">
        <v>3970</v>
      </c>
      <c r="F111" s="827" t="s">
        <v>3971</v>
      </c>
      <c r="G111" s="827" t="s">
        <v>3972</v>
      </c>
      <c r="H111" s="829">
        <v>0.4</v>
      </c>
      <c r="I111" s="829">
        <v>0.0</v>
      </c>
      <c r="J111" s="829">
        <v>0.0</v>
      </c>
      <c r="K111" s="824" t="s">
        <v>301</v>
      </c>
      <c r="L111" s="824" t="s">
        <v>301</v>
      </c>
      <c r="M111" s="824" t="s">
        <v>301</v>
      </c>
      <c r="N111" s="872">
        <v>0.0</v>
      </c>
    </row>
    <row r="112">
      <c r="A112" s="818">
        <v>107.0</v>
      </c>
      <c r="B112" s="819" t="s">
        <v>3973</v>
      </c>
      <c r="C112" s="852" t="s">
        <v>3974</v>
      </c>
      <c r="D112" s="820" t="s">
        <v>3975</v>
      </c>
      <c r="E112" s="820" t="s">
        <v>3976</v>
      </c>
      <c r="F112" s="820" t="s">
        <v>3977</v>
      </c>
      <c r="G112" s="820" t="s">
        <v>3978</v>
      </c>
      <c r="H112" s="822">
        <v>0.98</v>
      </c>
      <c r="I112" s="822">
        <v>1.0051</v>
      </c>
      <c r="J112" s="822">
        <v>1.0256</v>
      </c>
      <c r="K112" s="824" t="s">
        <v>301</v>
      </c>
      <c r="L112" s="824" t="s">
        <v>301</v>
      </c>
      <c r="M112" s="824" t="s">
        <v>301</v>
      </c>
      <c r="N112" s="871">
        <v>1.0256</v>
      </c>
    </row>
    <row r="113">
      <c r="A113" s="825">
        <v>108.0</v>
      </c>
      <c r="B113" s="826" t="s">
        <v>3979</v>
      </c>
      <c r="C113" s="853" t="s">
        <v>3980</v>
      </c>
      <c r="D113" s="827" t="s">
        <v>3981</v>
      </c>
      <c r="E113" s="827" t="s">
        <v>3982</v>
      </c>
      <c r="F113" s="827" t="s">
        <v>3983</v>
      </c>
      <c r="G113" s="827" t="s">
        <v>3984</v>
      </c>
      <c r="H113" s="829">
        <v>1.0</v>
      </c>
      <c r="I113" s="829">
        <v>1.0</v>
      </c>
      <c r="J113" s="829">
        <v>1.0</v>
      </c>
      <c r="K113" s="824" t="s">
        <v>301</v>
      </c>
      <c r="L113" s="824" t="s">
        <v>301</v>
      </c>
      <c r="M113" s="824" t="s">
        <v>301</v>
      </c>
      <c r="N113" s="872">
        <v>1.0</v>
      </c>
    </row>
    <row r="114">
      <c r="A114" s="818">
        <v>109.0</v>
      </c>
      <c r="B114" s="819" t="s">
        <v>3985</v>
      </c>
      <c r="C114" s="852" t="s">
        <v>3986</v>
      </c>
      <c r="D114" s="820" t="s">
        <v>3987</v>
      </c>
      <c r="E114" s="820" t="s">
        <v>3988</v>
      </c>
      <c r="F114" s="820" t="s">
        <v>3989</v>
      </c>
      <c r="G114" s="820" t="s">
        <v>3990</v>
      </c>
      <c r="H114" s="822">
        <v>0.8653</v>
      </c>
      <c r="I114" s="822">
        <v>0.0</v>
      </c>
      <c r="J114" s="822">
        <v>0.0</v>
      </c>
      <c r="K114" s="824" t="s">
        <v>301</v>
      </c>
      <c r="L114" s="824" t="s">
        <v>301</v>
      </c>
      <c r="M114" s="824" t="s">
        <v>301</v>
      </c>
      <c r="N114" s="871">
        <v>0.0</v>
      </c>
    </row>
    <row r="115">
      <c r="A115" s="825">
        <v>110.0</v>
      </c>
      <c r="B115" s="826" t="s">
        <v>3991</v>
      </c>
      <c r="C115" s="853" t="s">
        <v>3992</v>
      </c>
      <c r="D115" s="827" t="s">
        <v>3993</v>
      </c>
      <c r="E115" s="827" t="s">
        <v>3994</v>
      </c>
      <c r="F115" s="827" t="s">
        <v>3995</v>
      </c>
      <c r="G115" s="827" t="s">
        <v>3996</v>
      </c>
      <c r="H115" s="829">
        <v>0.7</v>
      </c>
      <c r="I115" s="829">
        <v>1.0</v>
      </c>
      <c r="J115" s="829">
        <v>1.2</v>
      </c>
      <c r="K115" s="824" t="s">
        <v>301</v>
      </c>
      <c r="L115" s="824" t="s">
        <v>301</v>
      </c>
      <c r="M115" s="824" t="s">
        <v>271</v>
      </c>
      <c r="N115" s="324">
        <v>1.4285</v>
      </c>
      <c r="O115" s="866" t="s">
        <v>3222</v>
      </c>
    </row>
    <row r="116">
      <c r="A116" s="818">
        <v>111.0</v>
      </c>
      <c r="B116" s="819" t="s">
        <v>3997</v>
      </c>
      <c r="C116" s="852" t="s">
        <v>3998</v>
      </c>
      <c r="D116" s="820" t="s">
        <v>3999</v>
      </c>
      <c r="E116" s="820" t="s">
        <v>4000</v>
      </c>
      <c r="F116" s="820" t="s">
        <v>4001</v>
      </c>
      <c r="G116" s="820" t="s">
        <v>4002</v>
      </c>
      <c r="H116" s="822">
        <v>0.3</v>
      </c>
      <c r="I116" s="822">
        <v>0.875</v>
      </c>
      <c r="J116" s="822">
        <v>1.2</v>
      </c>
      <c r="K116" s="824" t="s">
        <v>301</v>
      </c>
      <c r="L116" s="824" t="s">
        <v>301</v>
      </c>
      <c r="M116" s="824" t="s">
        <v>271</v>
      </c>
      <c r="N116" s="324">
        <v>2.9167</v>
      </c>
      <c r="O116" s="866" t="s">
        <v>3222</v>
      </c>
    </row>
    <row r="117">
      <c r="A117" s="825">
        <v>112.0</v>
      </c>
      <c r="B117" s="826" t="s">
        <v>4003</v>
      </c>
      <c r="C117" s="827" t="s">
        <v>4004</v>
      </c>
      <c r="D117" s="827" t="s">
        <v>4005</v>
      </c>
      <c r="E117" s="827" t="s">
        <v>4006</v>
      </c>
      <c r="F117" s="827" t="s">
        <v>4007</v>
      </c>
      <c r="G117" s="827" t="s">
        <v>4008</v>
      </c>
      <c r="H117" s="830" t="s">
        <v>4009</v>
      </c>
      <c r="I117" s="830" t="s">
        <v>4010</v>
      </c>
      <c r="J117" s="829">
        <v>0.893</v>
      </c>
      <c r="K117" s="824" t="s">
        <v>301</v>
      </c>
      <c r="L117" s="824" t="s">
        <v>301</v>
      </c>
      <c r="M117" s="824" t="s">
        <v>301</v>
      </c>
      <c r="N117" s="872">
        <v>0.893</v>
      </c>
    </row>
    <row r="118">
      <c r="A118" s="818">
        <v>113.0</v>
      </c>
      <c r="B118" s="819" t="s">
        <v>4011</v>
      </c>
      <c r="C118" s="852" t="s">
        <v>4012</v>
      </c>
      <c r="D118" s="820" t="s">
        <v>4013</v>
      </c>
      <c r="E118" s="820" t="s">
        <v>4014</v>
      </c>
      <c r="F118" s="820" t="s">
        <v>4015</v>
      </c>
      <c r="G118" s="820" t="s">
        <v>4016</v>
      </c>
      <c r="H118" s="831" t="s">
        <v>4017</v>
      </c>
      <c r="I118" s="831" t="s">
        <v>4018</v>
      </c>
      <c r="J118" s="822">
        <v>0.9375</v>
      </c>
      <c r="K118" s="824" t="s">
        <v>301</v>
      </c>
      <c r="L118" s="824" t="s">
        <v>301</v>
      </c>
      <c r="M118" s="824" t="s">
        <v>301</v>
      </c>
      <c r="N118" s="871">
        <v>0.9375</v>
      </c>
    </row>
    <row r="119">
      <c r="A119" s="825">
        <v>114.0</v>
      </c>
      <c r="B119" s="826" t="s">
        <v>4019</v>
      </c>
      <c r="C119" s="853" t="s">
        <v>4020</v>
      </c>
      <c r="D119" s="827" t="s">
        <v>4021</v>
      </c>
      <c r="E119" s="827" t="s">
        <v>4022</v>
      </c>
      <c r="F119" s="827" t="s">
        <v>4023</v>
      </c>
      <c r="G119" s="827" t="s">
        <v>4024</v>
      </c>
      <c r="H119" s="830" t="s">
        <v>4025</v>
      </c>
      <c r="I119" s="830" t="s">
        <v>4026</v>
      </c>
      <c r="J119" s="829">
        <v>0.9375</v>
      </c>
      <c r="K119" s="824" t="s">
        <v>301</v>
      </c>
      <c r="L119" s="824" t="s">
        <v>301</v>
      </c>
      <c r="M119" s="824" t="s">
        <v>301</v>
      </c>
      <c r="N119" s="872">
        <v>0.9375</v>
      </c>
    </row>
    <row r="120">
      <c r="A120" s="818">
        <v>115.0</v>
      </c>
      <c r="B120" s="819" t="s">
        <v>4027</v>
      </c>
      <c r="C120" s="820" t="s">
        <v>4028</v>
      </c>
      <c r="D120" s="820" t="s">
        <v>4029</v>
      </c>
      <c r="E120" s="820" t="s">
        <v>4030</v>
      </c>
      <c r="F120" s="820" t="s">
        <v>4031</v>
      </c>
      <c r="G120" s="820" t="s">
        <v>4032</v>
      </c>
      <c r="H120" s="822">
        <v>1.0</v>
      </c>
      <c r="I120" s="822">
        <v>0.8024</v>
      </c>
      <c r="J120" s="822">
        <v>0.8024</v>
      </c>
      <c r="K120" s="824" t="s">
        <v>301</v>
      </c>
      <c r="L120" s="824" t="s">
        <v>301</v>
      </c>
      <c r="M120" s="824" t="s">
        <v>301</v>
      </c>
      <c r="N120" s="871">
        <v>0.8024</v>
      </c>
    </row>
    <row r="121">
      <c r="A121" s="867">
        <v>116.0</v>
      </c>
      <c r="B121" s="853" t="s">
        <v>4033</v>
      </c>
      <c r="C121" s="826" t="s">
        <v>4034</v>
      </c>
      <c r="D121" s="826" t="s">
        <v>4035</v>
      </c>
      <c r="E121" s="826" t="s">
        <v>4036</v>
      </c>
      <c r="F121" s="826" t="s">
        <v>4037</v>
      </c>
      <c r="G121" s="826" t="s">
        <v>4038</v>
      </c>
      <c r="H121" s="853" t="s">
        <v>4039</v>
      </c>
      <c r="I121" s="853" t="s">
        <v>4040</v>
      </c>
      <c r="J121" s="868">
        <v>1.0182</v>
      </c>
      <c r="K121" s="824" t="s">
        <v>301</v>
      </c>
      <c r="L121" s="824" t="s">
        <v>301</v>
      </c>
      <c r="M121" s="824" t="s">
        <v>301</v>
      </c>
      <c r="N121" s="869">
        <v>1.0182</v>
      </c>
    </row>
    <row r="122">
      <c r="A122" s="818">
        <v>117.0</v>
      </c>
      <c r="B122" s="852" t="s">
        <v>4041</v>
      </c>
      <c r="C122" s="819" t="s">
        <v>4042</v>
      </c>
      <c r="D122" s="820" t="s">
        <v>4043</v>
      </c>
      <c r="E122" s="820" t="s">
        <v>4044</v>
      </c>
      <c r="F122" s="820" t="s">
        <v>4045</v>
      </c>
      <c r="G122" s="820" t="s">
        <v>4046</v>
      </c>
      <c r="H122" s="822">
        <v>0.01</v>
      </c>
      <c r="I122" s="822">
        <v>0.0121</v>
      </c>
      <c r="J122" s="822">
        <v>0.8264</v>
      </c>
      <c r="K122" s="824" t="s">
        <v>301</v>
      </c>
      <c r="L122" s="824" t="s">
        <v>301</v>
      </c>
      <c r="M122" s="824" t="s">
        <v>301</v>
      </c>
      <c r="N122" s="871">
        <v>0.8264</v>
      </c>
    </row>
    <row r="123">
      <c r="A123" s="867">
        <v>118.0</v>
      </c>
      <c r="B123" s="853" t="s">
        <v>4047</v>
      </c>
      <c r="C123" s="853" t="s">
        <v>4048</v>
      </c>
      <c r="D123" s="826" t="s">
        <v>4049</v>
      </c>
      <c r="E123" s="826" t="s">
        <v>4050</v>
      </c>
      <c r="F123" s="826" t="s">
        <v>4051</v>
      </c>
      <c r="G123" s="826" t="s">
        <v>4052</v>
      </c>
      <c r="H123" s="868">
        <v>0.7</v>
      </c>
      <c r="I123" s="868">
        <v>0.8044</v>
      </c>
      <c r="J123" s="868">
        <v>1.1491</v>
      </c>
      <c r="K123" s="824" t="s">
        <v>301</v>
      </c>
      <c r="L123" s="824" t="s">
        <v>301</v>
      </c>
      <c r="M123" s="824" t="s">
        <v>301</v>
      </c>
      <c r="N123" s="869">
        <v>1.1491</v>
      </c>
    </row>
    <row r="124">
      <c r="A124" s="864">
        <v>119.0</v>
      </c>
      <c r="B124" s="852" t="s">
        <v>4053</v>
      </c>
      <c r="C124" s="852" t="s">
        <v>4054</v>
      </c>
      <c r="D124" s="819" t="s">
        <v>4055</v>
      </c>
      <c r="E124" s="819" t="s">
        <v>4056</v>
      </c>
      <c r="F124" s="819" t="s">
        <v>4057</v>
      </c>
      <c r="G124" s="819" t="s">
        <v>4058</v>
      </c>
      <c r="H124" s="865">
        <v>0.3</v>
      </c>
      <c r="I124" s="865">
        <v>0.1766</v>
      </c>
      <c r="J124" s="865">
        <v>0.5887</v>
      </c>
      <c r="K124" s="824" t="s">
        <v>301</v>
      </c>
      <c r="L124" s="824" t="s">
        <v>301</v>
      </c>
      <c r="M124" s="824" t="s">
        <v>301</v>
      </c>
      <c r="N124" s="870">
        <v>0.5887</v>
      </c>
    </row>
    <row r="125">
      <c r="A125" s="867">
        <v>120.0</v>
      </c>
      <c r="B125" s="826" t="s">
        <v>4059</v>
      </c>
      <c r="C125" s="826" t="s">
        <v>4060</v>
      </c>
      <c r="D125" s="826" t="s">
        <v>4061</v>
      </c>
      <c r="E125" s="826" t="s">
        <v>4062</v>
      </c>
      <c r="F125" s="826" t="s">
        <v>4063</v>
      </c>
      <c r="G125" s="826" t="s">
        <v>4064</v>
      </c>
      <c r="H125" s="853" t="s">
        <v>4065</v>
      </c>
      <c r="I125" s="853" t="s">
        <v>4066</v>
      </c>
      <c r="J125" s="868">
        <v>1.2</v>
      </c>
      <c r="K125" s="824" t="s">
        <v>301</v>
      </c>
      <c r="L125" s="824" t="s">
        <v>301</v>
      </c>
      <c r="M125" s="824" t="s">
        <v>271</v>
      </c>
      <c r="N125" s="324">
        <v>1.4705</v>
      </c>
      <c r="O125" s="866" t="s">
        <v>3222</v>
      </c>
    </row>
    <row r="126">
      <c r="A126" s="864">
        <v>121.0</v>
      </c>
      <c r="B126" s="819" t="s">
        <v>4067</v>
      </c>
      <c r="C126" s="852" t="s">
        <v>4068</v>
      </c>
      <c r="D126" s="819" t="s">
        <v>4069</v>
      </c>
      <c r="E126" s="819" t="s">
        <v>4070</v>
      </c>
      <c r="F126" s="819" t="s">
        <v>4071</v>
      </c>
      <c r="G126" s="819" t="s">
        <v>4072</v>
      </c>
      <c r="H126" s="819" t="s">
        <v>4073</v>
      </c>
      <c r="I126" s="819" t="s">
        <v>4074</v>
      </c>
      <c r="J126" s="865">
        <v>1.2</v>
      </c>
      <c r="K126" s="824" t="s">
        <v>301</v>
      </c>
      <c r="L126" s="824" t="s">
        <v>301</v>
      </c>
      <c r="M126" s="824" t="s">
        <v>271</v>
      </c>
      <c r="N126" s="324">
        <v>1.4678</v>
      </c>
      <c r="O126" s="866" t="s">
        <v>3222</v>
      </c>
    </row>
    <row r="127">
      <c r="A127" s="867">
        <v>122.0</v>
      </c>
      <c r="B127" s="826" t="s">
        <v>4075</v>
      </c>
      <c r="C127" s="853" t="s">
        <v>4076</v>
      </c>
      <c r="D127" s="826" t="s">
        <v>4077</v>
      </c>
      <c r="E127" s="826" t="s">
        <v>4078</v>
      </c>
      <c r="F127" s="826" t="s">
        <v>4079</v>
      </c>
      <c r="G127" s="826" t="s">
        <v>4080</v>
      </c>
      <c r="H127" s="853" t="s">
        <v>4081</v>
      </c>
      <c r="I127" s="853" t="s">
        <v>4082</v>
      </c>
      <c r="J127" s="868">
        <v>1.2</v>
      </c>
      <c r="K127" s="824" t="s">
        <v>301</v>
      </c>
      <c r="L127" s="824" t="s">
        <v>301</v>
      </c>
      <c r="M127" s="824" t="s">
        <v>271</v>
      </c>
      <c r="N127" s="324">
        <v>1.4</v>
      </c>
      <c r="O127" s="866" t="s">
        <v>3222</v>
      </c>
    </row>
    <row r="128">
      <c r="A128" s="864">
        <v>123.0</v>
      </c>
      <c r="B128" s="819" t="s">
        <v>4083</v>
      </c>
      <c r="C128" s="819" t="s">
        <v>4084</v>
      </c>
      <c r="D128" s="819" t="s">
        <v>4085</v>
      </c>
      <c r="E128" s="819" t="s">
        <v>4086</v>
      </c>
      <c r="F128" s="819" t="s">
        <v>4087</v>
      </c>
      <c r="G128" s="819" t="s">
        <v>4088</v>
      </c>
      <c r="H128" s="852" t="s">
        <v>4089</v>
      </c>
      <c r="I128" s="852" t="s">
        <v>4090</v>
      </c>
      <c r="J128" s="865">
        <v>1.0519</v>
      </c>
      <c r="K128" s="824" t="s">
        <v>301</v>
      </c>
      <c r="L128" s="824" t="s">
        <v>301</v>
      </c>
      <c r="M128" s="824" t="s">
        <v>301</v>
      </c>
      <c r="N128" s="870">
        <v>1.0519</v>
      </c>
    </row>
    <row r="129">
      <c r="A129" s="867">
        <v>124.0</v>
      </c>
      <c r="B129" s="853" t="s">
        <v>4091</v>
      </c>
      <c r="C129" s="853" t="s">
        <v>4092</v>
      </c>
      <c r="D129" s="826" t="s">
        <v>4093</v>
      </c>
      <c r="E129" s="826" t="s">
        <v>4094</v>
      </c>
      <c r="F129" s="826" t="s">
        <v>4095</v>
      </c>
      <c r="G129" s="826" t="s">
        <v>4096</v>
      </c>
      <c r="H129" s="853" t="s">
        <v>4097</v>
      </c>
      <c r="I129" s="853" t="s">
        <v>4098</v>
      </c>
      <c r="J129" s="868">
        <v>1.2</v>
      </c>
      <c r="K129" s="824" t="s">
        <v>301</v>
      </c>
      <c r="L129" s="824" t="s">
        <v>301</v>
      </c>
      <c r="M129" s="824" t="s">
        <v>271</v>
      </c>
      <c r="N129" s="324">
        <v>1.28</v>
      </c>
      <c r="O129" s="866" t="s">
        <v>3222</v>
      </c>
    </row>
    <row r="130">
      <c r="A130" s="864">
        <v>125.0</v>
      </c>
      <c r="B130" s="852" t="s">
        <v>4099</v>
      </c>
      <c r="C130" s="819" t="s">
        <v>4100</v>
      </c>
      <c r="D130" s="819" t="s">
        <v>4101</v>
      </c>
      <c r="E130" s="819" t="s">
        <v>4102</v>
      </c>
      <c r="F130" s="819" t="s">
        <v>4103</v>
      </c>
      <c r="G130" s="819" t="s">
        <v>4104</v>
      </c>
      <c r="H130" s="852" t="s">
        <v>4105</v>
      </c>
      <c r="I130" s="852" t="s">
        <v>4106</v>
      </c>
      <c r="J130" s="865">
        <v>1.1197</v>
      </c>
      <c r="K130" s="824" t="s">
        <v>301</v>
      </c>
      <c r="L130" s="824" t="s">
        <v>301</v>
      </c>
      <c r="M130" s="824" t="s">
        <v>301</v>
      </c>
      <c r="N130" s="870">
        <v>1.1197</v>
      </c>
    </row>
    <row r="131">
      <c r="A131" s="867">
        <v>126.0</v>
      </c>
      <c r="B131" s="853" t="s">
        <v>4107</v>
      </c>
      <c r="C131" s="853" t="s">
        <v>4108</v>
      </c>
      <c r="D131" s="826" t="s">
        <v>4109</v>
      </c>
      <c r="E131" s="826" t="s">
        <v>4110</v>
      </c>
      <c r="F131" s="826" t="s">
        <v>4111</v>
      </c>
      <c r="G131" s="826" t="s">
        <v>4112</v>
      </c>
      <c r="H131" s="868">
        <v>1.0</v>
      </c>
      <c r="I131" s="868">
        <v>2.2686</v>
      </c>
      <c r="J131" s="868">
        <v>1.2</v>
      </c>
      <c r="K131" s="824" t="s">
        <v>301</v>
      </c>
      <c r="L131" s="824" t="s">
        <v>301</v>
      </c>
      <c r="M131" s="824" t="s">
        <v>271</v>
      </c>
      <c r="N131" s="324">
        <v>2.2686</v>
      </c>
      <c r="O131" s="866" t="s">
        <v>3222</v>
      </c>
    </row>
    <row r="132">
      <c r="A132" s="818">
        <v>127.0</v>
      </c>
      <c r="B132" s="819" t="s">
        <v>4113</v>
      </c>
      <c r="C132" s="820" t="s">
        <v>4114</v>
      </c>
      <c r="D132" s="820" t="s">
        <v>4115</v>
      </c>
      <c r="E132" s="820" t="s">
        <v>4116</v>
      </c>
      <c r="F132" s="820" t="s">
        <v>4117</v>
      </c>
      <c r="G132" s="820" t="s">
        <v>4118</v>
      </c>
      <c r="H132" s="831" t="s">
        <v>4119</v>
      </c>
      <c r="I132" s="831" t="s">
        <v>4120</v>
      </c>
      <c r="J132" s="822">
        <v>0.9634</v>
      </c>
      <c r="K132" s="824" t="s">
        <v>301</v>
      </c>
      <c r="L132" s="824" t="s">
        <v>301</v>
      </c>
      <c r="M132" s="824" t="s">
        <v>301</v>
      </c>
      <c r="N132" s="871">
        <v>0.9634</v>
      </c>
    </row>
    <row r="133">
      <c r="A133" s="825">
        <v>128.0</v>
      </c>
      <c r="B133" s="828" t="s">
        <v>4121</v>
      </c>
      <c r="C133" s="853" t="s">
        <v>4122</v>
      </c>
      <c r="D133" s="827" t="s">
        <v>4123</v>
      </c>
      <c r="E133" s="827" t="s">
        <v>4124</v>
      </c>
      <c r="F133" s="827" t="s">
        <v>4125</v>
      </c>
      <c r="G133" s="827" t="s">
        <v>4126</v>
      </c>
      <c r="H133" s="830" t="s">
        <v>4127</v>
      </c>
      <c r="I133" s="830" t="s">
        <v>4128</v>
      </c>
      <c r="J133" s="829">
        <v>1.1875</v>
      </c>
      <c r="K133" s="824" t="s">
        <v>301</v>
      </c>
      <c r="L133" s="824" t="s">
        <v>301</v>
      </c>
      <c r="M133" s="824" t="s">
        <v>301</v>
      </c>
      <c r="N133" s="872">
        <v>1.1875</v>
      </c>
    </row>
    <row r="134">
      <c r="A134" s="818">
        <v>129.0</v>
      </c>
      <c r="B134" s="836" t="s">
        <v>4129</v>
      </c>
      <c r="C134" s="820" t="s">
        <v>4130</v>
      </c>
      <c r="D134" s="820" t="s">
        <v>4131</v>
      </c>
      <c r="E134" s="820" t="s">
        <v>4132</v>
      </c>
      <c r="F134" s="820" t="s">
        <v>4133</v>
      </c>
      <c r="G134" s="820" t="s">
        <v>4134</v>
      </c>
      <c r="H134" s="831" t="s">
        <v>4135</v>
      </c>
      <c r="I134" s="831" t="s">
        <v>4136</v>
      </c>
      <c r="J134" s="822">
        <v>0.9892</v>
      </c>
      <c r="K134" s="824" t="s">
        <v>301</v>
      </c>
      <c r="L134" s="824" t="s">
        <v>301</v>
      </c>
      <c r="M134" s="824" t="s">
        <v>301</v>
      </c>
      <c r="N134" s="871">
        <v>0.9892</v>
      </c>
    </row>
    <row r="135">
      <c r="A135" s="825">
        <v>130.0</v>
      </c>
      <c r="B135" s="873" t="s">
        <v>4137</v>
      </c>
      <c r="C135" s="853" t="s">
        <v>4138</v>
      </c>
      <c r="D135" s="827" t="s">
        <v>4139</v>
      </c>
      <c r="E135" s="827" t="s">
        <v>4140</v>
      </c>
      <c r="F135" s="827" t="s">
        <v>4141</v>
      </c>
      <c r="G135" s="827" t="s">
        <v>4142</v>
      </c>
      <c r="H135" s="830" t="s">
        <v>4143</v>
      </c>
      <c r="I135" s="830" t="s">
        <v>4144</v>
      </c>
      <c r="J135" s="829">
        <v>1.1875</v>
      </c>
      <c r="K135" s="824" t="s">
        <v>301</v>
      </c>
      <c r="L135" s="824" t="s">
        <v>301</v>
      </c>
      <c r="M135" s="824" t="s">
        <v>301</v>
      </c>
      <c r="N135" s="872">
        <v>1.1875</v>
      </c>
    </row>
    <row r="136">
      <c r="A136" s="818">
        <v>131.0</v>
      </c>
      <c r="B136" s="819" t="s">
        <v>4145</v>
      </c>
      <c r="C136" s="852" t="s">
        <v>4146</v>
      </c>
      <c r="D136" s="820" t="s">
        <v>4147</v>
      </c>
      <c r="E136" s="820" t="s">
        <v>4148</v>
      </c>
      <c r="F136" s="820" t="s">
        <v>4149</v>
      </c>
      <c r="G136" s="820" t="s">
        <v>4150</v>
      </c>
      <c r="H136" s="831" t="s">
        <v>4151</v>
      </c>
      <c r="I136" s="831" t="s">
        <v>4152</v>
      </c>
      <c r="J136" s="822">
        <v>0.7143</v>
      </c>
      <c r="K136" s="824" t="s">
        <v>301</v>
      </c>
      <c r="L136" s="824" t="s">
        <v>301</v>
      </c>
      <c r="M136" s="824" t="s">
        <v>301</v>
      </c>
      <c r="N136" s="871">
        <v>0.7143</v>
      </c>
    </row>
    <row r="137">
      <c r="A137" s="825">
        <v>132.0</v>
      </c>
      <c r="B137" s="826" t="s">
        <v>4153</v>
      </c>
      <c r="C137" s="853" t="s">
        <v>4154</v>
      </c>
      <c r="D137" s="827" t="s">
        <v>4155</v>
      </c>
      <c r="E137" s="827" t="s">
        <v>4156</v>
      </c>
      <c r="F137" s="827" t="s">
        <v>4157</v>
      </c>
      <c r="G137" s="827" t="s">
        <v>4158</v>
      </c>
      <c r="H137" s="853" t="s">
        <v>4159</v>
      </c>
      <c r="I137" s="853" t="s">
        <v>4160</v>
      </c>
      <c r="J137" s="829">
        <v>1.0</v>
      </c>
      <c r="K137" s="824" t="s">
        <v>301</v>
      </c>
      <c r="L137" s="824" t="s">
        <v>301</v>
      </c>
      <c r="M137" s="824" t="s">
        <v>301</v>
      </c>
      <c r="N137" s="872">
        <v>1.0</v>
      </c>
    </row>
    <row r="138">
      <c r="A138" s="818">
        <v>133.0</v>
      </c>
      <c r="B138" s="819" t="s">
        <v>4161</v>
      </c>
      <c r="C138" s="852" t="s">
        <v>4162</v>
      </c>
      <c r="D138" s="820" t="s">
        <v>4163</v>
      </c>
      <c r="E138" s="820" t="s">
        <v>4164</v>
      </c>
      <c r="F138" s="820" t="s">
        <v>4165</v>
      </c>
      <c r="G138" s="820" t="s">
        <v>4166</v>
      </c>
      <c r="H138" s="831" t="s">
        <v>4167</v>
      </c>
      <c r="I138" s="831" t="s">
        <v>4168</v>
      </c>
      <c r="J138" s="822">
        <v>1.1538</v>
      </c>
      <c r="K138" s="824" t="s">
        <v>301</v>
      </c>
      <c r="L138" s="824" t="s">
        <v>301</v>
      </c>
      <c r="M138" s="824" t="s">
        <v>301</v>
      </c>
      <c r="N138" s="871">
        <v>1.1538</v>
      </c>
    </row>
    <row r="139">
      <c r="A139" s="825">
        <v>134.0</v>
      </c>
      <c r="B139" s="826" t="s">
        <v>4169</v>
      </c>
      <c r="C139" s="853" t="s">
        <v>4170</v>
      </c>
      <c r="D139" s="827" t="s">
        <v>4171</v>
      </c>
      <c r="E139" s="827" t="s">
        <v>4172</v>
      </c>
      <c r="F139" s="827" t="s">
        <v>4173</v>
      </c>
      <c r="G139" s="827" t="s">
        <v>4174</v>
      </c>
      <c r="H139" s="853" t="s">
        <v>4175</v>
      </c>
      <c r="I139" s="853" t="s">
        <v>4176</v>
      </c>
      <c r="J139" s="829">
        <v>0.75</v>
      </c>
      <c r="K139" s="824" t="s">
        <v>301</v>
      </c>
      <c r="L139" s="824" t="s">
        <v>301</v>
      </c>
      <c r="M139" s="824" t="s">
        <v>301</v>
      </c>
      <c r="N139" s="872">
        <v>0.75</v>
      </c>
    </row>
    <row r="140">
      <c r="A140" s="818">
        <v>135.0</v>
      </c>
      <c r="B140" s="819" t="s">
        <v>4177</v>
      </c>
      <c r="C140" s="852" t="s">
        <v>4178</v>
      </c>
      <c r="D140" s="820" t="s">
        <v>4179</v>
      </c>
      <c r="E140" s="820" t="s">
        <v>4180</v>
      </c>
      <c r="F140" s="820" t="s">
        <v>4181</v>
      </c>
      <c r="G140" s="820" t="s">
        <v>4182</v>
      </c>
      <c r="H140" s="831" t="s">
        <v>4183</v>
      </c>
      <c r="I140" s="831" t="s">
        <v>4184</v>
      </c>
      <c r="J140" s="822">
        <v>1.0</v>
      </c>
      <c r="K140" s="824" t="s">
        <v>301</v>
      </c>
      <c r="L140" s="824" t="s">
        <v>301</v>
      </c>
      <c r="M140" s="824" t="s">
        <v>301</v>
      </c>
      <c r="N140" s="871">
        <v>1.0</v>
      </c>
    </row>
    <row r="141">
      <c r="A141" s="825">
        <v>136.0</v>
      </c>
      <c r="B141" s="826" t="s">
        <v>4185</v>
      </c>
      <c r="C141" s="853" t="s">
        <v>4186</v>
      </c>
      <c r="D141" s="827" t="s">
        <v>4187</v>
      </c>
      <c r="E141" s="827" t="s">
        <v>4188</v>
      </c>
      <c r="F141" s="827" t="s">
        <v>4189</v>
      </c>
      <c r="G141" s="827" t="s">
        <v>4190</v>
      </c>
      <c r="H141" s="830" t="s">
        <v>4191</v>
      </c>
      <c r="I141" s="830" t="s">
        <v>4192</v>
      </c>
      <c r="J141" s="829">
        <v>0.6733</v>
      </c>
      <c r="K141" s="824" t="s">
        <v>301</v>
      </c>
      <c r="L141" s="824" t="s">
        <v>301</v>
      </c>
      <c r="M141" s="824" t="s">
        <v>301</v>
      </c>
      <c r="N141" s="872">
        <v>0.6733</v>
      </c>
    </row>
    <row r="142">
      <c r="A142" s="818">
        <v>137.0</v>
      </c>
      <c r="B142" s="819" t="s">
        <v>4193</v>
      </c>
      <c r="C142" s="852" t="s">
        <v>4194</v>
      </c>
      <c r="D142" s="820" t="s">
        <v>4195</v>
      </c>
      <c r="E142" s="820" t="s">
        <v>4196</v>
      </c>
      <c r="F142" s="820" t="s">
        <v>4197</v>
      </c>
      <c r="G142" s="820" t="s">
        <v>4198</v>
      </c>
      <c r="H142" s="820" t="s">
        <v>4199</v>
      </c>
      <c r="I142" s="820" t="s">
        <v>4200</v>
      </c>
      <c r="J142" s="822">
        <v>1.2</v>
      </c>
      <c r="K142" s="824" t="s">
        <v>301</v>
      </c>
      <c r="L142" s="824" t="s">
        <v>301</v>
      </c>
      <c r="M142" s="824" t="s">
        <v>271</v>
      </c>
      <c r="N142" s="324">
        <v>2.9188</v>
      </c>
      <c r="O142" s="866" t="s">
        <v>3222</v>
      </c>
    </row>
    <row r="143">
      <c r="A143" s="825">
        <v>138.0</v>
      </c>
      <c r="B143" s="826" t="s">
        <v>4201</v>
      </c>
      <c r="C143" s="853" t="s">
        <v>4202</v>
      </c>
      <c r="D143" s="827" t="s">
        <v>4203</v>
      </c>
      <c r="E143" s="827" t="s">
        <v>4204</v>
      </c>
      <c r="F143" s="827" t="s">
        <v>4205</v>
      </c>
      <c r="G143" s="827" t="s">
        <v>4206</v>
      </c>
      <c r="H143" s="827" t="s">
        <v>4207</v>
      </c>
      <c r="I143" s="827" t="s">
        <v>4208</v>
      </c>
      <c r="J143" s="829">
        <v>1.2</v>
      </c>
      <c r="K143" s="824" t="s">
        <v>301</v>
      </c>
      <c r="L143" s="824" t="s">
        <v>301</v>
      </c>
      <c r="M143" s="824" t="s">
        <v>271</v>
      </c>
      <c r="N143" s="318" t="s">
        <v>4209</v>
      </c>
      <c r="O143" s="866" t="s">
        <v>3222</v>
      </c>
    </row>
    <row r="144">
      <c r="A144" s="818">
        <v>139.0</v>
      </c>
      <c r="B144" s="819" t="s">
        <v>4210</v>
      </c>
      <c r="C144" s="852" t="s">
        <v>4211</v>
      </c>
      <c r="D144" s="820" t="s">
        <v>4212</v>
      </c>
      <c r="E144" s="820" t="s">
        <v>4213</v>
      </c>
      <c r="F144" s="820" t="s">
        <v>4214</v>
      </c>
      <c r="G144" s="820" t="s">
        <v>4215</v>
      </c>
      <c r="H144" s="820" t="s">
        <v>4216</v>
      </c>
      <c r="I144" s="820" t="s">
        <v>4217</v>
      </c>
      <c r="J144" s="822">
        <v>1.2</v>
      </c>
      <c r="K144" s="824" t="s">
        <v>301</v>
      </c>
      <c r="L144" s="824" t="s">
        <v>301</v>
      </c>
      <c r="M144" s="824" t="s">
        <v>271</v>
      </c>
      <c r="N144" s="324">
        <v>1.2098</v>
      </c>
      <c r="O144" s="866" t="s">
        <v>3222</v>
      </c>
    </row>
    <row r="145">
      <c r="A145" s="825">
        <v>140.0</v>
      </c>
      <c r="B145" s="826" t="s">
        <v>4218</v>
      </c>
      <c r="C145" s="853" t="s">
        <v>4219</v>
      </c>
      <c r="D145" s="827" t="s">
        <v>4220</v>
      </c>
      <c r="E145" s="827" t="s">
        <v>4221</v>
      </c>
      <c r="F145" s="827" t="s">
        <v>4222</v>
      </c>
      <c r="G145" s="827" t="s">
        <v>4223</v>
      </c>
      <c r="H145" s="828" t="s">
        <v>4224</v>
      </c>
      <c r="I145" s="828" t="s">
        <v>4225</v>
      </c>
      <c r="J145" s="829">
        <v>1.2</v>
      </c>
      <c r="K145" s="824" t="s">
        <v>301</v>
      </c>
      <c r="L145" s="824" t="s">
        <v>301</v>
      </c>
      <c r="M145" s="824" t="s">
        <v>271</v>
      </c>
      <c r="N145" s="324">
        <v>24.7641</v>
      </c>
      <c r="O145" s="866" t="s">
        <v>3222</v>
      </c>
    </row>
    <row r="146">
      <c r="A146" s="818">
        <v>141.0</v>
      </c>
      <c r="B146" s="819" t="s">
        <v>4226</v>
      </c>
      <c r="C146" s="852" t="s">
        <v>4227</v>
      </c>
      <c r="D146" s="820" t="s">
        <v>4228</v>
      </c>
      <c r="E146" s="820" t="s">
        <v>4229</v>
      </c>
      <c r="F146" s="820" t="s">
        <v>4230</v>
      </c>
      <c r="G146" s="820" t="s">
        <v>4231</v>
      </c>
      <c r="H146" s="836" t="s">
        <v>4232</v>
      </c>
      <c r="I146" s="836" t="s">
        <v>4233</v>
      </c>
      <c r="J146" s="822">
        <v>1.2</v>
      </c>
      <c r="K146" s="824" t="s">
        <v>301</v>
      </c>
      <c r="L146" s="824" t="s">
        <v>301</v>
      </c>
      <c r="M146" s="824" t="s">
        <v>271</v>
      </c>
      <c r="N146" s="324">
        <v>47.3</v>
      </c>
      <c r="O146" s="866" t="s">
        <v>3222</v>
      </c>
    </row>
    <row r="147">
      <c r="A147" s="825">
        <v>142.0</v>
      </c>
      <c r="B147" s="826" t="s">
        <v>4234</v>
      </c>
      <c r="C147" s="853" t="s">
        <v>4235</v>
      </c>
      <c r="D147" s="827" t="s">
        <v>4236</v>
      </c>
      <c r="E147" s="827" t="s">
        <v>4237</v>
      </c>
      <c r="F147" s="827" t="s">
        <v>4238</v>
      </c>
      <c r="G147" s="827" t="s">
        <v>4239</v>
      </c>
      <c r="H147" s="827" t="s">
        <v>4240</v>
      </c>
      <c r="I147" s="827" t="s">
        <v>4241</v>
      </c>
      <c r="J147" s="829">
        <v>1.2</v>
      </c>
      <c r="K147" s="824" t="s">
        <v>301</v>
      </c>
      <c r="L147" s="824" t="s">
        <v>301</v>
      </c>
      <c r="M147" s="824" t="s">
        <v>271</v>
      </c>
      <c r="N147" s="324">
        <v>1.78563</v>
      </c>
      <c r="O147" s="866" t="s">
        <v>3222</v>
      </c>
    </row>
    <row r="148">
      <c r="A148" s="818">
        <v>143.0</v>
      </c>
      <c r="B148" s="819" t="s">
        <v>4242</v>
      </c>
      <c r="C148" s="852" t="s">
        <v>4243</v>
      </c>
      <c r="D148" s="820" t="s">
        <v>4244</v>
      </c>
      <c r="E148" s="820" t="s">
        <v>4245</v>
      </c>
      <c r="F148" s="820" t="s">
        <v>4246</v>
      </c>
      <c r="G148" s="820" t="s">
        <v>4247</v>
      </c>
      <c r="H148" s="820" t="s">
        <v>4248</v>
      </c>
      <c r="I148" s="820" t="s">
        <v>4249</v>
      </c>
      <c r="J148" s="822">
        <v>1.2</v>
      </c>
      <c r="K148" s="824" t="s">
        <v>301</v>
      </c>
      <c r="L148" s="824" t="s">
        <v>301</v>
      </c>
      <c r="M148" s="824" t="s">
        <v>271</v>
      </c>
      <c r="N148" s="324">
        <v>3.5478</v>
      </c>
      <c r="O148" s="866" t="s">
        <v>3222</v>
      </c>
    </row>
    <row r="149">
      <c r="A149" s="825">
        <v>144.0</v>
      </c>
      <c r="B149" s="826" t="s">
        <v>4250</v>
      </c>
      <c r="C149" s="853" t="s">
        <v>4251</v>
      </c>
      <c r="D149" s="827" t="s">
        <v>4252</v>
      </c>
      <c r="E149" s="827" t="s">
        <v>4253</v>
      </c>
      <c r="F149" s="827" t="s">
        <v>4254</v>
      </c>
      <c r="G149" s="827" t="s">
        <v>4255</v>
      </c>
      <c r="H149" s="827" t="s">
        <v>4256</v>
      </c>
      <c r="I149" s="827" t="s">
        <v>4257</v>
      </c>
      <c r="J149" s="829">
        <v>1.2</v>
      </c>
      <c r="K149" s="824" t="s">
        <v>301</v>
      </c>
      <c r="L149" s="824" t="s">
        <v>301</v>
      </c>
      <c r="M149" s="824" t="s">
        <v>271</v>
      </c>
      <c r="N149" s="324">
        <v>2.5586</v>
      </c>
      <c r="O149" s="866" t="s">
        <v>3222</v>
      </c>
    </row>
    <row r="150">
      <c r="A150" s="818">
        <v>145.0</v>
      </c>
      <c r="B150" s="819" t="s">
        <v>4258</v>
      </c>
      <c r="C150" s="852" t="s">
        <v>4259</v>
      </c>
      <c r="D150" s="820" t="s">
        <v>4260</v>
      </c>
      <c r="E150" s="820" t="s">
        <v>4261</v>
      </c>
      <c r="F150" s="820" t="s">
        <v>4262</v>
      </c>
      <c r="G150" s="820" t="s">
        <v>4263</v>
      </c>
      <c r="H150" s="820" t="s">
        <v>4264</v>
      </c>
      <c r="I150" s="820" t="s">
        <v>4265</v>
      </c>
      <c r="J150" s="822">
        <v>1.2</v>
      </c>
      <c r="K150" s="824" t="s">
        <v>301</v>
      </c>
      <c r="L150" s="824" t="s">
        <v>301</v>
      </c>
      <c r="M150" s="824" t="s">
        <v>271</v>
      </c>
      <c r="N150" s="324">
        <v>1.3438</v>
      </c>
      <c r="O150" s="866" t="s">
        <v>3222</v>
      </c>
    </row>
    <row r="151">
      <c r="A151" s="825">
        <v>146.0</v>
      </c>
      <c r="B151" s="826" t="s">
        <v>4266</v>
      </c>
      <c r="C151" s="853" t="s">
        <v>4267</v>
      </c>
      <c r="D151" s="827" t="s">
        <v>4268</v>
      </c>
      <c r="E151" s="827" t="s">
        <v>4269</v>
      </c>
      <c r="F151" s="827" t="s">
        <v>4270</v>
      </c>
      <c r="G151" s="827" t="s">
        <v>4271</v>
      </c>
      <c r="H151" s="828" t="s">
        <v>4272</v>
      </c>
      <c r="I151" s="828" t="s">
        <v>4273</v>
      </c>
      <c r="J151" s="829">
        <v>1.2</v>
      </c>
      <c r="K151" s="824" t="s">
        <v>301</v>
      </c>
      <c r="L151" s="824" t="s">
        <v>301</v>
      </c>
      <c r="M151" s="824" t="s">
        <v>271</v>
      </c>
      <c r="N151" s="324">
        <v>16.57</v>
      </c>
      <c r="O151" s="866" t="s">
        <v>3222</v>
      </c>
    </row>
    <row r="152">
      <c r="A152" s="818">
        <v>147.0</v>
      </c>
      <c r="B152" s="819" t="s">
        <v>4274</v>
      </c>
      <c r="C152" s="852" t="s">
        <v>4275</v>
      </c>
      <c r="D152" s="820" t="s">
        <v>4276</v>
      </c>
      <c r="E152" s="820" t="s">
        <v>4277</v>
      </c>
      <c r="F152" s="820" t="s">
        <v>4278</v>
      </c>
      <c r="G152" s="820" t="s">
        <v>4279</v>
      </c>
      <c r="H152" s="836" t="s">
        <v>4280</v>
      </c>
      <c r="I152" s="836" t="s">
        <v>4281</v>
      </c>
      <c r="J152" s="822">
        <v>1.2</v>
      </c>
      <c r="K152" s="824" t="s">
        <v>301</v>
      </c>
      <c r="L152" s="824" t="s">
        <v>301</v>
      </c>
      <c r="M152" s="824" t="s">
        <v>271</v>
      </c>
      <c r="N152" s="324">
        <v>1.6478</v>
      </c>
      <c r="O152" s="866" t="s">
        <v>3222</v>
      </c>
    </row>
    <row r="153">
      <c r="A153" s="825">
        <v>148.0</v>
      </c>
      <c r="B153" s="826" t="s">
        <v>4282</v>
      </c>
      <c r="C153" s="853" t="s">
        <v>4283</v>
      </c>
      <c r="D153" s="827" t="s">
        <v>4284</v>
      </c>
      <c r="E153" s="827" t="s">
        <v>4285</v>
      </c>
      <c r="F153" s="827" t="s">
        <v>4286</v>
      </c>
      <c r="G153" s="827" t="s">
        <v>4287</v>
      </c>
      <c r="H153" s="827" t="s">
        <v>4288</v>
      </c>
      <c r="I153" s="827" t="s">
        <v>4289</v>
      </c>
      <c r="J153" s="829">
        <v>1.2</v>
      </c>
      <c r="K153" s="824" t="s">
        <v>301</v>
      </c>
      <c r="L153" s="824" t="s">
        <v>301</v>
      </c>
      <c r="M153" s="824" t="s">
        <v>271</v>
      </c>
      <c r="N153" s="324">
        <v>1.3437</v>
      </c>
      <c r="O153" s="866" t="s">
        <v>3222</v>
      </c>
    </row>
    <row r="154">
      <c r="A154" s="818">
        <v>149.0</v>
      </c>
      <c r="B154" s="819" t="s">
        <v>4290</v>
      </c>
      <c r="C154" s="852" t="s">
        <v>4291</v>
      </c>
      <c r="D154" s="820" t="s">
        <v>4292</v>
      </c>
      <c r="E154" s="820" t="s">
        <v>4293</v>
      </c>
      <c r="F154" s="820" t="s">
        <v>4294</v>
      </c>
      <c r="G154" s="820" t="s">
        <v>4295</v>
      </c>
      <c r="H154" s="831" t="s">
        <v>4296</v>
      </c>
      <c r="I154" s="831" t="s">
        <v>4297</v>
      </c>
      <c r="J154" s="822">
        <v>0.0</v>
      </c>
      <c r="K154" s="824" t="s">
        <v>301</v>
      </c>
      <c r="L154" s="824" t="s">
        <v>301</v>
      </c>
      <c r="M154" s="824" t="s">
        <v>301</v>
      </c>
      <c r="N154" s="871">
        <v>0.0</v>
      </c>
    </row>
    <row r="155">
      <c r="A155" s="825">
        <v>150.0</v>
      </c>
      <c r="B155" s="826" t="s">
        <v>4298</v>
      </c>
      <c r="C155" s="830" t="s">
        <v>4299</v>
      </c>
      <c r="D155" s="827" t="s">
        <v>4300</v>
      </c>
      <c r="E155" s="827" t="s">
        <v>4301</v>
      </c>
      <c r="F155" s="827" t="s">
        <v>4302</v>
      </c>
      <c r="G155" s="827" t="s">
        <v>4303</v>
      </c>
      <c r="H155" s="830" t="s">
        <v>4304</v>
      </c>
      <c r="I155" s="830" t="s">
        <v>4305</v>
      </c>
      <c r="J155" s="829">
        <v>1.1034</v>
      </c>
      <c r="K155" s="824" t="s">
        <v>301</v>
      </c>
      <c r="L155" s="824" t="s">
        <v>301</v>
      </c>
      <c r="M155" s="824" t="s">
        <v>301</v>
      </c>
      <c r="N155" s="872">
        <v>1.1034</v>
      </c>
    </row>
    <row r="156">
      <c r="A156" s="818">
        <v>151.0</v>
      </c>
      <c r="B156" s="819" t="s">
        <v>4306</v>
      </c>
      <c r="C156" s="852" t="s">
        <v>4307</v>
      </c>
      <c r="D156" s="820" t="s">
        <v>4308</v>
      </c>
      <c r="E156" s="820" t="s">
        <v>4309</v>
      </c>
      <c r="F156" s="820" t="s">
        <v>4310</v>
      </c>
      <c r="G156" s="820" t="s">
        <v>4311</v>
      </c>
      <c r="H156" s="831" t="s">
        <v>4312</v>
      </c>
      <c r="I156" s="831" t="s">
        <v>4313</v>
      </c>
      <c r="J156" s="822">
        <v>1.1719</v>
      </c>
      <c r="K156" s="824" t="s">
        <v>301</v>
      </c>
      <c r="L156" s="824" t="s">
        <v>301</v>
      </c>
      <c r="M156" s="824" t="s">
        <v>301</v>
      </c>
      <c r="N156" s="871">
        <v>1.1719</v>
      </c>
    </row>
    <row r="157">
      <c r="A157" s="825">
        <v>152.0</v>
      </c>
      <c r="B157" s="826" t="s">
        <v>4314</v>
      </c>
      <c r="C157" s="853" t="s">
        <v>4315</v>
      </c>
      <c r="D157" s="827" t="s">
        <v>4316</v>
      </c>
      <c r="E157" s="827" t="s">
        <v>4317</v>
      </c>
      <c r="F157" s="827" t="s">
        <v>4318</v>
      </c>
      <c r="G157" s="827" t="s">
        <v>4319</v>
      </c>
      <c r="H157" s="830" t="s">
        <v>4320</v>
      </c>
      <c r="I157" s="830" t="s">
        <v>4321</v>
      </c>
      <c r="J157" s="829">
        <v>1.15</v>
      </c>
      <c r="K157" s="824" t="s">
        <v>301</v>
      </c>
      <c r="L157" s="824" t="s">
        <v>301</v>
      </c>
      <c r="M157" s="824" t="s">
        <v>301</v>
      </c>
      <c r="N157" s="872">
        <v>1.15</v>
      </c>
    </row>
    <row r="158">
      <c r="A158" s="818">
        <v>153.0</v>
      </c>
      <c r="B158" s="819" t="s">
        <v>4322</v>
      </c>
      <c r="C158" s="852" t="s">
        <v>4323</v>
      </c>
      <c r="D158" s="820" t="s">
        <v>4324</v>
      </c>
      <c r="E158" s="820" t="s">
        <v>4325</v>
      </c>
      <c r="F158" s="820" t="s">
        <v>4326</v>
      </c>
      <c r="G158" s="820" t="s">
        <v>4327</v>
      </c>
      <c r="H158" s="836" t="s">
        <v>4328</v>
      </c>
      <c r="I158" s="836" t="s">
        <v>4329</v>
      </c>
      <c r="J158" s="822">
        <v>1.0</v>
      </c>
      <c r="K158" s="824" t="s">
        <v>301</v>
      </c>
      <c r="L158" s="824" t="s">
        <v>301</v>
      </c>
      <c r="M158" s="824" t="s">
        <v>301</v>
      </c>
      <c r="N158" s="871">
        <v>1.0</v>
      </c>
    </row>
    <row r="159">
      <c r="A159" s="867">
        <v>154.0</v>
      </c>
      <c r="B159" s="826" t="s">
        <v>4330</v>
      </c>
      <c r="C159" s="826" t="s">
        <v>4331</v>
      </c>
      <c r="D159" s="826" t="s">
        <v>4332</v>
      </c>
      <c r="E159" s="826" t="s">
        <v>4333</v>
      </c>
      <c r="F159" s="826" t="s">
        <v>4334</v>
      </c>
      <c r="G159" s="826" t="s">
        <v>4335</v>
      </c>
      <c r="H159" s="853" t="s">
        <v>4336</v>
      </c>
      <c r="I159" s="853" t="s">
        <v>4337</v>
      </c>
      <c r="J159" s="868">
        <v>1.0</v>
      </c>
      <c r="K159" s="824" t="s">
        <v>301</v>
      </c>
      <c r="L159" s="824" t="s">
        <v>301</v>
      </c>
      <c r="M159" s="824" t="s">
        <v>301</v>
      </c>
      <c r="N159" s="869">
        <v>1.0</v>
      </c>
    </row>
    <row r="160">
      <c r="A160" s="818">
        <v>155.0</v>
      </c>
      <c r="B160" s="819" t="s">
        <v>4338</v>
      </c>
      <c r="C160" s="819" t="s">
        <v>4339</v>
      </c>
      <c r="D160" s="820" t="s">
        <v>4340</v>
      </c>
      <c r="E160" s="820" t="s">
        <v>4341</v>
      </c>
      <c r="F160" s="820" t="s">
        <v>4342</v>
      </c>
      <c r="G160" s="820" t="s">
        <v>4343</v>
      </c>
      <c r="H160" s="831" t="s">
        <v>4344</v>
      </c>
      <c r="I160" s="831" t="s">
        <v>4345</v>
      </c>
      <c r="J160" s="822">
        <v>1.0</v>
      </c>
      <c r="K160" s="824" t="s">
        <v>301</v>
      </c>
      <c r="L160" s="824" t="s">
        <v>301</v>
      </c>
      <c r="M160" s="824" t="s">
        <v>301</v>
      </c>
      <c r="N160" s="871">
        <v>1.0</v>
      </c>
    </row>
    <row r="161">
      <c r="A161" s="867">
        <v>156.0</v>
      </c>
      <c r="B161" s="826" t="s">
        <v>4346</v>
      </c>
      <c r="C161" s="826" t="s">
        <v>4347</v>
      </c>
      <c r="D161" s="826" t="s">
        <v>4348</v>
      </c>
      <c r="E161" s="826" t="s">
        <v>4349</v>
      </c>
      <c r="F161" s="826" t="s">
        <v>4350</v>
      </c>
      <c r="G161" s="826" t="s">
        <v>4351</v>
      </c>
      <c r="H161" s="853" t="s">
        <v>4352</v>
      </c>
      <c r="I161" s="853" t="s">
        <v>4353</v>
      </c>
      <c r="J161" s="868">
        <v>1.0</v>
      </c>
      <c r="K161" s="824" t="s">
        <v>301</v>
      </c>
      <c r="L161" s="824" t="s">
        <v>301</v>
      </c>
      <c r="M161" s="824" t="s">
        <v>301</v>
      </c>
      <c r="N161" s="869">
        <v>1.0</v>
      </c>
    </row>
    <row r="162">
      <c r="A162" s="818">
        <v>157.0</v>
      </c>
      <c r="B162" s="819" t="s">
        <v>4354</v>
      </c>
      <c r="C162" s="852" t="s">
        <v>4355</v>
      </c>
      <c r="D162" s="820" t="s">
        <v>4356</v>
      </c>
      <c r="E162" s="820" t="s">
        <v>4357</v>
      </c>
      <c r="F162" s="820" t="s">
        <v>4358</v>
      </c>
      <c r="G162" s="820" t="s">
        <v>4359</v>
      </c>
      <c r="H162" s="820" t="s">
        <v>4360</v>
      </c>
      <c r="I162" s="820" t="s">
        <v>4361</v>
      </c>
      <c r="J162" s="822">
        <v>1.0286</v>
      </c>
      <c r="K162" s="824" t="s">
        <v>301</v>
      </c>
      <c r="L162" s="824" t="s">
        <v>301</v>
      </c>
      <c r="M162" s="824" t="s">
        <v>301</v>
      </c>
      <c r="N162" s="871">
        <v>1.0286</v>
      </c>
    </row>
    <row r="163">
      <c r="A163" s="825">
        <v>158.0</v>
      </c>
      <c r="B163" s="826" t="s">
        <v>4362</v>
      </c>
      <c r="C163" s="853" t="s">
        <v>4363</v>
      </c>
      <c r="D163" s="827" t="s">
        <v>4364</v>
      </c>
      <c r="E163" s="827" t="s">
        <v>4365</v>
      </c>
      <c r="F163" s="827" t="s">
        <v>4366</v>
      </c>
      <c r="G163" s="827" t="s">
        <v>4367</v>
      </c>
      <c r="H163" s="828" t="s">
        <v>4368</v>
      </c>
      <c r="I163" s="873" t="s">
        <v>4369</v>
      </c>
      <c r="J163" s="829">
        <v>1.2</v>
      </c>
      <c r="K163" s="824" t="s">
        <v>301</v>
      </c>
      <c r="L163" s="824" t="s">
        <v>301</v>
      </c>
      <c r="M163" s="824" t="s">
        <v>301</v>
      </c>
      <c r="N163" s="872">
        <v>1.2</v>
      </c>
    </row>
    <row r="164">
      <c r="A164" s="818">
        <v>159.0</v>
      </c>
      <c r="B164" s="819" t="s">
        <v>4370</v>
      </c>
      <c r="C164" s="852" t="s">
        <v>4371</v>
      </c>
      <c r="D164" s="820" t="s">
        <v>4372</v>
      </c>
      <c r="E164" s="820" t="s">
        <v>4373</v>
      </c>
      <c r="F164" s="820" t="s">
        <v>4374</v>
      </c>
      <c r="G164" s="820" t="s">
        <v>4375</v>
      </c>
      <c r="H164" s="820" t="s">
        <v>4376</v>
      </c>
      <c r="I164" s="820" t="s">
        <v>4377</v>
      </c>
      <c r="J164" s="822">
        <v>1.2</v>
      </c>
      <c r="K164" s="824" t="s">
        <v>301</v>
      </c>
      <c r="L164" s="824" t="s">
        <v>301</v>
      </c>
      <c r="M164" s="824" t="s">
        <v>301</v>
      </c>
      <c r="N164" s="871">
        <v>1.2</v>
      </c>
    </row>
    <row r="165">
      <c r="A165" s="825">
        <v>160.0</v>
      </c>
      <c r="B165" s="826" t="s">
        <v>4378</v>
      </c>
      <c r="C165" s="853" t="s">
        <v>4379</v>
      </c>
      <c r="D165" s="827" t="s">
        <v>4380</v>
      </c>
      <c r="E165" s="827" t="s">
        <v>4381</v>
      </c>
      <c r="F165" s="827" t="s">
        <v>4382</v>
      </c>
      <c r="G165" s="827" t="s">
        <v>4383</v>
      </c>
      <c r="H165" s="827" t="s">
        <v>4384</v>
      </c>
      <c r="I165" s="827" t="s">
        <v>4385</v>
      </c>
      <c r="J165" s="829">
        <v>0.1238</v>
      </c>
      <c r="K165" s="824" t="s">
        <v>301</v>
      </c>
      <c r="L165" s="824" t="s">
        <v>301</v>
      </c>
      <c r="M165" s="824" t="s">
        <v>301</v>
      </c>
      <c r="N165" s="872">
        <v>0.1238</v>
      </c>
    </row>
    <row r="166">
      <c r="A166" s="818">
        <v>161.0</v>
      </c>
      <c r="B166" s="819" t="s">
        <v>4386</v>
      </c>
      <c r="C166" s="852" t="s">
        <v>4387</v>
      </c>
      <c r="D166" s="820" t="s">
        <v>4388</v>
      </c>
      <c r="E166" s="820" t="s">
        <v>4389</v>
      </c>
      <c r="F166" s="820" t="s">
        <v>4390</v>
      </c>
      <c r="G166" s="820" t="s">
        <v>4391</v>
      </c>
      <c r="H166" s="821" t="s">
        <v>4392</v>
      </c>
      <c r="I166" s="821" t="s">
        <v>4393</v>
      </c>
      <c r="J166" s="822">
        <v>0.7731</v>
      </c>
      <c r="K166" s="824" t="s">
        <v>301</v>
      </c>
      <c r="L166" s="824" t="s">
        <v>301</v>
      </c>
      <c r="M166" s="824" t="s">
        <v>301</v>
      </c>
      <c r="N166" s="871">
        <v>0.7731</v>
      </c>
    </row>
    <row r="167">
      <c r="A167" s="825">
        <v>162.0</v>
      </c>
      <c r="B167" s="826" t="s">
        <v>4394</v>
      </c>
      <c r="C167" s="853" t="s">
        <v>4395</v>
      </c>
      <c r="D167" s="827" t="s">
        <v>4396</v>
      </c>
      <c r="E167" s="827" t="s">
        <v>4397</v>
      </c>
      <c r="F167" s="827" t="s">
        <v>4398</v>
      </c>
      <c r="G167" s="827" t="s">
        <v>4399</v>
      </c>
      <c r="H167" s="827" t="s">
        <v>4400</v>
      </c>
      <c r="I167" s="827" t="s">
        <v>4401</v>
      </c>
      <c r="J167" s="829">
        <v>1.127</v>
      </c>
      <c r="K167" s="824" t="s">
        <v>301</v>
      </c>
      <c r="L167" s="824" t="s">
        <v>301</v>
      </c>
      <c r="M167" s="824" t="s">
        <v>301</v>
      </c>
      <c r="N167" s="872">
        <v>1.127</v>
      </c>
    </row>
    <row r="168">
      <c r="A168" s="818">
        <v>163.0</v>
      </c>
      <c r="B168" s="819" t="s">
        <v>4402</v>
      </c>
      <c r="C168" s="852" t="s">
        <v>4403</v>
      </c>
      <c r="D168" s="820" t="s">
        <v>4404</v>
      </c>
      <c r="E168" s="820" t="s">
        <v>4405</v>
      </c>
      <c r="F168" s="820" t="s">
        <v>4406</v>
      </c>
      <c r="G168" s="820" t="s">
        <v>4407</v>
      </c>
      <c r="H168" s="820" t="s">
        <v>4408</v>
      </c>
      <c r="I168" s="820" t="s">
        <v>4409</v>
      </c>
      <c r="J168" s="822">
        <v>0.887</v>
      </c>
      <c r="K168" s="824" t="s">
        <v>301</v>
      </c>
      <c r="L168" s="824" t="s">
        <v>301</v>
      </c>
      <c r="M168" s="824" t="s">
        <v>301</v>
      </c>
      <c r="N168" s="871">
        <v>0.887</v>
      </c>
    </row>
    <row r="169">
      <c r="A169" s="825">
        <v>164.0</v>
      </c>
      <c r="B169" s="826" t="s">
        <v>4410</v>
      </c>
      <c r="C169" s="853" t="s">
        <v>4411</v>
      </c>
      <c r="D169" s="827" t="s">
        <v>4412</v>
      </c>
      <c r="E169" s="827" t="s">
        <v>4413</v>
      </c>
      <c r="F169" s="827" t="s">
        <v>4414</v>
      </c>
      <c r="G169" s="827" t="s">
        <v>4415</v>
      </c>
      <c r="H169" s="827" t="s">
        <v>4416</v>
      </c>
      <c r="I169" s="827" t="s">
        <v>4417</v>
      </c>
      <c r="J169" s="829">
        <v>1.076</v>
      </c>
      <c r="K169" s="824" t="s">
        <v>301</v>
      </c>
      <c r="L169" s="824" t="s">
        <v>301</v>
      </c>
      <c r="M169" s="824" t="s">
        <v>301</v>
      </c>
      <c r="N169" s="872">
        <v>1.076</v>
      </c>
    </row>
    <row r="170">
      <c r="A170" s="818">
        <v>165.0</v>
      </c>
      <c r="B170" s="819" t="s">
        <v>4418</v>
      </c>
      <c r="C170" s="852" t="s">
        <v>4419</v>
      </c>
      <c r="D170" s="820" t="s">
        <v>4420</v>
      </c>
      <c r="E170" s="820" t="s">
        <v>4421</v>
      </c>
      <c r="F170" s="820" t="s">
        <v>4422</v>
      </c>
      <c r="G170" s="820" t="s">
        <v>4423</v>
      </c>
      <c r="H170" s="820" t="s">
        <v>4424</v>
      </c>
      <c r="I170" s="820" t="s">
        <v>4425</v>
      </c>
      <c r="J170" s="822">
        <v>1.2</v>
      </c>
      <c r="K170" s="824" t="s">
        <v>301</v>
      </c>
      <c r="L170" s="824" t="s">
        <v>301</v>
      </c>
      <c r="M170" s="824" t="s">
        <v>271</v>
      </c>
      <c r="N170" s="324">
        <v>1.3264</v>
      </c>
      <c r="O170" s="866" t="s">
        <v>3222</v>
      </c>
    </row>
    <row r="171">
      <c r="A171" s="825">
        <v>166.0</v>
      </c>
      <c r="B171" s="826" t="s">
        <v>4426</v>
      </c>
      <c r="C171" s="853" t="s">
        <v>4427</v>
      </c>
      <c r="D171" s="827" t="s">
        <v>4428</v>
      </c>
      <c r="E171" s="827" t="s">
        <v>4429</v>
      </c>
      <c r="F171" s="827" t="s">
        <v>4430</v>
      </c>
      <c r="G171" s="827" t="s">
        <v>4431</v>
      </c>
      <c r="H171" s="828" t="s">
        <v>4432</v>
      </c>
      <c r="I171" s="828" t="s">
        <v>4433</v>
      </c>
      <c r="J171" s="829">
        <v>0.5538</v>
      </c>
      <c r="K171" s="824" t="s">
        <v>301</v>
      </c>
      <c r="L171" s="824" t="s">
        <v>301</v>
      </c>
      <c r="M171" s="824" t="s">
        <v>301</v>
      </c>
      <c r="N171" s="872">
        <v>0.5538</v>
      </c>
    </row>
    <row r="172">
      <c r="A172" s="818">
        <v>167.0</v>
      </c>
      <c r="B172" s="819" t="s">
        <v>4434</v>
      </c>
      <c r="C172" s="852" t="s">
        <v>4435</v>
      </c>
      <c r="D172" s="820" t="s">
        <v>4436</v>
      </c>
      <c r="E172" s="820" t="s">
        <v>4437</v>
      </c>
      <c r="F172" s="820" t="s">
        <v>4438</v>
      </c>
      <c r="G172" s="820" t="s">
        <v>4439</v>
      </c>
      <c r="H172" s="820" t="s">
        <v>4440</v>
      </c>
      <c r="I172" s="820" t="s">
        <v>4441</v>
      </c>
      <c r="J172" s="822">
        <v>1.1572</v>
      </c>
      <c r="K172" s="824" t="s">
        <v>301</v>
      </c>
      <c r="L172" s="824" t="s">
        <v>301</v>
      </c>
      <c r="M172" s="824" t="s">
        <v>301</v>
      </c>
      <c r="N172" s="871">
        <v>1.1572</v>
      </c>
    </row>
    <row r="173">
      <c r="A173" s="825">
        <v>168.0</v>
      </c>
      <c r="B173" s="826" t="s">
        <v>4442</v>
      </c>
      <c r="C173" s="853" t="s">
        <v>4443</v>
      </c>
      <c r="D173" s="827" t="s">
        <v>4444</v>
      </c>
      <c r="E173" s="827" t="s">
        <v>4445</v>
      </c>
      <c r="F173" s="827" t="s">
        <v>4446</v>
      </c>
      <c r="G173" s="827" t="s">
        <v>4447</v>
      </c>
      <c r="H173" s="828" t="s">
        <v>4448</v>
      </c>
      <c r="I173" s="828" t="s">
        <v>4449</v>
      </c>
      <c r="J173" s="829">
        <v>1.0575</v>
      </c>
      <c r="K173" s="824" t="s">
        <v>301</v>
      </c>
      <c r="L173" s="824" t="s">
        <v>301</v>
      </c>
      <c r="M173" s="824" t="s">
        <v>301</v>
      </c>
      <c r="N173" s="872">
        <v>1.0575</v>
      </c>
    </row>
    <row r="174">
      <c r="A174" s="818">
        <v>169.0</v>
      </c>
      <c r="B174" s="819" t="s">
        <v>4450</v>
      </c>
      <c r="C174" s="852" t="s">
        <v>4451</v>
      </c>
      <c r="D174" s="820" t="s">
        <v>4452</v>
      </c>
      <c r="E174" s="820" t="s">
        <v>4453</v>
      </c>
      <c r="F174" s="820" t="s">
        <v>4454</v>
      </c>
      <c r="G174" s="820" t="s">
        <v>4455</v>
      </c>
      <c r="H174" s="831" t="s">
        <v>4456</v>
      </c>
      <c r="I174" s="831" t="s">
        <v>4457</v>
      </c>
      <c r="J174" s="822">
        <v>1.1494</v>
      </c>
      <c r="K174" s="824" t="s">
        <v>301</v>
      </c>
      <c r="L174" s="824" t="s">
        <v>301</v>
      </c>
      <c r="M174" s="824" t="s">
        <v>301</v>
      </c>
      <c r="N174" s="871">
        <v>1.1494</v>
      </c>
    </row>
    <row r="175">
      <c r="A175" s="825">
        <v>170.0</v>
      </c>
      <c r="B175" s="826" t="s">
        <v>4458</v>
      </c>
      <c r="C175" s="826" t="s">
        <v>4459</v>
      </c>
      <c r="D175" s="827" t="s">
        <v>4460</v>
      </c>
      <c r="E175" s="827" t="s">
        <v>4461</v>
      </c>
      <c r="F175" s="827" t="s">
        <v>4462</v>
      </c>
      <c r="G175" s="827" t="s">
        <v>4463</v>
      </c>
      <c r="H175" s="830" t="s">
        <v>4464</v>
      </c>
      <c r="I175" s="830" t="s">
        <v>4465</v>
      </c>
      <c r="J175" s="829">
        <v>1.1086</v>
      </c>
      <c r="K175" s="824" t="s">
        <v>301</v>
      </c>
      <c r="L175" s="824" t="s">
        <v>301</v>
      </c>
      <c r="M175" s="824" t="s">
        <v>301</v>
      </c>
      <c r="N175" s="872">
        <v>1.1086</v>
      </c>
    </row>
    <row r="176">
      <c r="A176" s="818">
        <v>171.0</v>
      </c>
      <c r="B176" s="819" t="s">
        <v>4466</v>
      </c>
      <c r="C176" s="852" t="s">
        <v>4467</v>
      </c>
      <c r="D176" s="820" t="s">
        <v>4468</v>
      </c>
      <c r="E176" s="820" t="s">
        <v>4469</v>
      </c>
      <c r="F176" s="820" t="s">
        <v>4470</v>
      </c>
      <c r="G176" s="820" t="s">
        <v>4471</v>
      </c>
      <c r="H176" s="831" t="s">
        <v>4472</v>
      </c>
      <c r="I176" s="831" t="s">
        <v>4473</v>
      </c>
      <c r="J176" s="822">
        <v>1.183</v>
      </c>
      <c r="K176" s="824" t="s">
        <v>301</v>
      </c>
      <c r="L176" s="824" t="s">
        <v>301</v>
      </c>
      <c r="M176" s="824" t="s">
        <v>301</v>
      </c>
      <c r="N176" s="871">
        <v>1.183</v>
      </c>
    </row>
    <row r="177">
      <c r="A177" s="825">
        <v>172.0</v>
      </c>
      <c r="B177" s="826" t="s">
        <v>4474</v>
      </c>
      <c r="C177" s="830" t="s">
        <v>4475</v>
      </c>
      <c r="D177" s="827" t="s">
        <v>4476</v>
      </c>
      <c r="E177" s="827" t="s">
        <v>4477</v>
      </c>
      <c r="F177" s="827" t="s">
        <v>4478</v>
      </c>
      <c r="G177" s="827" t="s">
        <v>4479</v>
      </c>
      <c r="H177" s="830" t="s">
        <v>4480</v>
      </c>
      <c r="I177" s="830" t="s">
        <v>4481</v>
      </c>
      <c r="J177" s="829">
        <v>0.9834</v>
      </c>
      <c r="K177" s="824" t="s">
        <v>301</v>
      </c>
      <c r="L177" s="824" t="s">
        <v>301</v>
      </c>
      <c r="M177" s="824" t="s">
        <v>301</v>
      </c>
      <c r="N177" s="872">
        <v>0.9834</v>
      </c>
    </row>
    <row r="178">
      <c r="A178" s="818">
        <v>173.0</v>
      </c>
      <c r="B178" s="819" t="s">
        <v>4482</v>
      </c>
      <c r="C178" s="819" t="s">
        <v>4483</v>
      </c>
      <c r="D178" s="820" t="s">
        <v>4484</v>
      </c>
      <c r="E178" s="820" t="s">
        <v>4485</v>
      </c>
      <c r="F178" s="820" t="s">
        <v>4486</v>
      </c>
      <c r="G178" s="820" t="s">
        <v>4487</v>
      </c>
      <c r="H178" s="831" t="s">
        <v>4488</v>
      </c>
      <c r="I178" s="831" t="s">
        <v>4489</v>
      </c>
      <c r="J178" s="822">
        <v>1.2</v>
      </c>
      <c r="K178" s="824" t="s">
        <v>301</v>
      </c>
      <c r="L178" s="824" t="s">
        <v>301</v>
      </c>
      <c r="M178" s="824" t="s">
        <v>271</v>
      </c>
      <c r="N178" s="324">
        <v>1.274</v>
      </c>
      <c r="O178" s="866" t="s">
        <v>3222</v>
      </c>
    </row>
    <row r="179">
      <c r="A179" s="825">
        <v>174.0</v>
      </c>
      <c r="B179" s="826" t="s">
        <v>4490</v>
      </c>
      <c r="C179" s="853" t="s">
        <v>4491</v>
      </c>
      <c r="D179" s="827" t="s">
        <v>4492</v>
      </c>
      <c r="E179" s="827" t="s">
        <v>4493</v>
      </c>
      <c r="F179" s="827" t="s">
        <v>4494</v>
      </c>
      <c r="G179" s="827" t="s">
        <v>4495</v>
      </c>
      <c r="H179" s="873" t="s">
        <v>4496</v>
      </c>
      <c r="I179" s="873" t="s">
        <v>4497</v>
      </c>
      <c r="J179" s="829">
        <v>1.16</v>
      </c>
      <c r="K179" s="824" t="s">
        <v>301</v>
      </c>
      <c r="L179" s="824" t="s">
        <v>301</v>
      </c>
      <c r="M179" s="824" t="s">
        <v>301</v>
      </c>
      <c r="N179" s="872">
        <v>1.16</v>
      </c>
    </row>
    <row r="180">
      <c r="A180" s="818">
        <v>175.0</v>
      </c>
      <c r="B180" s="819" t="s">
        <v>4498</v>
      </c>
      <c r="C180" s="819" t="s">
        <v>4499</v>
      </c>
      <c r="D180" s="820" t="s">
        <v>4500</v>
      </c>
      <c r="E180" s="820" t="s">
        <v>4501</v>
      </c>
      <c r="F180" s="820" t="s">
        <v>4502</v>
      </c>
      <c r="G180" s="820" t="s">
        <v>4503</v>
      </c>
      <c r="H180" s="822">
        <v>0.85</v>
      </c>
      <c r="I180" s="822">
        <v>0.9119</v>
      </c>
      <c r="J180" s="822">
        <v>1.0728</v>
      </c>
      <c r="K180" s="824" t="s">
        <v>301</v>
      </c>
      <c r="L180" s="824" t="s">
        <v>301</v>
      </c>
      <c r="M180" s="824" t="s">
        <v>301</v>
      </c>
      <c r="N180" s="871">
        <v>1.0728</v>
      </c>
    </row>
    <row r="181">
      <c r="A181" s="825">
        <v>176.0</v>
      </c>
      <c r="B181" s="826" t="s">
        <v>4504</v>
      </c>
      <c r="C181" s="853" t="s">
        <v>4505</v>
      </c>
      <c r="D181" s="827" t="s">
        <v>4506</v>
      </c>
      <c r="E181" s="827" t="s">
        <v>4507</v>
      </c>
      <c r="F181" s="827" t="s">
        <v>4508</v>
      </c>
      <c r="G181" s="827" t="s">
        <v>4509</v>
      </c>
      <c r="H181" s="829">
        <v>0.75</v>
      </c>
      <c r="I181" s="829">
        <v>0.86</v>
      </c>
      <c r="J181" s="829">
        <v>1.1467</v>
      </c>
      <c r="K181" s="824" t="s">
        <v>301</v>
      </c>
      <c r="L181" s="824" t="s">
        <v>301</v>
      </c>
      <c r="M181" s="824" t="s">
        <v>301</v>
      </c>
      <c r="N181" s="872">
        <v>1.1467</v>
      </c>
    </row>
    <row r="182">
      <c r="A182" s="864">
        <v>177.0</v>
      </c>
      <c r="B182" s="852" t="s">
        <v>4510</v>
      </c>
      <c r="C182" s="819" t="s">
        <v>4511</v>
      </c>
      <c r="D182" s="819" t="s">
        <v>4512</v>
      </c>
      <c r="E182" s="819" t="s">
        <v>4513</v>
      </c>
      <c r="F182" s="819" t="s">
        <v>4514</v>
      </c>
      <c r="G182" s="819" t="s">
        <v>4515</v>
      </c>
      <c r="H182" s="852" t="s">
        <v>4516</v>
      </c>
      <c r="I182" s="852" t="s">
        <v>4517</v>
      </c>
      <c r="J182" s="865">
        <v>1.05</v>
      </c>
      <c r="K182" s="824" t="s">
        <v>301</v>
      </c>
      <c r="L182" s="824" t="s">
        <v>301</v>
      </c>
      <c r="M182" s="824" t="s">
        <v>301</v>
      </c>
      <c r="N182" s="870">
        <v>1.05</v>
      </c>
    </row>
    <row r="183">
      <c r="A183" s="867">
        <v>178.0</v>
      </c>
      <c r="B183" s="853" t="s">
        <v>4518</v>
      </c>
      <c r="C183" s="826" t="s">
        <v>4519</v>
      </c>
      <c r="D183" s="826" t="s">
        <v>4520</v>
      </c>
      <c r="E183" s="826" t="s">
        <v>4521</v>
      </c>
      <c r="F183" s="826" t="s">
        <v>4522</v>
      </c>
      <c r="G183" s="826" t="s">
        <v>4523</v>
      </c>
      <c r="H183" s="853" t="s">
        <v>4524</v>
      </c>
      <c r="I183" s="853" t="s">
        <v>4525</v>
      </c>
      <c r="J183" s="868">
        <v>0.675</v>
      </c>
      <c r="K183" s="824" t="s">
        <v>301</v>
      </c>
      <c r="L183" s="824" t="s">
        <v>301</v>
      </c>
      <c r="M183" s="824" t="s">
        <v>301</v>
      </c>
      <c r="N183" s="869">
        <v>0.675</v>
      </c>
    </row>
    <row r="184">
      <c r="A184" s="864">
        <v>179.0</v>
      </c>
      <c r="B184" s="852" t="s">
        <v>4526</v>
      </c>
      <c r="C184" s="819" t="s">
        <v>4527</v>
      </c>
      <c r="D184" s="819" t="s">
        <v>4528</v>
      </c>
      <c r="E184" s="819" t="s">
        <v>4529</v>
      </c>
      <c r="F184" s="819" t="s">
        <v>4530</v>
      </c>
      <c r="G184" s="819" t="s">
        <v>4531</v>
      </c>
      <c r="H184" s="852" t="s">
        <v>4532</v>
      </c>
      <c r="I184" s="852" t="s">
        <v>4533</v>
      </c>
      <c r="J184" s="865">
        <v>0.7143</v>
      </c>
      <c r="K184" s="824" t="s">
        <v>301</v>
      </c>
      <c r="L184" s="824" t="s">
        <v>301</v>
      </c>
      <c r="M184" s="824" t="s">
        <v>301</v>
      </c>
      <c r="N184" s="870">
        <v>0.7143</v>
      </c>
    </row>
    <row r="185">
      <c r="A185" s="825">
        <v>180.0</v>
      </c>
      <c r="B185" s="826" t="s">
        <v>4534</v>
      </c>
      <c r="C185" s="827" t="s">
        <v>4535</v>
      </c>
      <c r="D185" s="827" t="s">
        <v>4536</v>
      </c>
      <c r="E185" s="827" t="s">
        <v>4537</v>
      </c>
      <c r="F185" s="827" t="s">
        <v>4538</v>
      </c>
      <c r="G185" s="827" t="s">
        <v>4539</v>
      </c>
      <c r="H185" s="830" t="s">
        <v>4540</v>
      </c>
      <c r="I185" s="830" t="s">
        <v>4541</v>
      </c>
      <c r="J185" s="829">
        <v>1.1083</v>
      </c>
      <c r="K185" s="824" t="s">
        <v>301</v>
      </c>
      <c r="L185" s="824" t="s">
        <v>301</v>
      </c>
      <c r="M185" s="824" t="s">
        <v>301</v>
      </c>
      <c r="N185" s="872">
        <v>1.1083</v>
      </c>
    </row>
    <row r="186">
      <c r="A186" s="818">
        <v>181.0</v>
      </c>
      <c r="B186" s="819" t="s">
        <v>4542</v>
      </c>
      <c r="C186" s="852" t="s">
        <v>4543</v>
      </c>
      <c r="D186" s="820" t="s">
        <v>4544</v>
      </c>
      <c r="E186" s="820" t="s">
        <v>4545</v>
      </c>
      <c r="F186" s="820" t="s">
        <v>4546</v>
      </c>
      <c r="G186" s="820" t="s">
        <v>4547</v>
      </c>
      <c r="H186" s="831" t="s">
        <v>4548</v>
      </c>
      <c r="I186" s="831" t="s">
        <v>4549</v>
      </c>
      <c r="J186" s="822">
        <v>1.0</v>
      </c>
      <c r="K186" s="824" t="s">
        <v>301</v>
      </c>
      <c r="L186" s="824" t="s">
        <v>301</v>
      </c>
      <c r="M186" s="824" t="s">
        <v>301</v>
      </c>
      <c r="N186" s="871">
        <v>1.0</v>
      </c>
    </row>
    <row r="187">
      <c r="A187" s="867">
        <v>182.0</v>
      </c>
      <c r="B187" s="826" t="s">
        <v>4550</v>
      </c>
      <c r="C187" s="853" t="s">
        <v>4551</v>
      </c>
      <c r="D187" s="826" t="s">
        <v>4552</v>
      </c>
      <c r="E187" s="826" t="s">
        <v>4553</v>
      </c>
      <c r="F187" s="826" t="s">
        <v>4554</v>
      </c>
      <c r="G187" s="826" t="s">
        <v>4555</v>
      </c>
      <c r="H187" s="853" t="s">
        <v>4556</v>
      </c>
      <c r="I187" s="853" t="s">
        <v>4557</v>
      </c>
      <c r="J187" s="868">
        <v>1.0</v>
      </c>
      <c r="K187" s="824" t="s">
        <v>301</v>
      </c>
      <c r="L187" s="824" t="s">
        <v>301</v>
      </c>
      <c r="M187" s="824" t="s">
        <v>301</v>
      </c>
      <c r="N187" s="869">
        <v>1.0</v>
      </c>
    </row>
    <row r="188">
      <c r="A188" s="864">
        <v>183.0</v>
      </c>
      <c r="B188" s="819" t="s">
        <v>4558</v>
      </c>
      <c r="C188" s="852" t="s">
        <v>4559</v>
      </c>
      <c r="D188" s="819" t="s">
        <v>4560</v>
      </c>
      <c r="E188" s="819" t="s">
        <v>4561</v>
      </c>
      <c r="F188" s="819" t="s">
        <v>4562</v>
      </c>
      <c r="G188" s="819" t="s">
        <v>4563</v>
      </c>
      <c r="H188" s="852" t="s">
        <v>4564</v>
      </c>
      <c r="I188" s="852" t="s">
        <v>4565</v>
      </c>
      <c r="J188" s="865">
        <v>1.0</v>
      </c>
      <c r="K188" s="824" t="s">
        <v>301</v>
      </c>
      <c r="L188" s="824" t="s">
        <v>301</v>
      </c>
      <c r="M188" s="824" t="s">
        <v>301</v>
      </c>
      <c r="N188" s="870">
        <v>1.0</v>
      </c>
    </row>
    <row r="189">
      <c r="A189" s="867">
        <v>184.0</v>
      </c>
      <c r="B189" s="826" t="s">
        <v>4566</v>
      </c>
      <c r="C189" s="853" t="s">
        <v>4567</v>
      </c>
      <c r="D189" s="826" t="s">
        <v>4568</v>
      </c>
      <c r="E189" s="826" t="s">
        <v>4569</v>
      </c>
      <c r="F189" s="826" t="s">
        <v>4570</v>
      </c>
      <c r="G189" s="826" t="s">
        <v>4571</v>
      </c>
      <c r="H189" s="853" t="s">
        <v>4572</v>
      </c>
      <c r="I189" s="853" t="s">
        <v>4573</v>
      </c>
      <c r="J189" s="868">
        <v>1.0</v>
      </c>
      <c r="K189" s="824" t="s">
        <v>301</v>
      </c>
      <c r="L189" s="824" t="s">
        <v>301</v>
      </c>
      <c r="M189" s="824" t="s">
        <v>301</v>
      </c>
      <c r="N189" s="869">
        <v>1.0</v>
      </c>
    </row>
    <row r="190">
      <c r="A190" s="864">
        <v>185.0</v>
      </c>
      <c r="B190" s="819" t="s">
        <v>4574</v>
      </c>
      <c r="C190" s="852" t="s">
        <v>4575</v>
      </c>
      <c r="D190" s="819" t="s">
        <v>4576</v>
      </c>
      <c r="E190" s="819" t="s">
        <v>4577</v>
      </c>
      <c r="F190" s="819" t="s">
        <v>4578</v>
      </c>
      <c r="G190" s="819" t="s">
        <v>4579</v>
      </c>
      <c r="H190" s="852" t="s">
        <v>4580</v>
      </c>
      <c r="I190" s="852" t="s">
        <v>4581</v>
      </c>
      <c r="J190" s="865">
        <v>1.0</v>
      </c>
      <c r="K190" s="824" t="s">
        <v>301</v>
      </c>
      <c r="L190" s="824" t="s">
        <v>301</v>
      </c>
      <c r="M190" s="824" t="s">
        <v>301</v>
      </c>
      <c r="N190" s="870">
        <v>1.0</v>
      </c>
    </row>
    <row r="191">
      <c r="A191" s="867">
        <v>186.0</v>
      </c>
      <c r="B191" s="826" t="s">
        <v>4582</v>
      </c>
      <c r="C191" s="853" t="s">
        <v>4583</v>
      </c>
      <c r="D191" s="826" t="s">
        <v>4584</v>
      </c>
      <c r="E191" s="826" t="s">
        <v>4585</v>
      </c>
      <c r="F191" s="826" t="s">
        <v>4586</v>
      </c>
      <c r="G191" s="826" t="s">
        <v>4587</v>
      </c>
      <c r="H191" s="853" t="s">
        <v>4588</v>
      </c>
      <c r="I191" s="853" t="s">
        <v>4589</v>
      </c>
      <c r="J191" s="868">
        <v>1.2</v>
      </c>
      <c r="K191" s="824" t="s">
        <v>301</v>
      </c>
      <c r="L191" s="824" t="s">
        <v>301</v>
      </c>
      <c r="M191" s="824" t="s">
        <v>271</v>
      </c>
      <c r="N191" s="324">
        <v>1.2667</v>
      </c>
      <c r="O191" s="866" t="s">
        <v>3222</v>
      </c>
    </row>
    <row r="192">
      <c r="A192" s="864">
        <v>187.0</v>
      </c>
      <c r="B192" s="819" t="s">
        <v>4590</v>
      </c>
      <c r="C192" s="819" t="s">
        <v>4591</v>
      </c>
      <c r="D192" s="819" t="s">
        <v>4592</v>
      </c>
      <c r="E192" s="819" t="s">
        <v>4593</v>
      </c>
      <c r="F192" s="819" t="s">
        <v>4594</v>
      </c>
      <c r="G192" s="819" t="s">
        <v>4595</v>
      </c>
      <c r="H192" s="865">
        <v>1.0</v>
      </c>
      <c r="I192" s="865">
        <v>1.0</v>
      </c>
      <c r="J192" s="865">
        <v>1.0</v>
      </c>
      <c r="K192" s="824" t="s">
        <v>301</v>
      </c>
      <c r="L192" s="824" t="s">
        <v>301</v>
      </c>
      <c r="M192" s="824" t="s">
        <v>301</v>
      </c>
      <c r="N192" s="870">
        <v>1.0</v>
      </c>
    </row>
    <row r="193">
      <c r="A193" s="867">
        <v>188.0</v>
      </c>
      <c r="B193" s="853" t="s">
        <v>4596</v>
      </c>
      <c r="C193" s="853" t="s">
        <v>4597</v>
      </c>
      <c r="D193" s="826" t="s">
        <v>4598</v>
      </c>
      <c r="E193" s="826" t="s">
        <v>4599</v>
      </c>
      <c r="F193" s="826" t="s">
        <v>4600</v>
      </c>
      <c r="G193" s="826" t="s">
        <v>4601</v>
      </c>
      <c r="H193" s="853" t="s">
        <v>4602</v>
      </c>
      <c r="I193" s="853" t="s">
        <v>4603</v>
      </c>
      <c r="J193" s="868">
        <v>1.0118</v>
      </c>
      <c r="K193" s="824" t="s">
        <v>301</v>
      </c>
      <c r="L193" s="824" t="s">
        <v>301</v>
      </c>
      <c r="M193" s="824" t="s">
        <v>301</v>
      </c>
      <c r="N193" s="869">
        <v>1.0118</v>
      </c>
    </row>
    <row r="194">
      <c r="A194" s="864">
        <v>189.0</v>
      </c>
      <c r="B194" s="852" t="s">
        <v>4604</v>
      </c>
      <c r="C194" s="852" t="s">
        <v>4605</v>
      </c>
      <c r="D194" s="819" t="s">
        <v>4606</v>
      </c>
      <c r="E194" s="819" t="s">
        <v>4607</v>
      </c>
      <c r="F194" s="819" t="s">
        <v>4608</v>
      </c>
      <c r="G194" s="819" t="s">
        <v>4609</v>
      </c>
      <c r="H194" s="852" t="s">
        <v>4610</v>
      </c>
      <c r="I194" s="852" t="s">
        <v>4611</v>
      </c>
      <c r="J194" s="865">
        <v>1.0</v>
      </c>
      <c r="K194" s="824" t="s">
        <v>301</v>
      </c>
      <c r="L194" s="824" t="s">
        <v>301</v>
      </c>
      <c r="M194" s="824" t="s">
        <v>301</v>
      </c>
      <c r="N194" s="870">
        <v>1.0</v>
      </c>
    </row>
    <row r="195">
      <c r="A195" s="867">
        <v>190.0</v>
      </c>
      <c r="B195" s="853" t="s">
        <v>4612</v>
      </c>
      <c r="C195" s="826" t="s">
        <v>4613</v>
      </c>
      <c r="D195" s="826" t="s">
        <v>4614</v>
      </c>
      <c r="E195" s="826" t="s">
        <v>4615</v>
      </c>
      <c r="F195" s="826" t="s">
        <v>4616</v>
      </c>
      <c r="G195" s="826" t="s">
        <v>4617</v>
      </c>
      <c r="H195" s="853" t="s">
        <v>4618</v>
      </c>
      <c r="I195" s="853" t="s">
        <v>4619</v>
      </c>
      <c r="J195" s="868">
        <v>1.0006</v>
      </c>
      <c r="K195" s="824" t="s">
        <v>301</v>
      </c>
      <c r="L195" s="824" t="s">
        <v>301</v>
      </c>
      <c r="M195" s="824" t="s">
        <v>301</v>
      </c>
      <c r="N195" s="869">
        <v>1.0006</v>
      </c>
    </row>
    <row r="196">
      <c r="A196" s="864">
        <v>191.0</v>
      </c>
      <c r="B196" s="852" t="s">
        <v>4620</v>
      </c>
      <c r="C196" s="819" t="s">
        <v>4621</v>
      </c>
      <c r="D196" s="819" t="s">
        <v>4622</v>
      </c>
      <c r="E196" s="819" t="s">
        <v>4623</v>
      </c>
      <c r="F196" s="819" t="s">
        <v>4624</v>
      </c>
      <c r="G196" s="819" t="s">
        <v>4625</v>
      </c>
      <c r="H196" s="852" t="s">
        <v>4626</v>
      </c>
      <c r="I196" s="852" t="s">
        <v>4627</v>
      </c>
      <c r="J196" s="865">
        <v>0.9902</v>
      </c>
      <c r="K196" s="824" t="s">
        <v>301</v>
      </c>
      <c r="L196" s="824" t="s">
        <v>301</v>
      </c>
      <c r="M196" s="824" t="s">
        <v>301</v>
      </c>
      <c r="N196" s="870">
        <v>0.9902</v>
      </c>
    </row>
    <row r="197">
      <c r="A197" s="867">
        <v>192.0</v>
      </c>
      <c r="B197" s="853" t="s">
        <v>4628</v>
      </c>
      <c r="C197" s="853" t="s">
        <v>4629</v>
      </c>
      <c r="D197" s="826" t="s">
        <v>4630</v>
      </c>
      <c r="E197" s="826" t="s">
        <v>4631</v>
      </c>
      <c r="F197" s="826" t="s">
        <v>4632</v>
      </c>
      <c r="G197" s="826" t="s">
        <v>4633</v>
      </c>
      <c r="H197" s="853" t="s">
        <v>4634</v>
      </c>
      <c r="I197" s="853" t="s">
        <v>4635</v>
      </c>
      <c r="J197" s="868">
        <v>1.2</v>
      </c>
      <c r="K197" s="824" t="s">
        <v>301</v>
      </c>
      <c r="L197" s="824" t="s">
        <v>301</v>
      </c>
      <c r="M197" s="824" t="s">
        <v>271</v>
      </c>
      <c r="N197" s="324">
        <v>1.2048</v>
      </c>
      <c r="O197" s="866" t="s">
        <v>3222</v>
      </c>
    </row>
    <row r="198">
      <c r="A198" s="864">
        <v>193.0</v>
      </c>
      <c r="B198" s="852" t="s">
        <v>4636</v>
      </c>
      <c r="C198" s="852" t="s">
        <v>4637</v>
      </c>
      <c r="D198" s="819" t="s">
        <v>4638</v>
      </c>
      <c r="E198" s="819" t="s">
        <v>4639</v>
      </c>
      <c r="F198" s="819" t="s">
        <v>4640</v>
      </c>
      <c r="G198" s="819" t="s">
        <v>4641</v>
      </c>
      <c r="H198" s="852" t="s">
        <v>4642</v>
      </c>
      <c r="I198" s="852" t="s">
        <v>4643</v>
      </c>
      <c r="J198" s="865">
        <v>1.0556</v>
      </c>
      <c r="K198" s="824" t="s">
        <v>301</v>
      </c>
      <c r="L198" s="824" t="s">
        <v>301</v>
      </c>
      <c r="M198" s="824" t="s">
        <v>301</v>
      </c>
      <c r="N198" s="870">
        <v>1.0556</v>
      </c>
    </row>
    <row r="199">
      <c r="A199" s="867">
        <v>194.0</v>
      </c>
      <c r="B199" s="853" t="s">
        <v>4644</v>
      </c>
      <c r="C199" s="826" t="s">
        <v>4645</v>
      </c>
      <c r="D199" s="826" t="s">
        <v>4646</v>
      </c>
      <c r="E199" s="826" t="s">
        <v>4647</v>
      </c>
      <c r="F199" s="826" t="s">
        <v>4648</v>
      </c>
      <c r="G199" s="826" t="s">
        <v>4649</v>
      </c>
      <c r="H199" s="853" t="s">
        <v>4650</v>
      </c>
      <c r="I199" s="853" t="s">
        <v>4651</v>
      </c>
      <c r="J199" s="868">
        <v>1.0028</v>
      </c>
      <c r="K199" s="824" t="s">
        <v>301</v>
      </c>
      <c r="L199" s="824" t="s">
        <v>301</v>
      </c>
      <c r="M199" s="824" t="s">
        <v>301</v>
      </c>
      <c r="N199" s="869">
        <v>1.0028</v>
      </c>
    </row>
    <row r="200">
      <c r="A200" s="864">
        <v>195.0</v>
      </c>
      <c r="B200" s="852" t="s">
        <v>4652</v>
      </c>
      <c r="C200" s="852" t="s">
        <v>4653</v>
      </c>
      <c r="D200" s="819" t="s">
        <v>4654</v>
      </c>
      <c r="E200" s="819" t="s">
        <v>4655</v>
      </c>
      <c r="F200" s="819" t="s">
        <v>4656</v>
      </c>
      <c r="G200" s="819" t="s">
        <v>4657</v>
      </c>
      <c r="H200" s="865">
        <v>0.01</v>
      </c>
      <c r="I200" s="865">
        <v>0.01</v>
      </c>
      <c r="J200" s="865">
        <v>1.0</v>
      </c>
      <c r="K200" s="824" t="s">
        <v>301</v>
      </c>
      <c r="L200" s="824" t="s">
        <v>301</v>
      </c>
      <c r="M200" s="824" t="s">
        <v>301</v>
      </c>
      <c r="N200" s="870">
        <v>1.0</v>
      </c>
    </row>
    <row r="201">
      <c r="A201" s="825">
        <v>196.0</v>
      </c>
      <c r="B201" s="853" t="s">
        <v>4658</v>
      </c>
      <c r="C201" s="853" t="s">
        <v>4659</v>
      </c>
      <c r="D201" s="827" t="s">
        <v>4660</v>
      </c>
      <c r="E201" s="827" t="s">
        <v>4661</v>
      </c>
      <c r="F201" s="827" t="s">
        <v>4662</v>
      </c>
      <c r="G201" s="827" t="s">
        <v>4663</v>
      </c>
      <c r="H201" s="873" t="s">
        <v>4664</v>
      </c>
      <c r="I201" s="873" t="s">
        <v>4665</v>
      </c>
      <c r="J201" s="829">
        <v>1.2</v>
      </c>
      <c r="K201" s="824" t="s">
        <v>301</v>
      </c>
      <c r="L201" s="824" t="s">
        <v>301</v>
      </c>
      <c r="M201" s="824" t="s">
        <v>271</v>
      </c>
      <c r="N201" s="324">
        <v>1.7376</v>
      </c>
      <c r="O201" s="866" t="s">
        <v>3222</v>
      </c>
    </row>
    <row r="202">
      <c r="A202" s="818">
        <v>197.0</v>
      </c>
      <c r="B202" s="852" t="s">
        <v>4666</v>
      </c>
      <c r="C202" s="852" t="s">
        <v>4667</v>
      </c>
      <c r="D202" s="820" t="s">
        <v>4668</v>
      </c>
      <c r="E202" s="820" t="s">
        <v>4669</v>
      </c>
      <c r="F202" s="820" t="s">
        <v>4670</v>
      </c>
      <c r="G202" s="820" t="s">
        <v>4671</v>
      </c>
      <c r="H202" s="836" t="s">
        <v>4672</v>
      </c>
      <c r="I202" s="836" t="s">
        <v>4673</v>
      </c>
      <c r="J202" s="822">
        <v>1.0994</v>
      </c>
      <c r="K202" s="824" t="s">
        <v>301</v>
      </c>
      <c r="L202" s="824" t="s">
        <v>301</v>
      </c>
      <c r="M202" s="824" t="s">
        <v>301</v>
      </c>
      <c r="N202" s="871">
        <v>1.0994</v>
      </c>
    </row>
    <row r="203">
      <c r="A203" s="867">
        <v>198.0</v>
      </c>
      <c r="B203" s="853" t="s">
        <v>4674</v>
      </c>
      <c r="C203" s="853" t="s">
        <v>4675</v>
      </c>
      <c r="D203" s="826" t="s">
        <v>4676</v>
      </c>
      <c r="E203" s="826" t="s">
        <v>4677</v>
      </c>
      <c r="F203" s="826" t="s">
        <v>4678</v>
      </c>
      <c r="G203" s="826" t="s">
        <v>4679</v>
      </c>
      <c r="H203" s="868">
        <v>0.7</v>
      </c>
      <c r="I203" s="868">
        <v>0.9167</v>
      </c>
      <c r="J203" s="868">
        <v>1.2</v>
      </c>
      <c r="K203" s="824" t="s">
        <v>301</v>
      </c>
      <c r="L203" s="824" t="s">
        <v>301</v>
      </c>
      <c r="M203" s="824" t="s">
        <v>271</v>
      </c>
      <c r="N203" s="324">
        <v>1.3095</v>
      </c>
      <c r="O203" s="866" t="s">
        <v>3222</v>
      </c>
    </row>
    <row r="204">
      <c r="A204" s="864">
        <v>199.0</v>
      </c>
      <c r="B204" s="852" t="s">
        <v>4680</v>
      </c>
      <c r="C204" s="852" t="s">
        <v>4681</v>
      </c>
      <c r="D204" s="819" t="s">
        <v>4682</v>
      </c>
      <c r="E204" s="819" t="s">
        <v>4683</v>
      </c>
      <c r="F204" s="819" t="s">
        <v>4684</v>
      </c>
      <c r="G204" s="819" t="s">
        <v>4685</v>
      </c>
      <c r="H204" s="865">
        <v>0.3</v>
      </c>
      <c r="I204" s="865">
        <v>0.4264</v>
      </c>
      <c r="J204" s="865">
        <v>1.2</v>
      </c>
      <c r="K204" s="824" t="s">
        <v>301</v>
      </c>
      <c r="L204" s="824" t="s">
        <v>301</v>
      </c>
      <c r="M204" s="824" t="s">
        <v>271</v>
      </c>
      <c r="N204" s="324">
        <v>1.4213</v>
      </c>
      <c r="O204" s="866" t="s">
        <v>3222</v>
      </c>
    </row>
    <row r="205">
      <c r="A205" s="867">
        <v>200.0</v>
      </c>
      <c r="B205" s="853" t="s">
        <v>4686</v>
      </c>
      <c r="C205" s="853" t="s">
        <v>4687</v>
      </c>
      <c r="D205" s="826" t="s">
        <v>4688</v>
      </c>
      <c r="E205" s="826" t="s">
        <v>4689</v>
      </c>
      <c r="F205" s="826" t="s">
        <v>4690</v>
      </c>
      <c r="G205" s="826" t="s">
        <v>4691</v>
      </c>
      <c r="H205" s="868">
        <v>0.7</v>
      </c>
      <c r="I205" s="868">
        <v>1.3316</v>
      </c>
      <c r="J205" s="868">
        <v>1.2</v>
      </c>
      <c r="K205" s="824" t="s">
        <v>301</v>
      </c>
      <c r="L205" s="824" t="s">
        <v>301</v>
      </c>
      <c r="M205" s="824" t="s">
        <v>271</v>
      </c>
      <c r="N205" s="318" t="s">
        <v>4692</v>
      </c>
      <c r="O205" s="866" t="s">
        <v>3222</v>
      </c>
    </row>
    <row r="206">
      <c r="A206" s="818">
        <v>201.0</v>
      </c>
      <c r="B206" s="852" t="s">
        <v>4693</v>
      </c>
      <c r="C206" s="820" t="s">
        <v>4694</v>
      </c>
      <c r="D206" s="820" t="s">
        <v>4695</v>
      </c>
      <c r="E206" s="820" t="s">
        <v>4696</v>
      </c>
      <c r="F206" s="820" t="s">
        <v>4697</v>
      </c>
      <c r="G206" s="820" t="s">
        <v>4698</v>
      </c>
      <c r="H206" s="831" t="s">
        <v>4699</v>
      </c>
      <c r="I206" s="831" t="s">
        <v>4700</v>
      </c>
      <c r="J206" s="822">
        <v>1.0</v>
      </c>
      <c r="K206" s="824" t="s">
        <v>301</v>
      </c>
      <c r="L206" s="824" t="s">
        <v>301</v>
      </c>
      <c r="M206" s="824" t="s">
        <v>301</v>
      </c>
      <c r="N206" s="871">
        <v>1.0</v>
      </c>
    </row>
    <row r="207">
      <c r="A207" s="825">
        <v>202.0</v>
      </c>
      <c r="B207" s="853" t="s">
        <v>4701</v>
      </c>
      <c r="C207" s="853" t="s">
        <v>4702</v>
      </c>
      <c r="D207" s="827" t="s">
        <v>4703</v>
      </c>
      <c r="E207" s="827" t="s">
        <v>4704</v>
      </c>
      <c r="F207" s="827" t="s">
        <v>4705</v>
      </c>
      <c r="G207" s="827" t="s">
        <v>4706</v>
      </c>
      <c r="H207" s="830" t="s">
        <v>4707</v>
      </c>
      <c r="I207" s="830" t="s">
        <v>4708</v>
      </c>
      <c r="J207" s="829">
        <v>1.0</v>
      </c>
      <c r="K207" s="824" t="s">
        <v>301</v>
      </c>
      <c r="L207" s="824" t="s">
        <v>301</v>
      </c>
      <c r="M207" s="824" t="s">
        <v>301</v>
      </c>
      <c r="N207" s="872">
        <v>1.0</v>
      </c>
    </row>
    <row r="208">
      <c r="A208" s="818">
        <v>203.0</v>
      </c>
      <c r="B208" s="852" t="s">
        <v>4709</v>
      </c>
      <c r="C208" s="852" t="s">
        <v>4710</v>
      </c>
      <c r="D208" s="820" t="s">
        <v>4711</v>
      </c>
      <c r="E208" s="820" t="s">
        <v>4712</v>
      </c>
      <c r="F208" s="820" t="s">
        <v>4713</v>
      </c>
      <c r="G208" s="820" t="s">
        <v>4714</v>
      </c>
      <c r="H208" s="831" t="s">
        <v>4715</v>
      </c>
      <c r="I208" s="831" t="s">
        <v>4716</v>
      </c>
      <c r="J208" s="822">
        <v>1.0</v>
      </c>
      <c r="K208" s="824" t="s">
        <v>301</v>
      </c>
      <c r="L208" s="824" t="s">
        <v>301</v>
      </c>
      <c r="M208" s="824" t="s">
        <v>301</v>
      </c>
      <c r="N208" s="871">
        <v>1.0</v>
      </c>
    </row>
    <row r="209">
      <c r="A209" s="825">
        <v>204.0</v>
      </c>
      <c r="B209" s="853" t="s">
        <v>4717</v>
      </c>
      <c r="C209" s="853" t="s">
        <v>4718</v>
      </c>
      <c r="D209" s="827" t="s">
        <v>4719</v>
      </c>
      <c r="E209" s="827" t="s">
        <v>4720</v>
      </c>
      <c r="F209" s="827" t="s">
        <v>4721</v>
      </c>
      <c r="G209" s="827" t="s">
        <v>4722</v>
      </c>
      <c r="H209" s="830" t="s">
        <v>4723</v>
      </c>
      <c r="I209" s="830" t="s">
        <v>4724</v>
      </c>
      <c r="J209" s="829">
        <v>1.0</v>
      </c>
      <c r="K209" s="824" t="s">
        <v>301</v>
      </c>
      <c r="L209" s="824" t="s">
        <v>301</v>
      </c>
      <c r="M209" s="824" t="s">
        <v>301</v>
      </c>
      <c r="N209" s="872">
        <v>1.0</v>
      </c>
    </row>
    <row r="210">
      <c r="A210" s="818">
        <v>205.0</v>
      </c>
      <c r="B210" s="852" t="s">
        <v>4725</v>
      </c>
      <c r="C210" s="820" t="s">
        <v>4726</v>
      </c>
      <c r="D210" s="820" t="s">
        <v>4727</v>
      </c>
      <c r="E210" s="820" t="s">
        <v>4728</v>
      </c>
      <c r="F210" s="820" t="s">
        <v>4729</v>
      </c>
      <c r="G210" s="820" t="s">
        <v>4730</v>
      </c>
      <c r="H210" s="820" t="s">
        <v>4731</v>
      </c>
      <c r="I210" s="820" t="s">
        <v>4732</v>
      </c>
      <c r="J210" s="822">
        <v>1.2</v>
      </c>
      <c r="K210" s="824" t="s">
        <v>301</v>
      </c>
      <c r="L210" s="824" t="s">
        <v>301</v>
      </c>
      <c r="M210" s="824" t="s">
        <v>271</v>
      </c>
      <c r="N210" s="324">
        <v>2.292</v>
      </c>
      <c r="O210" s="866" t="s">
        <v>3222</v>
      </c>
    </row>
    <row r="211">
      <c r="A211" s="825">
        <v>206.0</v>
      </c>
      <c r="B211" s="826" t="s">
        <v>4733</v>
      </c>
      <c r="C211" s="853" t="s">
        <v>4734</v>
      </c>
      <c r="D211" s="827" t="s">
        <v>4735</v>
      </c>
      <c r="E211" s="827" t="s">
        <v>4736</v>
      </c>
      <c r="F211" s="827" t="s">
        <v>4737</v>
      </c>
      <c r="G211" s="827" t="s">
        <v>4738</v>
      </c>
      <c r="H211" s="830" t="s">
        <v>4739</v>
      </c>
      <c r="I211" s="830" t="s">
        <v>4740</v>
      </c>
      <c r="J211" s="829">
        <v>1.0</v>
      </c>
      <c r="K211" s="824" t="s">
        <v>301</v>
      </c>
      <c r="L211" s="824" t="s">
        <v>301</v>
      </c>
      <c r="M211" s="824" t="s">
        <v>301</v>
      </c>
      <c r="N211" s="872">
        <v>1.0</v>
      </c>
    </row>
    <row r="212">
      <c r="A212" s="818">
        <v>207.0</v>
      </c>
      <c r="B212" s="819" t="s">
        <v>4741</v>
      </c>
      <c r="C212" s="820" t="s">
        <v>4742</v>
      </c>
      <c r="D212" s="820" t="s">
        <v>4743</v>
      </c>
      <c r="E212" s="820" t="s">
        <v>4744</v>
      </c>
      <c r="F212" s="820" t="s">
        <v>4745</v>
      </c>
      <c r="G212" s="820" t="s">
        <v>4746</v>
      </c>
      <c r="H212" s="831" t="s">
        <v>4747</v>
      </c>
      <c r="I212" s="831" t="s">
        <v>4748</v>
      </c>
      <c r="J212" s="822">
        <v>1.0</v>
      </c>
      <c r="K212" s="824" t="s">
        <v>301</v>
      </c>
      <c r="L212" s="824" t="s">
        <v>301</v>
      </c>
      <c r="M212" s="824" t="s">
        <v>301</v>
      </c>
      <c r="N212" s="871">
        <v>1.0</v>
      </c>
    </row>
    <row r="213">
      <c r="A213" s="825">
        <v>208.0</v>
      </c>
      <c r="B213" s="826" t="s">
        <v>4749</v>
      </c>
      <c r="C213" s="827" t="s">
        <v>4750</v>
      </c>
      <c r="D213" s="827" t="s">
        <v>4751</v>
      </c>
      <c r="E213" s="827" t="s">
        <v>4752</v>
      </c>
      <c r="F213" s="827" t="s">
        <v>4753</v>
      </c>
      <c r="G213" s="827" t="s">
        <v>4754</v>
      </c>
      <c r="H213" s="830" t="s">
        <v>4755</v>
      </c>
      <c r="I213" s="830" t="s">
        <v>4756</v>
      </c>
      <c r="J213" s="829">
        <v>1.2</v>
      </c>
      <c r="K213" s="824" t="s">
        <v>301</v>
      </c>
      <c r="L213" s="824" t="s">
        <v>301</v>
      </c>
      <c r="M213" s="824" t="s">
        <v>271</v>
      </c>
      <c r="N213" s="324">
        <v>2.0</v>
      </c>
      <c r="O213" s="866" t="s">
        <v>3222</v>
      </c>
    </row>
    <row r="214">
      <c r="A214" s="818">
        <v>209.0</v>
      </c>
      <c r="B214" s="819" t="s">
        <v>4757</v>
      </c>
      <c r="C214" s="852" t="s">
        <v>4758</v>
      </c>
      <c r="D214" s="820" t="s">
        <v>4759</v>
      </c>
      <c r="E214" s="820" t="s">
        <v>4760</v>
      </c>
      <c r="F214" s="820" t="s">
        <v>4761</v>
      </c>
      <c r="G214" s="820" t="s">
        <v>4762</v>
      </c>
      <c r="H214" s="831" t="s">
        <v>4763</v>
      </c>
      <c r="I214" s="831" t="s">
        <v>4764</v>
      </c>
      <c r="J214" s="822">
        <v>1.2</v>
      </c>
      <c r="K214" s="824" t="s">
        <v>301</v>
      </c>
      <c r="L214" s="824" t="s">
        <v>301</v>
      </c>
      <c r="M214" s="824" t="s">
        <v>271</v>
      </c>
      <c r="N214" s="324">
        <v>15.0</v>
      </c>
      <c r="O214" s="866" t="s">
        <v>3222</v>
      </c>
    </row>
    <row r="215">
      <c r="A215" s="825">
        <v>210.0</v>
      </c>
      <c r="B215" s="826" t="s">
        <v>4765</v>
      </c>
      <c r="C215" s="853" t="s">
        <v>4766</v>
      </c>
      <c r="D215" s="827" t="s">
        <v>4767</v>
      </c>
      <c r="E215" s="827" t="s">
        <v>4768</v>
      </c>
      <c r="F215" s="827" t="s">
        <v>4769</v>
      </c>
      <c r="G215" s="827" t="s">
        <v>4770</v>
      </c>
      <c r="H215" s="830" t="s">
        <v>4771</v>
      </c>
      <c r="I215" s="827" t="s">
        <v>4772</v>
      </c>
      <c r="J215" s="829">
        <v>1.2</v>
      </c>
      <c r="K215" s="824" t="s">
        <v>301</v>
      </c>
      <c r="L215" s="824" t="s">
        <v>301</v>
      </c>
      <c r="M215" s="824" t="s">
        <v>271</v>
      </c>
      <c r="N215" s="324">
        <v>7.0661</v>
      </c>
      <c r="O215" s="866" t="s">
        <v>3222</v>
      </c>
    </row>
    <row r="216">
      <c r="A216" s="818">
        <v>211.0</v>
      </c>
      <c r="B216" s="819" t="s">
        <v>4773</v>
      </c>
      <c r="C216" s="820" t="s">
        <v>4774</v>
      </c>
      <c r="D216" s="820" t="s">
        <v>4775</v>
      </c>
      <c r="E216" s="820" t="s">
        <v>4776</v>
      </c>
      <c r="F216" s="820" t="s">
        <v>4777</v>
      </c>
      <c r="G216" s="820" t="s">
        <v>4778</v>
      </c>
      <c r="H216" s="831" t="s">
        <v>4779</v>
      </c>
      <c r="I216" s="831" t="s">
        <v>4780</v>
      </c>
      <c r="J216" s="822">
        <v>1.2</v>
      </c>
      <c r="K216" s="824" t="s">
        <v>301</v>
      </c>
      <c r="L216" s="824" t="s">
        <v>301</v>
      </c>
      <c r="M216" s="824" t="s">
        <v>271</v>
      </c>
      <c r="N216" s="324">
        <v>1.5147</v>
      </c>
      <c r="O216" s="866" t="s">
        <v>3222</v>
      </c>
    </row>
    <row r="217">
      <c r="A217" s="825">
        <v>212.0</v>
      </c>
      <c r="B217" s="826" t="s">
        <v>4781</v>
      </c>
      <c r="C217" s="828" t="s">
        <v>4782</v>
      </c>
      <c r="D217" s="827" t="s">
        <v>4783</v>
      </c>
      <c r="E217" s="827" t="s">
        <v>4784</v>
      </c>
      <c r="F217" s="827" t="s">
        <v>4785</v>
      </c>
      <c r="G217" s="827" t="s">
        <v>4786</v>
      </c>
      <c r="H217" s="827" t="s">
        <v>4787</v>
      </c>
      <c r="I217" s="827" t="s">
        <v>4788</v>
      </c>
      <c r="J217" s="829">
        <v>1.2</v>
      </c>
      <c r="K217" s="824" t="s">
        <v>301</v>
      </c>
      <c r="L217" s="824" t="s">
        <v>301</v>
      </c>
      <c r="M217" s="824" t="s">
        <v>271</v>
      </c>
      <c r="N217" s="324">
        <v>1.4339</v>
      </c>
      <c r="O217" s="866" t="s">
        <v>3222</v>
      </c>
    </row>
    <row r="218">
      <c r="A218" s="818">
        <v>213.0</v>
      </c>
      <c r="B218" s="819" t="s">
        <v>4789</v>
      </c>
      <c r="C218" s="821" t="s">
        <v>4790</v>
      </c>
      <c r="D218" s="820" t="s">
        <v>4791</v>
      </c>
      <c r="E218" s="820" t="s">
        <v>4792</v>
      </c>
      <c r="F218" s="820" t="s">
        <v>4793</v>
      </c>
      <c r="G218" s="820" t="s">
        <v>4794</v>
      </c>
      <c r="H218" s="820" t="s">
        <v>4795</v>
      </c>
      <c r="I218" s="820" t="s">
        <v>4796</v>
      </c>
      <c r="J218" s="822">
        <v>1.2</v>
      </c>
      <c r="K218" s="824" t="s">
        <v>301</v>
      </c>
      <c r="L218" s="824" t="s">
        <v>301</v>
      </c>
      <c r="M218" s="824" t="s">
        <v>271</v>
      </c>
      <c r="N218" s="324">
        <v>1.3094</v>
      </c>
      <c r="O218" s="866" t="s">
        <v>3222</v>
      </c>
    </row>
    <row r="219">
      <c r="A219" s="867">
        <v>214.0</v>
      </c>
      <c r="B219" s="826" t="s">
        <v>4797</v>
      </c>
      <c r="C219" s="828" t="s">
        <v>4798</v>
      </c>
      <c r="D219" s="826" t="s">
        <v>4799</v>
      </c>
      <c r="E219" s="826" t="s">
        <v>4800</v>
      </c>
      <c r="F219" s="826" t="s">
        <v>4801</v>
      </c>
      <c r="G219" s="826" t="s">
        <v>4802</v>
      </c>
      <c r="H219" s="826" t="s">
        <v>4803</v>
      </c>
      <c r="I219" s="853" t="s">
        <v>4804</v>
      </c>
      <c r="J219" s="874">
        <v>0.9954</v>
      </c>
      <c r="K219" s="824" t="s">
        <v>301</v>
      </c>
      <c r="L219" s="824" t="s">
        <v>301</v>
      </c>
      <c r="M219" s="824" t="s">
        <v>301</v>
      </c>
      <c r="N219" s="869">
        <v>0.9954</v>
      </c>
    </row>
    <row r="220">
      <c r="A220" s="818">
        <v>215.0</v>
      </c>
      <c r="B220" s="819" t="s">
        <v>4805</v>
      </c>
      <c r="C220" s="821" t="s">
        <v>4806</v>
      </c>
      <c r="D220" s="820" t="s">
        <v>4807</v>
      </c>
      <c r="E220" s="820" t="s">
        <v>4808</v>
      </c>
      <c r="F220" s="820" t="s">
        <v>4809</v>
      </c>
      <c r="G220" s="820" t="s">
        <v>4810</v>
      </c>
      <c r="H220" s="820" t="s">
        <v>4811</v>
      </c>
      <c r="I220" s="831" t="s">
        <v>4812</v>
      </c>
      <c r="J220" s="875">
        <v>1.0119</v>
      </c>
      <c r="K220" s="824" t="s">
        <v>301</v>
      </c>
      <c r="L220" s="824" t="s">
        <v>301</v>
      </c>
      <c r="M220" s="824" t="s">
        <v>301</v>
      </c>
      <c r="N220" s="871">
        <v>1.0119</v>
      </c>
    </row>
    <row r="221">
      <c r="A221" s="825">
        <v>216.0</v>
      </c>
      <c r="B221" s="826" t="s">
        <v>4813</v>
      </c>
      <c r="C221" s="853" t="s">
        <v>4814</v>
      </c>
      <c r="D221" s="827" t="s">
        <v>4815</v>
      </c>
      <c r="E221" s="827" t="s">
        <v>4816</v>
      </c>
      <c r="F221" s="827" t="s">
        <v>4817</v>
      </c>
      <c r="G221" s="827" t="s">
        <v>4818</v>
      </c>
      <c r="H221" s="829">
        <v>0.95</v>
      </c>
      <c r="I221" s="829">
        <v>1.0</v>
      </c>
      <c r="J221" s="876">
        <v>1.0526</v>
      </c>
      <c r="K221" s="824" t="s">
        <v>301</v>
      </c>
      <c r="L221" s="824" t="s">
        <v>301</v>
      </c>
      <c r="M221" s="824" t="s">
        <v>301</v>
      </c>
      <c r="N221" s="872">
        <v>1.0526</v>
      </c>
    </row>
    <row r="222">
      <c r="A222" s="818">
        <v>217.0</v>
      </c>
      <c r="B222" s="819" t="s">
        <v>4819</v>
      </c>
      <c r="C222" s="821" t="s">
        <v>4820</v>
      </c>
      <c r="D222" s="820" t="s">
        <v>4821</v>
      </c>
      <c r="E222" s="820" t="s">
        <v>4822</v>
      </c>
      <c r="F222" s="820" t="s">
        <v>4823</v>
      </c>
      <c r="G222" s="820" t="s">
        <v>4824</v>
      </c>
      <c r="H222" s="822">
        <v>0.01</v>
      </c>
      <c r="I222" s="822">
        <v>9.0E-4</v>
      </c>
      <c r="J222" s="822">
        <v>0.09</v>
      </c>
      <c r="K222" s="824" t="s">
        <v>301</v>
      </c>
      <c r="L222" s="824" t="s">
        <v>301</v>
      </c>
      <c r="M222" s="824" t="s">
        <v>301</v>
      </c>
      <c r="N222" s="871">
        <v>0.09</v>
      </c>
    </row>
    <row r="223">
      <c r="A223" s="867">
        <v>218.0</v>
      </c>
      <c r="B223" s="826" t="s">
        <v>4825</v>
      </c>
      <c r="C223" s="828" t="s">
        <v>4826</v>
      </c>
      <c r="D223" s="826" t="s">
        <v>4827</v>
      </c>
      <c r="E223" s="826" t="s">
        <v>4828</v>
      </c>
      <c r="F223" s="826" t="s">
        <v>4829</v>
      </c>
      <c r="G223" s="826" t="s">
        <v>4830</v>
      </c>
      <c r="H223" s="868">
        <v>0.01</v>
      </c>
      <c r="I223" s="868">
        <v>0.025</v>
      </c>
      <c r="J223" s="874">
        <v>1.2</v>
      </c>
      <c r="K223" s="824" t="s">
        <v>301</v>
      </c>
      <c r="L223" s="824" t="s">
        <v>301</v>
      </c>
      <c r="M223" s="824" t="s">
        <v>271</v>
      </c>
      <c r="N223" s="324">
        <v>2.5</v>
      </c>
      <c r="O223" s="866" t="s">
        <v>3222</v>
      </c>
    </row>
    <row r="224">
      <c r="A224" s="858"/>
      <c r="B224" s="62"/>
      <c r="C224" s="62"/>
      <c r="D224" s="62"/>
      <c r="E224" s="62"/>
      <c r="F224" s="62"/>
      <c r="G224" s="62"/>
      <c r="H224" s="63"/>
      <c r="I224" s="852" t="s">
        <v>4831</v>
      </c>
      <c r="J224" s="877">
        <f>AVERAGE(J87:J223)</f>
        <v>1.023689781</v>
      </c>
      <c r="K224" s="860" t="s">
        <v>4832</v>
      </c>
      <c r="L224" s="62"/>
      <c r="M224" s="63"/>
      <c r="N224" s="877">
        <v>1.0237</v>
      </c>
    </row>
    <row r="225">
      <c r="A225" s="878"/>
      <c r="B225" s="62"/>
      <c r="C225" s="62"/>
      <c r="D225" s="62"/>
      <c r="E225" s="62"/>
      <c r="F225" s="62"/>
      <c r="G225" s="62"/>
      <c r="H225" s="63"/>
      <c r="I225" s="853" t="s">
        <v>4833</v>
      </c>
      <c r="J225" s="879" t="str">
        <f>IF(J224&gt;=90%,"A",IF(J224&gt;=70%,"B",IF(J224&gt;=50%,"C",IF(J224&gt;=30%,"D","E"))))</f>
        <v>A</v>
      </c>
      <c r="K225" s="857" t="s">
        <v>4834</v>
      </c>
      <c r="L225" s="62"/>
      <c r="M225" s="63"/>
      <c r="N225" s="879" t="str">
        <f>IF(N224&gt;=90%,"A",IF(N224&gt;=70%,"B",IF(N224&gt;=50%,"C",IF(N224&gt;=30%,"D","E"))))</f>
        <v>A</v>
      </c>
    </row>
    <row r="226">
      <c r="N226" s="805"/>
    </row>
    <row r="227">
      <c r="N227" s="805"/>
    </row>
    <row r="228">
      <c r="N228" s="805"/>
    </row>
    <row r="229">
      <c r="N229" s="805"/>
    </row>
    <row r="230">
      <c r="N230" s="805"/>
    </row>
    <row r="231">
      <c r="N231" s="805"/>
    </row>
    <row r="232">
      <c r="N232" s="805"/>
    </row>
    <row r="233">
      <c r="N233" s="805"/>
    </row>
    <row r="234">
      <c r="N234" s="805"/>
    </row>
    <row r="235">
      <c r="N235" s="805"/>
    </row>
    <row r="236">
      <c r="N236" s="805"/>
    </row>
    <row r="237">
      <c r="N237" s="805"/>
    </row>
    <row r="238">
      <c r="N238" s="805"/>
    </row>
    <row r="239">
      <c r="N239" s="805"/>
    </row>
    <row r="240">
      <c r="N240" s="805"/>
    </row>
    <row r="241">
      <c r="N241" s="805"/>
    </row>
    <row r="242">
      <c r="N242" s="805"/>
    </row>
    <row r="243">
      <c r="N243" s="805"/>
    </row>
    <row r="244">
      <c r="N244" s="805"/>
    </row>
    <row r="245">
      <c r="N245" s="805"/>
    </row>
    <row r="246">
      <c r="N246" s="805"/>
    </row>
    <row r="247">
      <c r="N247" s="805"/>
    </row>
    <row r="248">
      <c r="N248" s="805"/>
    </row>
    <row r="249">
      <c r="N249" s="805"/>
    </row>
    <row r="250">
      <c r="N250" s="805"/>
    </row>
    <row r="251">
      <c r="N251" s="805"/>
    </row>
    <row r="252">
      <c r="N252" s="805"/>
    </row>
    <row r="253">
      <c r="N253" s="805"/>
    </row>
    <row r="254">
      <c r="N254" s="805"/>
    </row>
    <row r="255">
      <c r="N255" s="805"/>
    </row>
    <row r="256">
      <c r="N256" s="805"/>
    </row>
    <row r="257">
      <c r="N257" s="805"/>
    </row>
    <row r="258">
      <c r="N258" s="805"/>
    </row>
    <row r="259">
      <c r="N259" s="805"/>
    </row>
    <row r="260">
      <c r="N260" s="805"/>
    </row>
    <row r="261">
      <c r="N261" s="805"/>
    </row>
    <row r="262">
      <c r="N262" s="805"/>
    </row>
    <row r="263">
      <c r="N263" s="805"/>
    </row>
    <row r="264">
      <c r="N264" s="805"/>
    </row>
    <row r="265">
      <c r="N265" s="805"/>
    </row>
    <row r="266">
      <c r="N266" s="805"/>
    </row>
    <row r="267">
      <c r="N267" s="805"/>
    </row>
    <row r="268">
      <c r="N268" s="805"/>
    </row>
    <row r="269">
      <c r="N269" s="805"/>
    </row>
    <row r="270">
      <c r="N270" s="805"/>
    </row>
    <row r="271">
      <c r="N271" s="805"/>
    </row>
    <row r="272">
      <c r="N272" s="805"/>
    </row>
    <row r="273">
      <c r="N273" s="805"/>
    </row>
    <row r="274">
      <c r="N274" s="805"/>
    </row>
    <row r="275">
      <c r="N275" s="805"/>
    </row>
    <row r="276">
      <c r="N276" s="805"/>
    </row>
    <row r="277">
      <c r="N277" s="805"/>
    </row>
    <row r="278">
      <c r="N278" s="805"/>
    </row>
    <row r="279">
      <c r="N279" s="805"/>
    </row>
    <row r="280">
      <c r="N280" s="805"/>
    </row>
    <row r="281">
      <c r="N281" s="805"/>
    </row>
    <row r="282">
      <c r="N282" s="805"/>
    </row>
    <row r="283">
      <c r="N283" s="805"/>
    </row>
    <row r="284">
      <c r="N284" s="805"/>
    </row>
    <row r="285">
      <c r="N285" s="805"/>
    </row>
    <row r="286">
      <c r="N286" s="805"/>
    </row>
    <row r="287">
      <c r="N287" s="805"/>
    </row>
    <row r="288">
      <c r="N288" s="805"/>
    </row>
    <row r="289">
      <c r="N289" s="805"/>
    </row>
    <row r="290">
      <c r="N290" s="805"/>
    </row>
    <row r="291">
      <c r="N291" s="805"/>
    </row>
    <row r="292">
      <c r="N292" s="805"/>
    </row>
    <row r="293">
      <c r="N293" s="805"/>
    </row>
    <row r="294">
      <c r="N294" s="805"/>
    </row>
    <row r="295">
      <c r="N295" s="805"/>
    </row>
    <row r="296">
      <c r="N296" s="805"/>
    </row>
    <row r="297">
      <c r="N297" s="805"/>
    </row>
    <row r="298">
      <c r="N298" s="805"/>
    </row>
    <row r="299">
      <c r="N299" s="805"/>
    </row>
    <row r="300">
      <c r="N300" s="805"/>
    </row>
    <row r="301">
      <c r="N301" s="805"/>
    </row>
    <row r="302">
      <c r="N302" s="805"/>
    </row>
    <row r="303">
      <c r="N303" s="805"/>
    </row>
    <row r="304">
      <c r="N304" s="805"/>
    </row>
    <row r="305">
      <c r="N305" s="805"/>
    </row>
    <row r="306">
      <c r="N306" s="805"/>
    </row>
    <row r="307">
      <c r="N307" s="805"/>
    </row>
    <row r="308">
      <c r="N308" s="805"/>
    </row>
    <row r="309">
      <c r="N309" s="805"/>
    </row>
    <row r="310">
      <c r="N310" s="805"/>
    </row>
    <row r="311">
      <c r="N311" s="805"/>
    </row>
    <row r="312">
      <c r="N312" s="805"/>
    </row>
    <row r="313">
      <c r="N313" s="805"/>
    </row>
    <row r="314">
      <c r="N314" s="805"/>
    </row>
    <row r="315">
      <c r="N315" s="805"/>
    </row>
    <row r="316">
      <c r="N316" s="805"/>
    </row>
    <row r="317">
      <c r="N317" s="805"/>
    </row>
    <row r="318">
      <c r="N318" s="805"/>
    </row>
    <row r="319">
      <c r="N319" s="805"/>
    </row>
    <row r="320">
      <c r="N320" s="805"/>
    </row>
    <row r="321">
      <c r="N321" s="805"/>
    </row>
    <row r="322">
      <c r="N322" s="805"/>
    </row>
    <row r="323">
      <c r="N323" s="805"/>
    </row>
    <row r="324">
      <c r="N324" s="805"/>
    </row>
    <row r="325">
      <c r="N325" s="805"/>
    </row>
    <row r="326">
      <c r="N326" s="805"/>
    </row>
    <row r="327">
      <c r="N327" s="805"/>
    </row>
    <row r="328">
      <c r="N328" s="805"/>
    </row>
    <row r="329">
      <c r="N329" s="805"/>
    </row>
    <row r="330">
      <c r="N330" s="805"/>
    </row>
    <row r="331">
      <c r="N331" s="805"/>
    </row>
    <row r="332">
      <c r="N332" s="805"/>
    </row>
    <row r="333">
      <c r="N333" s="805"/>
    </row>
    <row r="334">
      <c r="N334" s="805"/>
    </row>
    <row r="335">
      <c r="N335" s="805"/>
    </row>
    <row r="336">
      <c r="N336" s="805"/>
    </row>
    <row r="337">
      <c r="N337" s="805"/>
    </row>
    <row r="338">
      <c r="N338" s="805"/>
    </row>
    <row r="339">
      <c r="N339" s="805"/>
    </row>
    <row r="340">
      <c r="N340" s="805"/>
    </row>
    <row r="341">
      <c r="N341" s="805"/>
    </row>
    <row r="342">
      <c r="N342" s="805"/>
    </row>
    <row r="343">
      <c r="N343" s="805"/>
    </row>
    <row r="344">
      <c r="N344" s="805"/>
    </row>
    <row r="345">
      <c r="N345" s="805"/>
    </row>
    <row r="346">
      <c r="N346" s="805"/>
    </row>
    <row r="347">
      <c r="N347" s="805"/>
    </row>
    <row r="348">
      <c r="N348" s="805"/>
    </row>
    <row r="349">
      <c r="N349" s="805"/>
    </row>
    <row r="350">
      <c r="N350" s="805"/>
    </row>
    <row r="351">
      <c r="N351" s="805"/>
    </row>
    <row r="352">
      <c r="N352" s="805"/>
    </row>
    <row r="353">
      <c r="N353" s="805"/>
    </row>
    <row r="354">
      <c r="N354" s="805"/>
    </row>
    <row r="355">
      <c r="N355" s="805"/>
    </row>
    <row r="356">
      <c r="N356" s="805"/>
    </row>
    <row r="357">
      <c r="N357" s="805"/>
    </row>
    <row r="358">
      <c r="N358" s="805"/>
    </row>
    <row r="359">
      <c r="N359" s="805"/>
    </row>
    <row r="360">
      <c r="N360" s="805"/>
    </row>
    <row r="361">
      <c r="N361" s="805"/>
    </row>
    <row r="362">
      <c r="N362" s="805"/>
    </row>
    <row r="363">
      <c r="N363" s="805"/>
    </row>
    <row r="364">
      <c r="N364" s="805"/>
    </row>
    <row r="365">
      <c r="N365" s="805"/>
    </row>
    <row r="366">
      <c r="N366" s="805"/>
    </row>
    <row r="367">
      <c r="N367" s="805"/>
    </row>
    <row r="368">
      <c r="N368" s="805"/>
    </row>
    <row r="369">
      <c r="N369" s="805"/>
    </row>
    <row r="370">
      <c r="N370" s="805"/>
    </row>
    <row r="371">
      <c r="N371" s="805"/>
    </row>
    <row r="372">
      <c r="N372" s="805"/>
    </row>
    <row r="373">
      <c r="N373" s="805"/>
    </row>
    <row r="374">
      <c r="N374" s="805"/>
    </row>
    <row r="375">
      <c r="N375" s="805"/>
    </row>
    <row r="376">
      <c r="N376" s="805"/>
    </row>
    <row r="377">
      <c r="N377" s="805"/>
    </row>
    <row r="378">
      <c r="N378" s="805"/>
    </row>
    <row r="379">
      <c r="N379" s="805"/>
    </row>
    <row r="380">
      <c r="N380" s="805"/>
    </row>
    <row r="381">
      <c r="N381" s="805"/>
    </row>
    <row r="382">
      <c r="N382" s="805"/>
    </row>
    <row r="383">
      <c r="N383" s="805"/>
    </row>
    <row r="384">
      <c r="N384" s="805"/>
    </row>
    <row r="385">
      <c r="N385" s="805"/>
    </row>
    <row r="386">
      <c r="N386" s="805"/>
    </row>
    <row r="387">
      <c r="N387" s="805"/>
    </row>
    <row r="388">
      <c r="N388" s="805"/>
    </row>
    <row r="389">
      <c r="N389" s="805"/>
    </row>
    <row r="390">
      <c r="N390" s="805"/>
    </row>
    <row r="391">
      <c r="N391" s="805"/>
    </row>
    <row r="392">
      <c r="N392" s="805"/>
    </row>
    <row r="393">
      <c r="N393" s="805"/>
    </row>
    <row r="394">
      <c r="N394" s="805"/>
    </row>
    <row r="395">
      <c r="N395" s="805"/>
    </row>
    <row r="396">
      <c r="N396" s="805"/>
    </row>
    <row r="397">
      <c r="N397" s="805"/>
    </row>
    <row r="398">
      <c r="N398" s="805"/>
    </row>
    <row r="399">
      <c r="N399" s="805"/>
    </row>
    <row r="400">
      <c r="N400" s="805"/>
    </row>
    <row r="401">
      <c r="N401" s="805"/>
    </row>
    <row r="402">
      <c r="N402" s="805"/>
    </row>
    <row r="403">
      <c r="N403" s="805"/>
    </row>
    <row r="404">
      <c r="N404" s="805"/>
    </row>
    <row r="405">
      <c r="N405" s="805"/>
    </row>
    <row r="406">
      <c r="N406" s="805"/>
    </row>
    <row r="407">
      <c r="N407" s="805"/>
    </row>
    <row r="408">
      <c r="N408" s="805"/>
    </row>
    <row r="409">
      <c r="N409" s="805"/>
    </row>
    <row r="410">
      <c r="N410" s="805"/>
    </row>
    <row r="411">
      <c r="N411" s="805"/>
    </row>
    <row r="412">
      <c r="N412" s="805"/>
    </row>
    <row r="413">
      <c r="N413" s="805"/>
    </row>
    <row r="414">
      <c r="N414" s="805"/>
    </row>
    <row r="415">
      <c r="N415" s="805"/>
    </row>
    <row r="416">
      <c r="N416" s="805"/>
    </row>
    <row r="417">
      <c r="N417" s="805"/>
    </row>
    <row r="418">
      <c r="N418" s="805"/>
    </row>
    <row r="419">
      <c r="N419" s="805"/>
    </row>
    <row r="420">
      <c r="N420" s="805"/>
    </row>
    <row r="421">
      <c r="N421" s="805"/>
    </row>
    <row r="422">
      <c r="N422" s="805"/>
    </row>
    <row r="423">
      <c r="N423" s="805"/>
    </row>
    <row r="424">
      <c r="N424" s="805"/>
    </row>
    <row r="425">
      <c r="N425" s="805"/>
    </row>
    <row r="426">
      <c r="N426" s="805"/>
    </row>
    <row r="427">
      <c r="N427" s="805"/>
    </row>
    <row r="428">
      <c r="N428" s="805"/>
    </row>
    <row r="429">
      <c r="N429" s="805"/>
    </row>
    <row r="430">
      <c r="N430" s="805"/>
    </row>
    <row r="431">
      <c r="N431" s="805"/>
    </row>
    <row r="432">
      <c r="N432" s="805"/>
    </row>
    <row r="433">
      <c r="N433" s="805"/>
    </row>
    <row r="434">
      <c r="N434" s="805"/>
    </row>
    <row r="435">
      <c r="N435" s="805"/>
    </row>
    <row r="436">
      <c r="N436" s="805"/>
    </row>
    <row r="437">
      <c r="N437" s="805"/>
    </row>
    <row r="438">
      <c r="N438" s="805"/>
    </row>
    <row r="439">
      <c r="N439" s="805"/>
    </row>
    <row r="440">
      <c r="N440" s="805"/>
    </row>
    <row r="441">
      <c r="N441" s="805"/>
    </row>
    <row r="442">
      <c r="N442" s="805"/>
    </row>
    <row r="443">
      <c r="N443" s="805"/>
    </row>
    <row r="444">
      <c r="N444" s="805"/>
    </row>
    <row r="445">
      <c r="N445" s="805"/>
    </row>
    <row r="446">
      <c r="N446" s="805"/>
    </row>
    <row r="447">
      <c r="N447" s="805"/>
    </row>
    <row r="448">
      <c r="N448" s="805"/>
    </row>
    <row r="449">
      <c r="N449" s="805"/>
    </row>
    <row r="450">
      <c r="N450" s="805"/>
    </row>
    <row r="451">
      <c r="N451" s="805"/>
    </row>
    <row r="452">
      <c r="N452" s="805"/>
    </row>
    <row r="453">
      <c r="N453" s="805"/>
    </row>
    <row r="454">
      <c r="N454" s="805"/>
    </row>
    <row r="455">
      <c r="N455" s="805"/>
    </row>
    <row r="456">
      <c r="N456" s="805"/>
    </row>
    <row r="457">
      <c r="N457" s="805"/>
    </row>
    <row r="458">
      <c r="N458" s="805"/>
    </row>
    <row r="459">
      <c r="N459" s="805"/>
    </row>
    <row r="460">
      <c r="N460" s="805"/>
    </row>
    <row r="461">
      <c r="N461" s="805"/>
    </row>
    <row r="462">
      <c r="N462" s="805"/>
    </row>
    <row r="463">
      <c r="N463" s="805"/>
    </row>
    <row r="464">
      <c r="N464" s="805"/>
    </row>
    <row r="465">
      <c r="N465" s="805"/>
    </row>
    <row r="466">
      <c r="N466" s="805"/>
    </row>
    <row r="467">
      <c r="N467" s="805"/>
    </row>
    <row r="468">
      <c r="N468" s="805"/>
    </row>
    <row r="469">
      <c r="N469" s="805"/>
    </row>
    <row r="470">
      <c r="N470" s="805"/>
    </row>
    <row r="471">
      <c r="N471" s="805"/>
    </row>
    <row r="472">
      <c r="N472" s="805"/>
    </row>
    <row r="473">
      <c r="N473" s="805"/>
    </row>
    <row r="474">
      <c r="N474" s="805"/>
    </row>
    <row r="475">
      <c r="N475" s="805"/>
    </row>
    <row r="476">
      <c r="N476" s="805"/>
    </row>
    <row r="477">
      <c r="N477" s="805"/>
    </row>
    <row r="478">
      <c r="N478" s="805"/>
    </row>
    <row r="479">
      <c r="N479" s="805"/>
    </row>
    <row r="480">
      <c r="N480" s="805"/>
    </row>
    <row r="481">
      <c r="N481" s="805"/>
    </row>
    <row r="482">
      <c r="N482" s="805"/>
    </row>
    <row r="483">
      <c r="N483" s="805"/>
    </row>
    <row r="484">
      <c r="N484" s="805"/>
    </row>
    <row r="485">
      <c r="N485" s="805"/>
    </row>
    <row r="486">
      <c r="N486" s="805"/>
    </row>
    <row r="487">
      <c r="N487" s="805"/>
    </row>
    <row r="488">
      <c r="N488" s="805"/>
    </row>
    <row r="489">
      <c r="N489" s="805"/>
    </row>
    <row r="490">
      <c r="N490" s="805"/>
    </row>
    <row r="491">
      <c r="N491" s="805"/>
    </row>
    <row r="492">
      <c r="N492" s="805"/>
    </row>
    <row r="493">
      <c r="N493" s="805"/>
    </row>
    <row r="494">
      <c r="N494" s="805"/>
    </row>
    <row r="495">
      <c r="N495" s="805"/>
    </row>
    <row r="496">
      <c r="N496" s="805"/>
    </row>
    <row r="497">
      <c r="N497" s="805"/>
    </row>
    <row r="498">
      <c r="N498" s="805"/>
    </row>
    <row r="499">
      <c r="N499" s="805"/>
    </row>
    <row r="500">
      <c r="N500" s="805"/>
    </row>
    <row r="501">
      <c r="N501" s="805"/>
    </row>
    <row r="502">
      <c r="N502" s="805"/>
    </row>
    <row r="503">
      <c r="N503" s="805"/>
    </row>
    <row r="504">
      <c r="N504" s="805"/>
    </row>
    <row r="505">
      <c r="N505" s="805"/>
    </row>
    <row r="506">
      <c r="N506" s="805"/>
    </row>
    <row r="507">
      <c r="N507" s="805"/>
    </row>
    <row r="508">
      <c r="N508" s="805"/>
    </row>
    <row r="509">
      <c r="N509" s="805"/>
    </row>
    <row r="510">
      <c r="N510" s="805"/>
    </row>
    <row r="511">
      <c r="N511" s="805"/>
    </row>
    <row r="512">
      <c r="N512" s="805"/>
    </row>
    <row r="513">
      <c r="N513" s="805"/>
    </row>
    <row r="514">
      <c r="N514" s="805"/>
    </row>
    <row r="515">
      <c r="N515" s="805"/>
    </row>
    <row r="516">
      <c r="N516" s="805"/>
    </row>
    <row r="517">
      <c r="N517" s="805"/>
    </row>
    <row r="518">
      <c r="N518" s="805"/>
    </row>
    <row r="519">
      <c r="N519" s="805"/>
    </row>
    <row r="520">
      <c r="N520" s="805"/>
    </row>
    <row r="521">
      <c r="N521" s="805"/>
    </row>
    <row r="522">
      <c r="N522" s="805"/>
    </row>
    <row r="523">
      <c r="N523" s="805"/>
    </row>
    <row r="524">
      <c r="N524" s="805"/>
    </row>
    <row r="525">
      <c r="N525" s="805"/>
    </row>
    <row r="526">
      <c r="N526" s="805"/>
    </row>
    <row r="527">
      <c r="N527" s="805"/>
    </row>
    <row r="528">
      <c r="N528" s="805"/>
    </row>
    <row r="529">
      <c r="N529" s="805"/>
    </row>
    <row r="530">
      <c r="N530" s="805"/>
    </row>
    <row r="531">
      <c r="N531" s="805"/>
    </row>
    <row r="532">
      <c r="N532" s="805"/>
    </row>
    <row r="533">
      <c r="N533" s="805"/>
    </row>
    <row r="534">
      <c r="N534" s="805"/>
    </row>
    <row r="535">
      <c r="N535" s="805"/>
    </row>
    <row r="536">
      <c r="N536" s="805"/>
    </row>
    <row r="537">
      <c r="N537" s="805"/>
    </row>
    <row r="538">
      <c r="N538" s="805"/>
    </row>
    <row r="539">
      <c r="N539" s="805"/>
    </row>
    <row r="540">
      <c r="N540" s="805"/>
    </row>
    <row r="541">
      <c r="N541" s="805"/>
    </row>
    <row r="542">
      <c r="N542" s="805"/>
    </row>
    <row r="543">
      <c r="N543" s="805"/>
    </row>
    <row r="544">
      <c r="N544" s="805"/>
    </row>
    <row r="545">
      <c r="N545" s="805"/>
    </row>
    <row r="546">
      <c r="N546" s="805"/>
    </row>
    <row r="547">
      <c r="N547" s="805"/>
    </row>
    <row r="548">
      <c r="N548" s="805"/>
    </row>
    <row r="549">
      <c r="N549" s="805"/>
    </row>
    <row r="550">
      <c r="N550" s="805"/>
    </row>
    <row r="551">
      <c r="N551" s="805"/>
    </row>
    <row r="552">
      <c r="N552" s="805"/>
    </row>
    <row r="553">
      <c r="N553" s="805"/>
    </row>
    <row r="554">
      <c r="N554" s="805"/>
    </row>
    <row r="555">
      <c r="N555" s="805"/>
    </row>
    <row r="556">
      <c r="N556" s="805"/>
    </row>
    <row r="557">
      <c r="N557" s="805"/>
    </row>
    <row r="558">
      <c r="N558" s="805"/>
    </row>
    <row r="559">
      <c r="N559" s="805"/>
    </row>
    <row r="560">
      <c r="N560" s="805"/>
    </row>
    <row r="561">
      <c r="N561" s="805"/>
    </row>
    <row r="562">
      <c r="N562" s="805"/>
    </row>
    <row r="563">
      <c r="N563" s="805"/>
    </row>
    <row r="564">
      <c r="N564" s="805"/>
    </row>
    <row r="565">
      <c r="N565" s="805"/>
    </row>
    <row r="566">
      <c r="N566" s="805"/>
    </row>
    <row r="567">
      <c r="N567" s="805"/>
    </row>
    <row r="568">
      <c r="N568" s="805"/>
    </row>
    <row r="569">
      <c r="N569" s="805"/>
    </row>
    <row r="570">
      <c r="N570" s="805"/>
    </row>
    <row r="571">
      <c r="N571" s="805"/>
    </row>
    <row r="572">
      <c r="N572" s="805"/>
    </row>
    <row r="573">
      <c r="N573" s="805"/>
    </row>
    <row r="574">
      <c r="N574" s="805"/>
    </row>
    <row r="575">
      <c r="N575" s="805"/>
    </row>
    <row r="576">
      <c r="N576" s="805"/>
    </row>
    <row r="577">
      <c r="N577" s="805"/>
    </row>
    <row r="578">
      <c r="N578" s="805"/>
    </row>
    <row r="579">
      <c r="N579" s="805"/>
    </row>
    <row r="580">
      <c r="N580" s="805"/>
    </row>
    <row r="581">
      <c r="N581" s="805"/>
    </row>
    <row r="582">
      <c r="N582" s="805"/>
    </row>
    <row r="583">
      <c r="N583" s="805"/>
    </row>
    <row r="584">
      <c r="N584" s="805"/>
    </row>
    <row r="585">
      <c r="N585" s="805"/>
    </row>
    <row r="586">
      <c r="N586" s="805"/>
    </row>
    <row r="587">
      <c r="N587" s="805"/>
    </row>
    <row r="588">
      <c r="N588" s="805"/>
    </row>
    <row r="589">
      <c r="N589" s="805"/>
    </row>
    <row r="590">
      <c r="N590" s="805"/>
    </row>
    <row r="591">
      <c r="N591" s="805"/>
    </row>
    <row r="592">
      <c r="N592" s="805"/>
    </row>
    <row r="593">
      <c r="N593" s="805"/>
    </row>
    <row r="594">
      <c r="N594" s="805"/>
    </row>
    <row r="595">
      <c r="N595" s="805"/>
    </row>
    <row r="596">
      <c r="N596" s="805"/>
    </row>
    <row r="597">
      <c r="N597" s="805"/>
    </row>
    <row r="598">
      <c r="N598" s="805"/>
    </row>
    <row r="599">
      <c r="N599" s="805"/>
    </row>
    <row r="600">
      <c r="N600" s="805"/>
    </row>
    <row r="601">
      <c r="N601" s="805"/>
    </row>
    <row r="602">
      <c r="N602" s="805"/>
    </row>
    <row r="603">
      <c r="N603" s="805"/>
    </row>
    <row r="604">
      <c r="N604" s="805"/>
    </row>
    <row r="605">
      <c r="N605" s="805"/>
    </row>
    <row r="606">
      <c r="N606" s="805"/>
    </row>
    <row r="607">
      <c r="N607" s="805"/>
    </row>
    <row r="608">
      <c r="N608" s="805"/>
    </row>
    <row r="609">
      <c r="N609" s="805"/>
    </row>
    <row r="610">
      <c r="N610" s="805"/>
    </row>
    <row r="611">
      <c r="N611" s="805"/>
    </row>
    <row r="612">
      <c r="N612" s="805"/>
    </row>
    <row r="613">
      <c r="N613" s="805"/>
    </row>
    <row r="614">
      <c r="N614" s="805"/>
    </row>
    <row r="615">
      <c r="N615" s="805"/>
    </row>
    <row r="616">
      <c r="N616" s="805"/>
    </row>
    <row r="617">
      <c r="N617" s="805"/>
    </row>
    <row r="618">
      <c r="N618" s="805"/>
    </row>
    <row r="619">
      <c r="N619" s="805"/>
    </row>
    <row r="620">
      <c r="N620" s="805"/>
    </row>
    <row r="621">
      <c r="N621" s="805"/>
    </row>
    <row r="622">
      <c r="N622" s="805"/>
    </row>
    <row r="623">
      <c r="N623" s="805"/>
    </row>
    <row r="624">
      <c r="N624" s="805"/>
    </row>
    <row r="625">
      <c r="N625" s="805"/>
    </row>
    <row r="626">
      <c r="N626" s="805"/>
    </row>
    <row r="627">
      <c r="N627" s="805"/>
    </row>
    <row r="628">
      <c r="N628" s="805"/>
    </row>
    <row r="629">
      <c r="N629" s="805"/>
    </row>
    <row r="630">
      <c r="N630" s="805"/>
    </row>
    <row r="631">
      <c r="N631" s="805"/>
    </row>
    <row r="632">
      <c r="N632" s="805"/>
    </row>
    <row r="633">
      <c r="N633" s="805"/>
    </row>
    <row r="634">
      <c r="N634" s="805"/>
    </row>
    <row r="635">
      <c r="N635" s="805"/>
    </row>
    <row r="636">
      <c r="N636" s="805"/>
    </row>
    <row r="637">
      <c r="N637" s="805"/>
    </row>
    <row r="638">
      <c r="N638" s="805"/>
    </row>
    <row r="639">
      <c r="N639" s="805"/>
    </row>
    <row r="640">
      <c r="N640" s="805"/>
    </row>
    <row r="641">
      <c r="N641" s="805"/>
    </row>
    <row r="642">
      <c r="N642" s="805"/>
    </row>
    <row r="643">
      <c r="N643" s="805"/>
    </row>
    <row r="644">
      <c r="N644" s="805"/>
    </row>
    <row r="645">
      <c r="N645" s="805"/>
    </row>
    <row r="646">
      <c r="N646" s="805"/>
    </row>
    <row r="647">
      <c r="N647" s="805"/>
    </row>
    <row r="648">
      <c r="N648" s="805"/>
    </row>
    <row r="649">
      <c r="N649" s="805"/>
    </row>
    <row r="650">
      <c r="N650" s="805"/>
    </row>
    <row r="651">
      <c r="N651" s="805"/>
    </row>
    <row r="652">
      <c r="N652" s="805"/>
    </row>
    <row r="653">
      <c r="N653" s="805"/>
    </row>
    <row r="654">
      <c r="N654" s="805"/>
    </row>
    <row r="655">
      <c r="N655" s="805"/>
    </row>
    <row r="656">
      <c r="N656" s="805"/>
    </row>
    <row r="657">
      <c r="N657" s="805"/>
    </row>
    <row r="658">
      <c r="N658" s="805"/>
    </row>
    <row r="659">
      <c r="N659" s="805"/>
    </row>
    <row r="660">
      <c r="N660" s="805"/>
    </row>
    <row r="661">
      <c r="N661" s="805"/>
    </row>
    <row r="662">
      <c r="N662" s="805"/>
    </row>
    <row r="663">
      <c r="N663" s="805"/>
    </row>
    <row r="664">
      <c r="N664" s="805"/>
    </row>
    <row r="665">
      <c r="N665" s="805"/>
    </row>
    <row r="666">
      <c r="N666" s="805"/>
    </row>
    <row r="667">
      <c r="N667" s="805"/>
    </row>
    <row r="668">
      <c r="N668" s="805"/>
    </row>
    <row r="669">
      <c r="N669" s="805"/>
    </row>
    <row r="670">
      <c r="N670" s="805"/>
    </row>
    <row r="671">
      <c r="N671" s="805"/>
    </row>
    <row r="672">
      <c r="N672" s="805"/>
    </row>
    <row r="673">
      <c r="N673" s="805"/>
    </row>
    <row r="674">
      <c r="N674" s="805"/>
    </row>
    <row r="675">
      <c r="N675" s="805"/>
    </row>
    <row r="676">
      <c r="N676" s="805"/>
    </row>
    <row r="677">
      <c r="N677" s="805"/>
    </row>
    <row r="678">
      <c r="N678" s="805"/>
    </row>
    <row r="679">
      <c r="N679" s="805"/>
    </row>
    <row r="680">
      <c r="N680" s="805"/>
    </row>
    <row r="681">
      <c r="N681" s="805"/>
    </row>
    <row r="682">
      <c r="N682" s="805"/>
    </row>
    <row r="683">
      <c r="N683" s="805"/>
    </row>
    <row r="684">
      <c r="N684" s="805"/>
    </row>
    <row r="685">
      <c r="N685" s="805"/>
    </row>
    <row r="686">
      <c r="N686" s="805"/>
    </row>
    <row r="687">
      <c r="N687" s="805"/>
    </row>
    <row r="688">
      <c r="N688" s="805"/>
    </row>
    <row r="689">
      <c r="N689" s="805"/>
    </row>
    <row r="690">
      <c r="N690" s="805"/>
    </row>
    <row r="691">
      <c r="N691" s="805"/>
    </row>
    <row r="692">
      <c r="N692" s="805"/>
    </row>
    <row r="693">
      <c r="N693" s="805"/>
    </row>
    <row r="694">
      <c r="N694" s="805"/>
    </row>
    <row r="695">
      <c r="N695" s="805"/>
    </row>
    <row r="696">
      <c r="N696" s="805"/>
    </row>
    <row r="697">
      <c r="N697" s="805"/>
    </row>
    <row r="698">
      <c r="N698" s="805"/>
    </row>
    <row r="699">
      <c r="N699" s="805"/>
    </row>
    <row r="700">
      <c r="N700" s="805"/>
    </row>
    <row r="701">
      <c r="N701" s="805"/>
    </row>
    <row r="702">
      <c r="N702" s="805"/>
    </row>
    <row r="703">
      <c r="N703" s="805"/>
    </row>
    <row r="704">
      <c r="N704" s="805"/>
    </row>
    <row r="705">
      <c r="N705" s="805"/>
    </row>
    <row r="706">
      <c r="N706" s="805"/>
    </row>
    <row r="707">
      <c r="N707" s="805"/>
    </row>
    <row r="708">
      <c r="N708" s="805"/>
    </row>
    <row r="709">
      <c r="N709" s="805"/>
    </row>
    <row r="710">
      <c r="N710" s="805"/>
    </row>
    <row r="711">
      <c r="N711" s="805"/>
    </row>
    <row r="712">
      <c r="N712" s="805"/>
    </row>
    <row r="713">
      <c r="N713" s="805"/>
    </row>
    <row r="714">
      <c r="N714" s="805"/>
    </row>
    <row r="715">
      <c r="N715" s="805"/>
    </row>
    <row r="716">
      <c r="N716" s="805"/>
    </row>
    <row r="717">
      <c r="N717" s="805"/>
    </row>
    <row r="718">
      <c r="N718" s="805"/>
    </row>
    <row r="719">
      <c r="N719" s="805"/>
    </row>
    <row r="720">
      <c r="N720" s="805"/>
    </row>
    <row r="721">
      <c r="N721" s="805"/>
    </row>
    <row r="722">
      <c r="N722" s="805"/>
    </row>
    <row r="723">
      <c r="N723" s="805"/>
    </row>
    <row r="724">
      <c r="N724" s="805"/>
    </row>
    <row r="725">
      <c r="N725" s="805"/>
    </row>
    <row r="726">
      <c r="N726" s="805"/>
    </row>
    <row r="727">
      <c r="N727" s="805"/>
    </row>
    <row r="728">
      <c r="N728" s="805"/>
    </row>
    <row r="729">
      <c r="N729" s="805"/>
    </row>
    <row r="730">
      <c r="N730" s="805"/>
    </row>
    <row r="731">
      <c r="N731" s="805"/>
    </row>
    <row r="732">
      <c r="N732" s="805"/>
    </row>
    <row r="733">
      <c r="N733" s="805"/>
    </row>
    <row r="734">
      <c r="N734" s="805"/>
    </row>
    <row r="735">
      <c r="N735" s="805"/>
    </row>
    <row r="736">
      <c r="N736" s="805"/>
    </row>
    <row r="737">
      <c r="N737" s="805"/>
    </row>
    <row r="738">
      <c r="N738" s="805"/>
    </row>
    <row r="739">
      <c r="N739" s="805"/>
    </row>
    <row r="740">
      <c r="N740" s="805"/>
    </row>
    <row r="741">
      <c r="N741" s="805"/>
    </row>
    <row r="742">
      <c r="N742" s="805"/>
    </row>
    <row r="743">
      <c r="N743" s="805"/>
    </row>
    <row r="744">
      <c r="N744" s="805"/>
    </row>
    <row r="745">
      <c r="N745" s="805"/>
    </row>
    <row r="746">
      <c r="N746" s="805"/>
    </row>
    <row r="747">
      <c r="N747" s="805"/>
    </row>
    <row r="748">
      <c r="N748" s="805"/>
    </row>
    <row r="749">
      <c r="N749" s="805"/>
    </row>
    <row r="750">
      <c r="N750" s="805"/>
    </row>
    <row r="751">
      <c r="N751" s="805"/>
    </row>
    <row r="752">
      <c r="N752" s="805"/>
    </row>
    <row r="753">
      <c r="N753" s="805"/>
    </row>
    <row r="754">
      <c r="N754" s="805"/>
    </row>
    <row r="755">
      <c r="N755" s="805"/>
    </row>
    <row r="756">
      <c r="N756" s="805"/>
    </row>
    <row r="757">
      <c r="N757" s="805"/>
    </row>
    <row r="758">
      <c r="N758" s="805"/>
    </row>
    <row r="759">
      <c r="N759" s="805"/>
    </row>
    <row r="760">
      <c r="N760" s="805"/>
    </row>
    <row r="761">
      <c r="N761" s="805"/>
    </row>
    <row r="762">
      <c r="N762" s="805"/>
    </row>
    <row r="763">
      <c r="N763" s="805"/>
    </row>
    <row r="764">
      <c r="N764" s="805"/>
    </row>
    <row r="765">
      <c r="N765" s="805"/>
    </row>
    <row r="766">
      <c r="N766" s="805"/>
    </row>
    <row r="767">
      <c r="N767" s="805"/>
    </row>
    <row r="768">
      <c r="N768" s="805"/>
    </row>
    <row r="769">
      <c r="N769" s="805"/>
    </row>
    <row r="770">
      <c r="N770" s="805"/>
    </row>
    <row r="771">
      <c r="N771" s="805"/>
    </row>
    <row r="772">
      <c r="N772" s="805"/>
    </row>
    <row r="773">
      <c r="N773" s="805"/>
    </row>
    <row r="774">
      <c r="N774" s="805"/>
    </row>
    <row r="775">
      <c r="N775" s="805"/>
    </row>
    <row r="776">
      <c r="N776" s="805"/>
    </row>
    <row r="777">
      <c r="N777" s="805"/>
    </row>
    <row r="778">
      <c r="N778" s="805"/>
    </row>
    <row r="779">
      <c r="N779" s="805"/>
    </row>
    <row r="780">
      <c r="N780" s="805"/>
    </row>
    <row r="781">
      <c r="N781" s="805"/>
    </row>
    <row r="782">
      <c r="N782" s="805"/>
    </row>
    <row r="783">
      <c r="N783" s="805"/>
    </row>
    <row r="784">
      <c r="N784" s="805"/>
    </row>
    <row r="785">
      <c r="N785" s="805"/>
    </row>
    <row r="786">
      <c r="N786" s="805"/>
    </row>
    <row r="787">
      <c r="N787" s="805"/>
    </row>
    <row r="788">
      <c r="N788" s="805"/>
    </row>
    <row r="789">
      <c r="N789" s="805"/>
    </row>
    <row r="790">
      <c r="N790" s="805"/>
    </row>
    <row r="791">
      <c r="N791" s="805"/>
    </row>
    <row r="792">
      <c r="N792" s="805"/>
    </row>
    <row r="793">
      <c r="N793" s="805"/>
    </row>
    <row r="794">
      <c r="N794" s="805"/>
    </row>
    <row r="795">
      <c r="N795" s="805"/>
    </row>
    <row r="796">
      <c r="N796" s="805"/>
    </row>
    <row r="797">
      <c r="N797" s="805"/>
    </row>
    <row r="798">
      <c r="N798" s="805"/>
    </row>
    <row r="799">
      <c r="N799" s="805"/>
    </row>
    <row r="800">
      <c r="N800" s="805"/>
    </row>
    <row r="801">
      <c r="N801" s="805"/>
    </row>
    <row r="802">
      <c r="N802" s="805"/>
    </row>
    <row r="803">
      <c r="N803" s="805"/>
    </row>
    <row r="804">
      <c r="N804" s="805"/>
    </row>
    <row r="805">
      <c r="N805" s="805"/>
    </row>
    <row r="806">
      <c r="N806" s="805"/>
    </row>
    <row r="807">
      <c r="N807" s="805"/>
    </row>
    <row r="808">
      <c r="N808" s="805"/>
    </row>
    <row r="809">
      <c r="N809" s="805"/>
    </row>
    <row r="810">
      <c r="N810" s="805"/>
    </row>
    <row r="811">
      <c r="N811" s="805"/>
    </row>
    <row r="812">
      <c r="N812" s="805"/>
    </row>
    <row r="813">
      <c r="N813" s="805"/>
    </row>
    <row r="814">
      <c r="N814" s="805"/>
    </row>
    <row r="815">
      <c r="N815" s="805"/>
    </row>
    <row r="816">
      <c r="N816" s="805"/>
    </row>
    <row r="817">
      <c r="N817" s="805"/>
    </row>
    <row r="818">
      <c r="N818" s="805"/>
    </row>
    <row r="819">
      <c r="N819" s="805"/>
    </row>
    <row r="820">
      <c r="N820" s="805"/>
    </row>
    <row r="821">
      <c r="N821" s="805"/>
    </row>
    <row r="822">
      <c r="N822" s="805"/>
    </row>
    <row r="823">
      <c r="N823" s="805"/>
    </row>
    <row r="824">
      <c r="N824" s="805"/>
    </row>
    <row r="825">
      <c r="N825" s="805"/>
    </row>
    <row r="826">
      <c r="N826" s="805"/>
    </row>
    <row r="827">
      <c r="N827" s="805"/>
    </row>
    <row r="828">
      <c r="N828" s="805"/>
    </row>
    <row r="829">
      <c r="N829" s="805"/>
    </row>
    <row r="830">
      <c r="N830" s="805"/>
    </row>
    <row r="831">
      <c r="N831" s="805"/>
    </row>
    <row r="832">
      <c r="N832" s="805"/>
    </row>
    <row r="833">
      <c r="N833" s="805"/>
    </row>
    <row r="834">
      <c r="N834" s="805"/>
    </row>
    <row r="835">
      <c r="N835" s="805"/>
    </row>
    <row r="836">
      <c r="N836" s="805"/>
    </row>
    <row r="837">
      <c r="N837" s="805"/>
    </row>
    <row r="838">
      <c r="N838" s="805"/>
    </row>
    <row r="839">
      <c r="N839" s="805"/>
    </row>
    <row r="840">
      <c r="N840" s="805"/>
    </row>
    <row r="841">
      <c r="N841" s="805"/>
    </row>
    <row r="842">
      <c r="N842" s="805"/>
    </row>
    <row r="843">
      <c r="N843" s="805"/>
    </row>
    <row r="844">
      <c r="N844" s="805"/>
    </row>
    <row r="845">
      <c r="N845" s="805"/>
    </row>
    <row r="846">
      <c r="N846" s="805"/>
    </row>
    <row r="847">
      <c r="N847" s="805"/>
    </row>
    <row r="848">
      <c r="N848" s="805"/>
    </row>
    <row r="849">
      <c r="N849" s="805"/>
    </row>
    <row r="850">
      <c r="N850" s="805"/>
    </row>
    <row r="851">
      <c r="N851" s="805"/>
    </row>
    <row r="852">
      <c r="N852" s="805"/>
    </row>
    <row r="853">
      <c r="N853" s="805"/>
    </row>
    <row r="854">
      <c r="N854" s="805"/>
    </row>
    <row r="855">
      <c r="N855" s="805"/>
    </row>
    <row r="856">
      <c r="N856" s="805"/>
    </row>
    <row r="857">
      <c r="N857" s="805"/>
    </row>
    <row r="858">
      <c r="N858" s="805"/>
    </row>
    <row r="859">
      <c r="N859" s="805"/>
    </row>
    <row r="860">
      <c r="N860" s="805"/>
    </row>
    <row r="861">
      <c r="N861" s="805"/>
    </row>
    <row r="862">
      <c r="N862" s="805"/>
    </row>
    <row r="863">
      <c r="N863" s="805"/>
    </row>
    <row r="864">
      <c r="N864" s="805"/>
    </row>
    <row r="865">
      <c r="N865" s="805"/>
    </row>
    <row r="866">
      <c r="N866" s="805"/>
    </row>
    <row r="867">
      <c r="N867" s="805"/>
    </row>
    <row r="868">
      <c r="N868" s="805"/>
    </row>
    <row r="869">
      <c r="N869" s="805"/>
    </row>
    <row r="870">
      <c r="N870" s="805"/>
    </row>
    <row r="871">
      <c r="N871" s="805"/>
    </row>
    <row r="872">
      <c r="N872" s="805"/>
    </row>
    <row r="873">
      <c r="N873" s="805"/>
    </row>
    <row r="874">
      <c r="N874" s="805"/>
    </row>
    <row r="875">
      <c r="N875" s="805"/>
    </row>
    <row r="876">
      <c r="N876" s="805"/>
    </row>
    <row r="877">
      <c r="N877" s="805"/>
    </row>
    <row r="878">
      <c r="N878" s="805"/>
    </row>
    <row r="879">
      <c r="N879" s="805"/>
    </row>
    <row r="880">
      <c r="N880" s="805"/>
    </row>
    <row r="881">
      <c r="N881" s="805"/>
    </row>
    <row r="882">
      <c r="N882" s="805"/>
    </row>
    <row r="883">
      <c r="N883" s="805"/>
    </row>
    <row r="884">
      <c r="N884" s="805"/>
    </row>
    <row r="885">
      <c r="N885" s="805"/>
    </row>
    <row r="886">
      <c r="N886" s="805"/>
    </row>
    <row r="887">
      <c r="N887" s="805"/>
    </row>
    <row r="888">
      <c r="N888" s="805"/>
    </row>
    <row r="889">
      <c r="N889" s="805"/>
    </row>
    <row r="890">
      <c r="N890" s="805"/>
    </row>
    <row r="891">
      <c r="N891" s="805"/>
    </row>
    <row r="892">
      <c r="N892" s="805"/>
    </row>
    <row r="893">
      <c r="N893" s="805"/>
    </row>
    <row r="894">
      <c r="N894" s="805"/>
    </row>
    <row r="895">
      <c r="N895" s="805"/>
    </row>
    <row r="896">
      <c r="N896" s="805"/>
    </row>
    <row r="897">
      <c r="N897" s="805"/>
    </row>
    <row r="898">
      <c r="N898" s="805"/>
    </row>
    <row r="899">
      <c r="N899" s="805"/>
    </row>
    <row r="900">
      <c r="N900" s="805"/>
    </row>
    <row r="901">
      <c r="N901" s="805"/>
    </row>
    <row r="902">
      <c r="N902" s="805"/>
    </row>
    <row r="903">
      <c r="N903" s="805"/>
    </row>
    <row r="904">
      <c r="N904" s="805"/>
    </row>
    <row r="905">
      <c r="N905" s="805"/>
    </row>
    <row r="906">
      <c r="N906" s="805"/>
    </row>
    <row r="907">
      <c r="N907" s="805"/>
    </row>
    <row r="908">
      <c r="N908" s="805"/>
    </row>
    <row r="909">
      <c r="N909" s="805"/>
    </row>
    <row r="910">
      <c r="N910" s="805"/>
    </row>
    <row r="911">
      <c r="N911" s="805"/>
    </row>
    <row r="912">
      <c r="N912" s="805"/>
    </row>
    <row r="913">
      <c r="N913" s="805"/>
    </row>
    <row r="914">
      <c r="N914" s="805"/>
    </row>
    <row r="915">
      <c r="N915" s="805"/>
    </row>
    <row r="916">
      <c r="N916" s="805"/>
    </row>
    <row r="917">
      <c r="N917" s="805"/>
    </row>
    <row r="918">
      <c r="N918" s="805"/>
    </row>
    <row r="919">
      <c r="N919" s="805"/>
    </row>
    <row r="920">
      <c r="N920" s="805"/>
    </row>
    <row r="921">
      <c r="N921" s="805"/>
    </row>
    <row r="922">
      <c r="N922" s="805"/>
    </row>
    <row r="923">
      <c r="N923" s="805"/>
    </row>
    <row r="924">
      <c r="N924" s="805"/>
    </row>
    <row r="925">
      <c r="N925" s="805"/>
    </row>
    <row r="926">
      <c r="N926" s="805"/>
    </row>
    <row r="927">
      <c r="N927" s="805"/>
    </row>
    <row r="928">
      <c r="N928" s="805"/>
    </row>
    <row r="929">
      <c r="N929" s="805"/>
    </row>
    <row r="930">
      <c r="N930" s="805"/>
    </row>
    <row r="931">
      <c r="N931" s="805"/>
    </row>
    <row r="932">
      <c r="N932" s="805"/>
    </row>
    <row r="933">
      <c r="N933" s="805"/>
    </row>
    <row r="934">
      <c r="N934" s="805"/>
    </row>
    <row r="935">
      <c r="N935" s="805"/>
    </row>
    <row r="936">
      <c r="N936" s="805"/>
    </row>
    <row r="937">
      <c r="N937" s="805"/>
    </row>
    <row r="938">
      <c r="N938" s="805"/>
    </row>
    <row r="939">
      <c r="N939" s="805"/>
    </row>
    <row r="940">
      <c r="N940" s="805"/>
    </row>
    <row r="941">
      <c r="N941" s="805"/>
    </row>
    <row r="942">
      <c r="N942" s="805"/>
    </row>
    <row r="943">
      <c r="N943" s="805"/>
    </row>
    <row r="944">
      <c r="N944" s="805"/>
    </row>
    <row r="945">
      <c r="N945" s="805"/>
    </row>
    <row r="946">
      <c r="N946" s="805"/>
    </row>
    <row r="947">
      <c r="N947" s="805"/>
    </row>
    <row r="948">
      <c r="N948" s="805"/>
    </row>
    <row r="949">
      <c r="N949" s="805"/>
    </row>
    <row r="950">
      <c r="N950" s="805"/>
    </row>
    <row r="951">
      <c r="N951" s="805"/>
    </row>
    <row r="952">
      <c r="N952" s="805"/>
    </row>
    <row r="953">
      <c r="N953" s="805"/>
    </row>
    <row r="954">
      <c r="N954" s="805"/>
    </row>
    <row r="955">
      <c r="N955" s="805"/>
    </row>
    <row r="956">
      <c r="N956" s="805"/>
    </row>
    <row r="957">
      <c r="N957" s="805"/>
    </row>
    <row r="958">
      <c r="N958" s="805"/>
    </row>
    <row r="959">
      <c r="N959" s="805"/>
    </row>
    <row r="960">
      <c r="N960" s="805"/>
    </row>
    <row r="961">
      <c r="N961" s="805"/>
    </row>
    <row r="962">
      <c r="N962" s="805"/>
    </row>
    <row r="963">
      <c r="N963" s="805"/>
    </row>
    <row r="964">
      <c r="N964" s="805"/>
    </row>
    <row r="965">
      <c r="N965" s="805"/>
    </row>
    <row r="966">
      <c r="N966" s="805"/>
    </row>
    <row r="967">
      <c r="N967" s="805"/>
    </row>
    <row r="968">
      <c r="N968" s="805"/>
    </row>
    <row r="969">
      <c r="N969" s="805"/>
    </row>
    <row r="970">
      <c r="N970" s="805"/>
    </row>
    <row r="971">
      <c r="N971" s="805"/>
    </row>
    <row r="972">
      <c r="N972" s="805"/>
    </row>
    <row r="973">
      <c r="N973" s="805"/>
    </row>
    <row r="974">
      <c r="N974" s="805"/>
    </row>
    <row r="975">
      <c r="N975" s="805"/>
    </row>
    <row r="976">
      <c r="N976" s="805"/>
    </row>
    <row r="977">
      <c r="N977" s="805"/>
    </row>
    <row r="978">
      <c r="N978" s="805"/>
    </row>
    <row r="979">
      <c r="N979" s="805"/>
    </row>
    <row r="980">
      <c r="N980" s="805"/>
    </row>
    <row r="981">
      <c r="N981" s="805"/>
    </row>
    <row r="982">
      <c r="N982" s="805"/>
    </row>
    <row r="983">
      <c r="N983" s="805"/>
    </row>
    <row r="984">
      <c r="N984" s="805"/>
    </row>
    <row r="985">
      <c r="N985" s="805"/>
    </row>
    <row r="986">
      <c r="N986" s="805"/>
    </row>
    <row r="987">
      <c r="N987" s="805"/>
    </row>
    <row r="988">
      <c r="N988" s="805"/>
    </row>
    <row r="989">
      <c r="N989" s="805"/>
    </row>
    <row r="990">
      <c r="N990" s="805"/>
    </row>
    <row r="991">
      <c r="N991" s="805"/>
    </row>
    <row r="992">
      <c r="N992" s="805"/>
    </row>
    <row r="993">
      <c r="N993" s="805"/>
    </row>
    <row r="994">
      <c r="N994" s="805"/>
    </row>
    <row r="995">
      <c r="N995" s="805"/>
    </row>
    <row r="996">
      <c r="N996" s="805"/>
    </row>
    <row r="997">
      <c r="N997" s="805"/>
    </row>
    <row r="998">
      <c r="N998" s="805"/>
    </row>
    <row r="999">
      <c r="N999" s="805"/>
    </row>
    <row r="1000">
      <c r="N1000" s="805"/>
    </row>
  </sheetData>
  <mergeCells count="13">
    <mergeCell ref="H4:J4"/>
    <mergeCell ref="K4:O4"/>
    <mergeCell ref="A224:H224"/>
    <mergeCell ref="K224:M224"/>
    <mergeCell ref="A225:H225"/>
    <mergeCell ref="K225:M225"/>
    <mergeCell ref="A1:J1"/>
    <mergeCell ref="A2:J2"/>
    <mergeCell ref="A3:O3"/>
    <mergeCell ref="A4:A5"/>
    <mergeCell ref="B4:B5"/>
    <mergeCell ref="C4:C5"/>
    <mergeCell ref="D4:G4"/>
  </mergeCells>
  <conditionalFormatting sqref="K6:M223">
    <cfRule type="cellIs" dxfId="1" priority="1" operator="equal">
      <formula>"T"</formula>
    </cfRule>
  </conditionalFormatting>
  <conditionalFormatting sqref="K6:M223">
    <cfRule type="cellIs" dxfId="4" priority="2" operator="equal">
      <formula>"Y"</formula>
    </cfRule>
  </conditionalFormatting>
  <dataValidations>
    <dataValidation type="list" allowBlank="1" showErrorMessage="1" sqref="K6:M223">
      <formula1>"Y,T"</formula1>
    </dataValidation>
  </dataValidation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8.56"/>
    <col customWidth="1" min="3" max="3" width="21.11"/>
    <col customWidth="1" min="4" max="4" width="79.44"/>
    <col customWidth="1" min="5" max="5" width="49.56"/>
    <col customWidth="1" min="6" max="6" width="27.56"/>
    <col customWidth="1" min="7" max="7" width="28.0"/>
    <col customWidth="1" min="8" max="8" width="39.44"/>
    <col customWidth="1" min="9" max="26" width="8.56"/>
  </cols>
  <sheetData>
    <row r="1">
      <c r="A1" s="880" t="s">
        <v>360</v>
      </c>
      <c r="B1" s="62"/>
      <c r="C1" s="62"/>
      <c r="D1" s="62"/>
      <c r="E1" s="62"/>
      <c r="F1" s="62"/>
      <c r="G1" s="62"/>
      <c r="H1" s="63"/>
    </row>
    <row r="2">
      <c r="A2" s="809" t="s">
        <v>4835</v>
      </c>
      <c r="B2" s="62"/>
      <c r="C2" s="62"/>
      <c r="D2" s="62"/>
      <c r="E2" s="62"/>
      <c r="F2" s="62"/>
      <c r="G2" s="62"/>
      <c r="H2" s="63"/>
    </row>
    <row r="3">
      <c r="A3" s="881" t="s">
        <v>4836</v>
      </c>
      <c r="B3" s="882" t="s">
        <v>4837</v>
      </c>
      <c r="C3" s="62"/>
      <c r="D3" s="62"/>
      <c r="E3" s="62"/>
      <c r="F3" s="62"/>
      <c r="G3" s="62"/>
      <c r="H3" s="63"/>
    </row>
    <row r="4">
      <c r="A4" s="536"/>
      <c r="B4" s="883" t="s">
        <v>243</v>
      </c>
      <c r="C4" s="884" t="s">
        <v>4838</v>
      </c>
      <c r="D4" s="885" t="s">
        <v>4839</v>
      </c>
      <c r="E4" s="885" t="s">
        <v>4840</v>
      </c>
      <c r="F4" s="886" t="s">
        <v>4841</v>
      </c>
      <c r="G4" s="885" t="s">
        <v>4842</v>
      </c>
      <c r="H4" s="885" t="s">
        <v>4843</v>
      </c>
    </row>
    <row r="5" ht="181.5" customHeight="1">
      <c r="A5" s="536"/>
      <c r="B5" s="210"/>
      <c r="C5" s="210"/>
      <c r="D5" s="210"/>
      <c r="E5" s="210"/>
      <c r="F5" s="210"/>
      <c r="G5" s="210"/>
      <c r="H5" s="210"/>
    </row>
    <row r="6">
      <c r="A6" s="536"/>
      <c r="B6" s="887" t="s">
        <v>246</v>
      </c>
      <c r="C6" s="888" t="s">
        <v>4844</v>
      </c>
      <c r="D6" s="889" t="s">
        <v>4845</v>
      </c>
      <c r="E6" s="889" t="s">
        <v>4846</v>
      </c>
      <c r="F6" s="889" t="s">
        <v>4847</v>
      </c>
      <c r="G6" s="889" t="s">
        <v>4848</v>
      </c>
      <c r="H6" s="889" t="s">
        <v>4849</v>
      </c>
    </row>
    <row r="7" ht="408.0" customHeight="1">
      <c r="A7" s="210"/>
      <c r="B7" s="210"/>
      <c r="C7" s="210"/>
      <c r="D7" s="210"/>
      <c r="E7" s="210"/>
      <c r="F7" s="210"/>
      <c r="G7" s="210"/>
      <c r="H7" s="210"/>
    </row>
    <row r="8">
      <c r="A8" s="890" t="s">
        <v>4850</v>
      </c>
      <c r="B8" s="62"/>
      <c r="C8" s="62"/>
      <c r="D8" s="62"/>
      <c r="E8" s="62"/>
      <c r="F8" s="62"/>
      <c r="G8" s="62"/>
      <c r="H8" s="63"/>
    </row>
    <row r="9">
      <c r="A9" s="891" t="s">
        <v>4851</v>
      </c>
      <c r="B9" s="62"/>
      <c r="C9" s="62"/>
      <c r="D9" s="62"/>
      <c r="E9" s="62"/>
      <c r="F9" s="62"/>
      <c r="G9" s="62"/>
      <c r="H9" s="63"/>
    </row>
    <row r="10">
      <c r="A10" s="890" t="s">
        <v>4852</v>
      </c>
      <c r="B10" s="62"/>
      <c r="C10" s="62"/>
      <c r="D10" s="62"/>
      <c r="E10" s="63"/>
      <c r="F10" s="892" t="s">
        <v>1645</v>
      </c>
      <c r="G10" s="62"/>
      <c r="H10" s="63"/>
    </row>
    <row r="11">
      <c r="A11" s="893" t="s">
        <v>1625</v>
      </c>
      <c r="B11" s="62"/>
      <c r="C11" s="62"/>
      <c r="D11" s="62"/>
      <c r="E11" s="63"/>
      <c r="F11" s="894" t="s">
        <v>4853</v>
      </c>
      <c r="G11" s="62"/>
      <c r="H11" s="63"/>
    </row>
    <row r="12">
      <c r="A12" s="891" t="s">
        <v>4854</v>
      </c>
      <c r="B12" s="62"/>
      <c r="C12" s="62"/>
      <c r="D12" s="62"/>
      <c r="E12" s="63"/>
      <c r="F12" s="895" t="s">
        <v>1636</v>
      </c>
      <c r="G12" s="62"/>
      <c r="H12" s="63"/>
    </row>
    <row r="13">
      <c r="A13" s="890" t="s">
        <v>4855</v>
      </c>
      <c r="B13" s="62"/>
      <c r="C13" s="62"/>
      <c r="D13" s="62"/>
      <c r="E13" s="63"/>
      <c r="F13" s="892" t="s">
        <v>1643</v>
      </c>
      <c r="G13" s="62"/>
      <c r="H13" s="63"/>
    </row>
    <row r="14">
      <c r="A14" s="891" t="s">
        <v>4856</v>
      </c>
      <c r="B14" s="62"/>
      <c r="C14" s="62"/>
      <c r="D14" s="62"/>
      <c r="E14" s="63"/>
      <c r="F14" s="895" t="s">
        <v>1645</v>
      </c>
      <c r="G14" s="62"/>
      <c r="H14" s="63"/>
    </row>
    <row r="15">
      <c r="A15" s="890" t="s">
        <v>4857</v>
      </c>
      <c r="B15" s="62"/>
      <c r="C15" s="62"/>
      <c r="D15" s="62"/>
      <c r="E15" s="63"/>
      <c r="F15" s="892" t="s">
        <v>1638</v>
      </c>
      <c r="G15" s="62"/>
      <c r="H15" s="63"/>
    </row>
    <row r="16">
      <c r="A16" s="891" t="s">
        <v>4858</v>
      </c>
      <c r="B16" s="62"/>
      <c r="C16" s="62"/>
      <c r="D16" s="62"/>
      <c r="E16" s="63"/>
      <c r="F16" s="895" t="s">
        <v>1648</v>
      </c>
      <c r="G16" s="62"/>
      <c r="H16" s="63"/>
    </row>
    <row r="17">
      <c r="D17" s="293"/>
    </row>
    <row r="18">
      <c r="D18" s="293"/>
    </row>
    <row r="19">
      <c r="D19" s="293"/>
    </row>
    <row r="20">
      <c r="D20" s="293"/>
    </row>
    <row r="21">
      <c r="D21" s="293"/>
    </row>
    <row r="22">
      <c r="D22" s="293"/>
    </row>
    <row r="23">
      <c r="D23" s="293"/>
    </row>
    <row r="24">
      <c r="D24" s="293"/>
    </row>
    <row r="25">
      <c r="D25" s="293"/>
    </row>
    <row r="26">
      <c r="D26" s="293"/>
    </row>
    <row r="27">
      <c r="D27" s="293"/>
    </row>
    <row r="28">
      <c r="D28" s="293"/>
    </row>
    <row r="29">
      <c r="D29" s="293"/>
    </row>
    <row r="30">
      <c r="D30" s="293"/>
    </row>
    <row r="31">
      <c r="D31" s="293"/>
    </row>
    <row r="32">
      <c r="D32" s="293"/>
    </row>
    <row r="33">
      <c r="D33" s="293"/>
    </row>
    <row r="34">
      <c r="D34" s="293"/>
    </row>
    <row r="35">
      <c r="D35" s="293"/>
    </row>
    <row r="36">
      <c r="D36" s="293"/>
    </row>
    <row r="37">
      <c r="D37" s="293"/>
    </row>
    <row r="38">
      <c r="D38" s="293"/>
    </row>
    <row r="39">
      <c r="D39" s="293"/>
    </row>
    <row r="40">
      <c r="D40" s="293"/>
    </row>
    <row r="41">
      <c r="D41" s="293"/>
    </row>
    <row r="42">
      <c r="D42" s="293"/>
    </row>
    <row r="43">
      <c r="D43" s="293"/>
    </row>
    <row r="44">
      <c r="D44" s="293"/>
    </row>
    <row r="45">
      <c r="D45" s="293"/>
    </row>
    <row r="46">
      <c r="D46" s="293"/>
    </row>
    <row r="47">
      <c r="D47" s="293"/>
    </row>
    <row r="48">
      <c r="D48" s="293"/>
    </row>
    <row r="49">
      <c r="D49" s="293"/>
    </row>
    <row r="50">
      <c r="D50" s="293"/>
    </row>
    <row r="51">
      <c r="D51" s="293"/>
    </row>
    <row r="52">
      <c r="D52" s="293"/>
    </row>
    <row r="53">
      <c r="D53" s="293"/>
    </row>
    <row r="54">
      <c r="D54" s="293"/>
    </row>
    <row r="55">
      <c r="D55" s="293"/>
    </row>
    <row r="56">
      <c r="D56" s="293"/>
    </row>
    <row r="57">
      <c r="D57" s="293"/>
    </row>
    <row r="58">
      <c r="D58" s="293"/>
    </row>
    <row r="59">
      <c r="D59" s="293"/>
    </row>
    <row r="60">
      <c r="D60" s="293"/>
    </row>
    <row r="61">
      <c r="D61" s="293"/>
    </row>
    <row r="62">
      <c r="D62" s="293"/>
    </row>
    <row r="63">
      <c r="D63" s="293"/>
    </row>
    <row r="64">
      <c r="D64" s="293"/>
    </row>
    <row r="65">
      <c r="D65" s="293"/>
    </row>
    <row r="66">
      <c r="D66" s="293"/>
    </row>
    <row r="67">
      <c r="D67" s="293"/>
    </row>
    <row r="68">
      <c r="D68" s="293"/>
    </row>
    <row r="69">
      <c r="D69" s="293"/>
    </row>
    <row r="70">
      <c r="D70" s="293"/>
    </row>
    <row r="71">
      <c r="D71" s="293"/>
    </row>
    <row r="72">
      <c r="D72" s="293"/>
    </row>
    <row r="73">
      <c r="D73" s="293"/>
    </row>
    <row r="74">
      <c r="D74" s="293"/>
    </row>
    <row r="75">
      <c r="D75" s="293"/>
    </row>
    <row r="76">
      <c r="D76" s="293"/>
    </row>
    <row r="77">
      <c r="D77" s="293"/>
    </row>
    <row r="78">
      <c r="D78" s="293"/>
    </row>
    <row r="79">
      <c r="D79" s="293"/>
    </row>
    <row r="80">
      <c r="D80" s="293"/>
    </row>
    <row r="81">
      <c r="D81" s="293"/>
    </row>
    <row r="82">
      <c r="D82" s="293"/>
    </row>
    <row r="83">
      <c r="D83" s="293"/>
    </row>
    <row r="84">
      <c r="D84" s="293"/>
    </row>
    <row r="85">
      <c r="D85" s="293"/>
    </row>
    <row r="86">
      <c r="D86" s="293"/>
    </row>
    <row r="87">
      <c r="D87" s="293"/>
    </row>
    <row r="88">
      <c r="D88" s="293"/>
    </row>
    <row r="89">
      <c r="D89" s="293"/>
    </row>
    <row r="90">
      <c r="D90" s="293"/>
    </row>
    <row r="91">
      <c r="D91" s="293"/>
    </row>
    <row r="92">
      <c r="D92" s="293"/>
    </row>
    <row r="93">
      <c r="D93" s="293"/>
    </row>
    <row r="94">
      <c r="D94" s="293"/>
    </row>
    <row r="95">
      <c r="D95" s="293"/>
    </row>
    <row r="96">
      <c r="D96" s="293"/>
    </row>
    <row r="97">
      <c r="D97" s="293"/>
    </row>
    <row r="98">
      <c r="D98" s="293"/>
    </row>
    <row r="99">
      <c r="D99" s="293"/>
    </row>
    <row r="100">
      <c r="D100" s="293"/>
    </row>
    <row r="101">
      <c r="D101" s="293"/>
    </row>
    <row r="102">
      <c r="D102" s="293"/>
    </row>
    <row r="103">
      <c r="D103" s="293"/>
    </row>
    <row r="104">
      <c r="D104" s="293"/>
    </row>
    <row r="105">
      <c r="D105" s="293"/>
    </row>
    <row r="106">
      <c r="D106" s="293"/>
    </row>
    <row r="107">
      <c r="D107" s="293"/>
    </row>
    <row r="108">
      <c r="D108" s="293"/>
    </row>
    <row r="109">
      <c r="D109" s="293"/>
    </row>
    <row r="110">
      <c r="D110" s="293"/>
    </row>
    <row r="111">
      <c r="D111" s="293"/>
    </row>
    <row r="112">
      <c r="D112" s="293"/>
    </row>
    <row r="113">
      <c r="D113" s="293"/>
    </row>
    <row r="114">
      <c r="D114" s="293"/>
    </row>
    <row r="115">
      <c r="D115" s="293"/>
    </row>
    <row r="116">
      <c r="D116" s="293"/>
    </row>
    <row r="117">
      <c r="D117" s="293"/>
    </row>
    <row r="118">
      <c r="D118" s="293"/>
    </row>
    <row r="119">
      <c r="D119" s="293"/>
    </row>
    <row r="120">
      <c r="D120" s="293"/>
    </row>
    <row r="121">
      <c r="D121" s="293"/>
    </row>
    <row r="122">
      <c r="D122" s="293"/>
    </row>
    <row r="123">
      <c r="D123" s="293"/>
    </row>
    <row r="124">
      <c r="D124" s="293"/>
    </row>
    <row r="125">
      <c r="D125" s="293"/>
    </row>
    <row r="126">
      <c r="D126" s="293"/>
    </row>
    <row r="127">
      <c r="D127" s="293"/>
    </row>
    <row r="128">
      <c r="D128" s="293"/>
    </row>
    <row r="129">
      <c r="D129" s="293"/>
    </row>
    <row r="130">
      <c r="D130" s="293"/>
    </row>
    <row r="131">
      <c r="D131" s="293"/>
    </row>
    <row r="132">
      <c r="D132" s="293"/>
    </row>
    <row r="133">
      <c r="D133" s="293"/>
    </row>
    <row r="134">
      <c r="D134" s="293"/>
    </row>
    <row r="135">
      <c r="D135" s="293"/>
    </row>
    <row r="136">
      <c r="D136" s="293"/>
    </row>
    <row r="137">
      <c r="D137" s="293"/>
    </row>
    <row r="138">
      <c r="D138" s="293"/>
    </row>
    <row r="139">
      <c r="D139" s="293"/>
    </row>
    <row r="140">
      <c r="D140" s="293"/>
    </row>
    <row r="141">
      <c r="D141" s="293"/>
    </row>
    <row r="142">
      <c r="D142" s="293"/>
    </row>
    <row r="143">
      <c r="D143" s="293"/>
    </row>
    <row r="144">
      <c r="D144" s="293"/>
    </row>
    <row r="145">
      <c r="D145" s="293"/>
    </row>
    <row r="146">
      <c r="D146" s="293"/>
    </row>
    <row r="147">
      <c r="D147" s="293"/>
    </row>
    <row r="148">
      <c r="D148" s="293"/>
    </row>
    <row r="149">
      <c r="D149" s="293"/>
    </row>
    <row r="150">
      <c r="D150" s="293"/>
    </row>
    <row r="151">
      <c r="D151" s="293"/>
    </row>
    <row r="152">
      <c r="D152" s="293"/>
    </row>
    <row r="153">
      <c r="D153" s="293"/>
    </row>
    <row r="154">
      <c r="D154" s="293"/>
    </row>
    <row r="155">
      <c r="D155" s="293"/>
    </row>
    <row r="156">
      <c r="D156" s="293"/>
    </row>
    <row r="157">
      <c r="D157" s="293"/>
    </row>
    <row r="158">
      <c r="D158" s="293"/>
    </row>
    <row r="159">
      <c r="D159" s="293"/>
    </row>
    <row r="160">
      <c r="D160" s="293"/>
    </row>
    <row r="161">
      <c r="D161" s="293"/>
    </row>
    <row r="162">
      <c r="D162" s="293"/>
    </row>
    <row r="163">
      <c r="D163" s="293"/>
    </row>
    <row r="164">
      <c r="D164" s="293"/>
    </row>
    <row r="165">
      <c r="D165" s="293"/>
    </row>
    <row r="166">
      <c r="D166" s="293"/>
    </row>
    <row r="167">
      <c r="D167" s="293"/>
    </row>
    <row r="168">
      <c r="D168" s="293"/>
    </row>
    <row r="169">
      <c r="D169" s="293"/>
    </row>
    <row r="170">
      <c r="D170" s="293"/>
    </row>
    <row r="171">
      <c r="D171" s="293"/>
    </row>
    <row r="172">
      <c r="D172" s="293"/>
    </row>
    <row r="173">
      <c r="D173" s="293"/>
    </row>
    <row r="174">
      <c r="D174" s="293"/>
    </row>
    <row r="175">
      <c r="D175" s="293"/>
    </row>
    <row r="176">
      <c r="D176" s="293"/>
    </row>
    <row r="177">
      <c r="D177" s="293"/>
    </row>
    <row r="178">
      <c r="D178" s="293"/>
    </row>
    <row r="179">
      <c r="D179" s="293"/>
    </row>
    <row r="180">
      <c r="D180" s="293"/>
    </row>
    <row r="181">
      <c r="D181" s="293"/>
    </row>
    <row r="182">
      <c r="D182" s="293"/>
    </row>
    <row r="183">
      <c r="D183" s="293"/>
    </row>
    <row r="184">
      <c r="D184" s="293"/>
    </row>
    <row r="185">
      <c r="D185" s="293"/>
    </row>
    <row r="186">
      <c r="D186" s="293"/>
    </row>
    <row r="187">
      <c r="D187" s="293"/>
    </row>
    <row r="188">
      <c r="D188" s="293"/>
    </row>
    <row r="189">
      <c r="D189" s="293"/>
    </row>
    <row r="190">
      <c r="D190" s="293"/>
    </row>
    <row r="191">
      <c r="D191" s="293"/>
    </row>
    <row r="192">
      <c r="D192" s="293"/>
    </row>
    <row r="193">
      <c r="D193" s="293"/>
    </row>
    <row r="194">
      <c r="D194" s="293"/>
    </row>
    <row r="195">
      <c r="D195" s="293"/>
    </row>
    <row r="196">
      <c r="D196" s="293"/>
    </row>
    <row r="197">
      <c r="D197" s="293"/>
    </row>
    <row r="198">
      <c r="D198" s="293"/>
    </row>
    <row r="199">
      <c r="D199" s="293"/>
    </row>
    <row r="200">
      <c r="D200" s="293"/>
    </row>
    <row r="201">
      <c r="D201" s="293"/>
    </row>
    <row r="202">
      <c r="D202" s="293"/>
    </row>
    <row r="203">
      <c r="D203" s="293"/>
    </row>
    <row r="204">
      <c r="D204" s="293"/>
    </row>
    <row r="205">
      <c r="D205" s="293"/>
    </row>
    <row r="206">
      <c r="D206" s="293"/>
    </row>
    <row r="207">
      <c r="D207" s="293"/>
    </row>
    <row r="208">
      <c r="D208" s="293"/>
    </row>
    <row r="209">
      <c r="D209" s="293"/>
    </row>
    <row r="210">
      <c r="D210" s="293"/>
    </row>
    <row r="211">
      <c r="D211" s="293"/>
    </row>
    <row r="212">
      <c r="D212" s="293"/>
    </row>
    <row r="213">
      <c r="D213" s="293"/>
    </row>
    <row r="214">
      <c r="D214" s="293"/>
    </row>
    <row r="215">
      <c r="D215" s="293"/>
    </row>
    <row r="216">
      <c r="D216" s="293"/>
    </row>
    <row r="217">
      <c r="D217" s="293"/>
    </row>
    <row r="218">
      <c r="D218" s="293"/>
    </row>
    <row r="219">
      <c r="D219" s="293"/>
    </row>
    <row r="220">
      <c r="D220" s="293"/>
    </row>
    <row r="221">
      <c r="D221" s="293"/>
    </row>
    <row r="222">
      <c r="D222" s="293"/>
    </row>
    <row r="223">
      <c r="D223" s="293"/>
    </row>
    <row r="224">
      <c r="D224" s="293"/>
    </row>
    <row r="225">
      <c r="D225" s="293"/>
    </row>
    <row r="226">
      <c r="D226" s="293"/>
    </row>
    <row r="227">
      <c r="D227" s="293"/>
    </row>
    <row r="228">
      <c r="D228" s="293"/>
    </row>
    <row r="229">
      <c r="D229" s="293"/>
    </row>
    <row r="230">
      <c r="D230" s="293"/>
    </row>
    <row r="231">
      <c r="D231" s="293"/>
    </row>
    <row r="232">
      <c r="D232" s="293"/>
    </row>
    <row r="233">
      <c r="D233" s="293"/>
    </row>
    <row r="234">
      <c r="D234" s="293"/>
    </row>
    <row r="235">
      <c r="D235" s="293"/>
    </row>
    <row r="236">
      <c r="D236" s="293"/>
    </row>
    <row r="237">
      <c r="D237" s="293"/>
    </row>
    <row r="238">
      <c r="D238" s="293"/>
    </row>
    <row r="239">
      <c r="D239" s="293"/>
    </row>
    <row r="240">
      <c r="D240" s="293"/>
    </row>
    <row r="241">
      <c r="D241" s="293"/>
    </row>
    <row r="242">
      <c r="D242" s="293"/>
    </row>
    <row r="243">
      <c r="D243" s="293"/>
    </row>
    <row r="244">
      <c r="D244" s="293"/>
    </row>
    <row r="245">
      <c r="D245" s="293"/>
    </row>
    <row r="246">
      <c r="D246" s="293"/>
    </row>
    <row r="247">
      <c r="D247" s="293"/>
    </row>
    <row r="248">
      <c r="D248" s="293"/>
    </row>
    <row r="249">
      <c r="D249" s="293"/>
    </row>
    <row r="250">
      <c r="D250" s="293"/>
    </row>
    <row r="251">
      <c r="D251" s="293"/>
    </row>
    <row r="252">
      <c r="D252" s="293"/>
    </row>
    <row r="253">
      <c r="D253" s="293"/>
    </row>
    <row r="254">
      <c r="D254" s="293"/>
    </row>
    <row r="255">
      <c r="D255" s="293"/>
    </row>
    <row r="256">
      <c r="D256" s="293"/>
    </row>
    <row r="257">
      <c r="D257" s="293"/>
    </row>
    <row r="258">
      <c r="D258" s="293"/>
    </row>
    <row r="259">
      <c r="D259" s="293"/>
    </row>
    <row r="260">
      <c r="D260" s="293"/>
    </row>
    <row r="261">
      <c r="D261" s="293"/>
    </row>
    <row r="262">
      <c r="D262" s="293"/>
    </row>
    <row r="263">
      <c r="D263" s="293"/>
    </row>
    <row r="264">
      <c r="D264" s="293"/>
    </row>
    <row r="265">
      <c r="D265" s="293"/>
    </row>
    <row r="266">
      <c r="D266" s="293"/>
    </row>
    <row r="267">
      <c r="D267" s="293"/>
    </row>
    <row r="268">
      <c r="D268" s="293"/>
    </row>
    <row r="269">
      <c r="D269" s="293"/>
    </row>
    <row r="270">
      <c r="D270" s="293"/>
    </row>
    <row r="271">
      <c r="D271" s="293"/>
    </row>
    <row r="272">
      <c r="D272" s="293"/>
    </row>
    <row r="273">
      <c r="D273" s="293"/>
    </row>
    <row r="274">
      <c r="D274" s="293"/>
    </row>
    <row r="275">
      <c r="D275" s="293"/>
    </row>
    <row r="276">
      <c r="D276" s="293"/>
    </row>
    <row r="277">
      <c r="D277" s="293"/>
    </row>
    <row r="278">
      <c r="D278" s="293"/>
    </row>
    <row r="279">
      <c r="D279" s="293"/>
    </row>
    <row r="280">
      <c r="D280" s="293"/>
    </row>
    <row r="281">
      <c r="D281" s="293"/>
    </row>
    <row r="282">
      <c r="D282" s="293"/>
    </row>
    <row r="283">
      <c r="D283" s="293"/>
    </row>
    <row r="284">
      <c r="D284" s="293"/>
    </row>
    <row r="285">
      <c r="D285" s="293"/>
    </row>
    <row r="286">
      <c r="D286" s="293"/>
    </row>
    <row r="287">
      <c r="D287" s="293"/>
    </row>
    <row r="288">
      <c r="D288" s="293"/>
    </row>
    <row r="289">
      <c r="D289" s="293"/>
    </row>
    <row r="290">
      <c r="D290" s="293"/>
    </row>
    <row r="291">
      <c r="D291" s="293"/>
    </row>
    <row r="292">
      <c r="D292" s="293"/>
    </row>
    <row r="293">
      <c r="D293" s="293"/>
    </row>
    <row r="294">
      <c r="D294" s="293"/>
    </row>
    <row r="295">
      <c r="D295" s="293"/>
    </row>
    <row r="296">
      <c r="D296" s="293"/>
    </row>
    <row r="297">
      <c r="D297" s="293"/>
    </row>
    <row r="298">
      <c r="D298" s="293"/>
    </row>
    <row r="299">
      <c r="D299" s="293"/>
    </row>
    <row r="300">
      <c r="D300" s="293"/>
    </row>
    <row r="301">
      <c r="D301" s="293"/>
    </row>
    <row r="302">
      <c r="D302" s="293"/>
    </row>
    <row r="303">
      <c r="D303" s="293"/>
    </row>
    <row r="304">
      <c r="D304" s="293"/>
    </row>
    <row r="305">
      <c r="D305" s="293"/>
    </row>
    <row r="306">
      <c r="D306" s="293"/>
    </row>
    <row r="307">
      <c r="D307" s="293"/>
    </row>
    <row r="308">
      <c r="D308" s="293"/>
    </row>
    <row r="309">
      <c r="D309" s="293"/>
    </row>
    <row r="310">
      <c r="D310" s="293"/>
    </row>
    <row r="311">
      <c r="D311" s="293"/>
    </row>
    <row r="312">
      <c r="D312" s="293"/>
    </row>
    <row r="313">
      <c r="D313" s="293"/>
    </row>
    <row r="314">
      <c r="D314" s="293"/>
    </row>
    <row r="315">
      <c r="D315" s="293"/>
    </row>
    <row r="316">
      <c r="D316" s="293"/>
    </row>
    <row r="317">
      <c r="D317" s="293"/>
    </row>
    <row r="318">
      <c r="D318" s="293"/>
    </row>
    <row r="319">
      <c r="D319" s="293"/>
    </row>
    <row r="320">
      <c r="D320" s="293"/>
    </row>
    <row r="321">
      <c r="D321" s="293"/>
    </row>
    <row r="322">
      <c r="D322" s="293"/>
    </row>
    <row r="323">
      <c r="D323" s="293"/>
    </row>
    <row r="324">
      <c r="D324" s="293"/>
    </row>
    <row r="325">
      <c r="D325" s="293"/>
    </row>
    <row r="326">
      <c r="D326" s="293"/>
    </row>
    <row r="327">
      <c r="D327" s="293"/>
    </row>
    <row r="328">
      <c r="D328" s="293"/>
    </row>
    <row r="329">
      <c r="D329" s="293"/>
    </row>
    <row r="330">
      <c r="D330" s="293"/>
    </row>
    <row r="331">
      <c r="D331" s="293"/>
    </row>
    <row r="332">
      <c r="D332" s="293"/>
    </row>
    <row r="333">
      <c r="D333" s="293"/>
    </row>
    <row r="334">
      <c r="D334" s="293"/>
    </row>
    <row r="335">
      <c r="D335" s="293"/>
    </row>
    <row r="336">
      <c r="D336" s="293"/>
    </row>
    <row r="337">
      <c r="D337" s="293"/>
    </row>
    <row r="338">
      <c r="D338" s="293"/>
    </row>
    <row r="339">
      <c r="D339" s="293"/>
    </row>
    <row r="340">
      <c r="D340" s="293"/>
    </row>
    <row r="341">
      <c r="D341" s="293"/>
    </row>
    <row r="342">
      <c r="D342" s="293"/>
    </row>
    <row r="343">
      <c r="D343" s="293"/>
    </row>
    <row r="344">
      <c r="D344" s="293"/>
    </row>
    <row r="345">
      <c r="D345" s="293"/>
    </row>
    <row r="346">
      <c r="D346" s="293"/>
    </row>
    <row r="347">
      <c r="D347" s="293"/>
    </row>
    <row r="348">
      <c r="D348" s="293"/>
    </row>
    <row r="349">
      <c r="D349" s="293"/>
    </row>
    <row r="350">
      <c r="D350" s="293"/>
    </row>
    <row r="351">
      <c r="D351" s="293"/>
    </row>
    <row r="352">
      <c r="D352" s="293"/>
    </row>
    <row r="353">
      <c r="D353" s="293"/>
    </row>
    <row r="354">
      <c r="D354" s="293"/>
    </row>
    <row r="355">
      <c r="D355" s="293"/>
    </row>
    <row r="356">
      <c r="D356" s="293"/>
    </row>
    <row r="357">
      <c r="D357" s="293"/>
    </row>
    <row r="358">
      <c r="D358" s="293"/>
    </row>
    <row r="359">
      <c r="D359" s="293"/>
    </row>
    <row r="360">
      <c r="D360" s="293"/>
    </row>
    <row r="361">
      <c r="D361" s="293"/>
    </row>
    <row r="362">
      <c r="D362" s="293"/>
    </row>
    <row r="363">
      <c r="D363" s="293"/>
    </row>
    <row r="364">
      <c r="D364" s="293"/>
    </row>
    <row r="365">
      <c r="D365" s="293"/>
    </row>
    <row r="366">
      <c r="D366" s="293"/>
    </row>
    <row r="367">
      <c r="D367" s="293"/>
    </row>
    <row r="368">
      <c r="D368" s="293"/>
    </row>
    <row r="369">
      <c r="D369" s="293"/>
    </row>
    <row r="370">
      <c r="D370" s="293"/>
    </row>
    <row r="371">
      <c r="D371" s="293"/>
    </row>
    <row r="372">
      <c r="D372" s="293"/>
    </row>
    <row r="373">
      <c r="D373" s="293"/>
    </row>
    <row r="374">
      <c r="D374" s="293"/>
    </row>
    <row r="375">
      <c r="D375" s="293"/>
    </row>
    <row r="376">
      <c r="D376" s="293"/>
    </row>
    <row r="377">
      <c r="D377" s="293"/>
    </row>
    <row r="378">
      <c r="D378" s="293"/>
    </row>
    <row r="379">
      <c r="D379" s="293"/>
    </row>
    <row r="380">
      <c r="D380" s="293"/>
    </row>
    <row r="381">
      <c r="D381" s="293"/>
    </row>
    <row r="382">
      <c r="D382" s="293"/>
    </row>
    <row r="383">
      <c r="D383" s="293"/>
    </row>
    <row r="384">
      <c r="D384" s="293"/>
    </row>
    <row r="385">
      <c r="D385" s="293"/>
    </row>
    <row r="386">
      <c r="D386" s="293"/>
    </row>
    <row r="387">
      <c r="D387" s="293"/>
    </row>
    <row r="388">
      <c r="D388" s="293"/>
    </row>
    <row r="389">
      <c r="D389" s="293"/>
    </row>
    <row r="390">
      <c r="D390" s="293"/>
    </row>
    <row r="391">
      <c r="D391" s="293"/>
    </row>
    <row r="392">
      <c r="D392" s="293"/>
    </row>
    <row r="393">
      <c r="D393" s="293"/>
    </row>
    <row r="394">
      <c r="D394" s="293"/>
    </row>
    <row r="395">
      <c r="D395" s="293"/>
    </row>
    <row r="396">
      <c r="D396" s="293"/>
    </row>
    <row r="397">
      <c r="D397" s="293"/>
    </row>
    <row r="398">
      <c r="D398" s="293"/>
    </row>
    <row r="399">
      <c r="D399" s="293"/>
    </row>
    <row r="400">
      <c r="D400" s="293"/>
    </row>
    <row r="401">
      <c r="D401" s="293"/>
    </row>
    <row r="402">
      <c r="D402" s="293"/>
    </row>
    <row r="403">
      <c r="D403" s="293"/>
    </row>
    <row r="404">
      <c r="D404" s="293"/>
    </row>
    <row r="405">
      <c r="D405" s="293"/>
    </row>
    <row r="406">
      <c r="D406" s="293"/>
    </row>
    <row r="407">
      <c r="D407" s="293"/>
    </row>
    <row r="408">
      <c r="D408" s="293"/>
    </row>
    <row r="409">
      <c r="D409" s="293"/>
    </row>
    <row r="410">
      <c r="D410" s="293"/>
    </row>
    <row r="411">
      <c r="D411" s="293"/>
    </row>
    <row r="412">
      <c r="D412" s="293"/>
    </row>
    <row r="413">
      <c r="D413" s="293"/>
    </row>
    <row r="414">
      <c r="D414" s="293"/>
    </row>
    <row r="415">
      <c r="D415" s="293"/>
    </row>
    <row r="416">
      <c r="D416" s="293"/>
    </row>
    <row r="417">
      <c r="D417" s="293"/>
    </row>
    <row r="418">
      <c r="D418" s="293"/>
    </row>
    <row r="419">
      <c r="D419" s="293"/>
    </row>
    <row r="420">
      <c r="D420" s="293"/>
    </row>
    <row r="421">
      <c r="D421" s="293"/>
    </row>
    <row r="422">
      <c r="D422" s="293"/>
    </row>
    <row r="423">
      <c r="D423" s="293"/>
    </row>
    <row r="424">
      <c r="D424" s="293"/>
    </row>
    <row r="425">
      <c r="D425" s="293"/>
    </row>
    <row r="426">
      <c r="D426" s="293"/>
    </row>
    <row r="427">
      <c r="D427" s="293"/>
    </row>
    <row r="428">
      <c r="D428" s="293"/>
    </row>
    <row r="429">
      <c r="D429" s="293"/>
    </row>
    <row r="430">
      <c r="D430" s="293"/>
    </row>
    <row r="431">
      <c r="D431" s="293"/>
    </row>
    <row r="432">
      <c r="D432" s="293"/>
    </row>
    <row r="433">
      <c r="D433" s="293"/>
    </row>
    <row r="434">
      <c r="D434" s="293"/>
    </row>
    <row r="435">
      <c r="D435" s="293"/>
    </row>
    <row r="436">
      <c r="D436" s="293"/>
    </row>
    <row r="437">
      <c r="D437" s="293"/>
    </row>
    <row r="438">
      <c r="D438" s="293"/>
    </row>
    <row r="439">
      <c r="D439" s="293"/>
    </row>
    <row r="440">
      <c r="D440" s="293"/>
    </row>
    <row r="441">
      <c r="D441" s="293"/>
    </row>
    <row r="442">
      <c r="D442" s="293"/>
    </row>
    <row r="443">
      <c r="D443" s="293"/>
    </row>
    <row r="444">
      <c r="D444" s="293"/>
    </row>
    <row r="445">
      <c r="D445" s="293"/>
    </row>
    <row r="446">
      <c r="D446" s="293"/>
    </row>
    <row r="447">
      <c r="D447" s="293"/>
    </row>
    <row r="448">
      <c r="D448" s="293"/>
    </row>
    <row r="449">
      <c r="D449" s="293"/>
    </row>
    <row r="450">
      <c r="D450" s="293"/>
    </row>
    <row r="451">
      <c r="D451" s="293"/>
    </row>
    <row r="452">
      <c r="D452" s="293"/>
    </row>
    <row r="453">
      <c r="D453" s="293"/>
    </row>
    <row r="454">
      <c r="D454" s="293"/>
    </row>
    <row r="455">
      <c r="D455" s="293"/>
    </row>
    <row r="456">
      <c r="D456" s="293"/>
    </row>
    <row r="457">
      <c r="D457" s="293"/>
    </row>
    <row r="458">
      <c r="D458" s="293"/>
    </row>
    <row r="459">
      <c r="D459" s="293"/>
    </row>
    <row r="460">
      <c r="D460" s="293"/>
    </row>
    <row r="461">
      <c r="D461" s="293"/>
    </row>
    <row r="462">
      <c r="D462" s="293"/>
    </row>
    <row r="463">
      <c r="D463" s="293"/>
    </row>
    <row r="464">
      <c r="D464" s="293"/>
    </row>
    <row r="465">
      <c r="D465" s="293"/>
    </row>
    <row r="466">
      <c r="D466" s="293"/>
    </row>
    <row r="467">
      <c r="D467" s="293"/>
    </row>
    <row r="468">
      <c r="D468" s="293"/>
    </row>
    <row r="469">
      <c r="D469" s="293"/>
    </row>
    <row r="470">
      <c r="D470" s="293"/>
    </row>
    <row r="471">
      <c r="D471" s="293"/>
    </row>
    <row r="472">
      <c r="D472" s="293"/>
    </row>
    <row r="473">
      <c r="D473" s="293"/>
    </row>
    <row r="474">
      <c r="D474" s="293"/>
    </row>
    <row r="475">
      <c r="D475" s="293"/>
    </row>
    <row r="476">
      <c r="D476" s="293"/>
    </row>
    <row r="477">
      <c r="D477" s="293"/>
    </row>
    <row r="478">
      <c r="D478" s="293"/>
    </row>
    <row r="479">
      <c r="D479" s="293"/>
    </row>
    <row r="480">
      <c r="D480" s="293"/>
    </row>
    <row r="481">
      <c r="D481" s="293"/>
    </row>
    <row r="482">
      <c r="D482" s="293"/>
    </row>
    <row r="483">
      <c r="D483" s="293"/>
    </row>
    <row r="484">
      <c r="D484" s="293"/>
    </row>
    <row r="485">
      <c r="D485" s="293"/>
    </row>
    <row r="486">
      <c r="D486" s="293"/>
    </row>
    <row r="487">
      <c r="D487" s="293"/>
    </row>
    <row r="488">
      <c r="D488" s="293"/>
    </row>
    <row r="489">
      <c r="D489" s="293"/>
    </row>
    <row r="490">
      <c r="D490" s="293"/>
    </row>
    <row r="491">
      <c r="D491" s="293"/>
    </row>
    <row r="492">
      <c r="D492" s="293"/>
    </row>
    <row r="493">
      <c r="D493" s="293"/>
    </row>
    <row r="494">
      <c r="D494" s="293"/>
    </row>
    <row r="495">
      <c r="D495" s="293"/>
    </row>
    <row r="496">
      <c r="D496" s="293"/>
    </row>
    <row r="497">
      <c r="D497" s="293"/>
    </row>
    <row r="498">
      <c r="D498" s="293"/>
    </row>
    <row r="499">
      <c r="D499" s="293"/>
    </row>
    <row r="500">
      <c r="D500" s="293"/>
    </row>
    <row r="501">
      <c r="D501" s="293"/>
    </row>
    <row r="502">
      <c r="D502" s="293"/>
    </row>
    <row r="503">
      <c r="D503" s="293"/>
    </row>
    <row r="504">
      <c r="D504" s="293"/>
    </row>
    <row r="505">
      <c r="D505" s="293"/>
    </row>
    <row r="506">
      <c r="D506" s="293"/>
    </row>
    <row r="507">
      <c r="D507" s="293"/>
    </row>
    <row r="508">
      <c r="D508" s="293"/>
    </row>
    <row r="509">
      <c r="D509" s="293"/>
    </row>
    <row r="510">
      <c r="D510" s="293"/>
    </row>
    <row r="511">
      <c r="D511" s="293"/>
    </row>
    <row r="512">
      <c r="D512" s="293"/>
    </row>
    <row r="513">
      <c r="D513" s="293"/>
    </row>
    <row r="514">
      <c r="D514" s="293"/>
    </row>
    <row r="515">
      <c r="D515" s="293"/>
    </row>
    <row r="516">
      <c r="D516" s="293"/>
    </row>
    <row r="517">
      <c r="D517" s="293"/>
    </row>
    <row r="518">
      <c r="D518" s="293"/>
    </row>
    <row r="519">
      <c r="D519" s="293"/>
    </row>
    <row r="520">
      <c r="D520" s="293"/>
    </row>
    <row r="521">
      <c r="D521" s="293"/>
    </row>
    <row r="522">
      <c r="D522" s="293"/>
    </row>
    <row r="523">
      <c r="D523" s="293"/>
    </row>
    <row r="524">
      <c r="D524" s="293"/>
    </row>
    <row r="525">
      <c r="D525" s="293"/>
    </row>
    <row r="526">
      <c r="D526" s="293"/>
    </row>
    <row r="527">
      <c r="D527" s="293"/>
    </row>
    <row r="528">
      <c r="D528" s="293"/>
    </row>
    <row r="529">
      <c r="D529" s="293"/>
    </row>
    <row r="530">
      <c r="D530" s="293"/>
    </row>
    <row r="531">
      <c r="D531" s="293"/>
    </row>
    <row r="532">
      <c r="D532" s="293"/>
    </row>
    <row r="533">
      <c r="D533" s="293"/>
    </row>
    <row r="534">
      <c r="D534" s="293"/>
    </row>
    <row r="535">
      <c r="D535" s="293"/>
    </row>
    <row r="536">
      <c r="D536" s="293"/>
    </row>
    <row r="537">
      <c r="D537" s="293"/>
    </row>
    <row r="538">
      <c r="D538" s="293"/>
    </row>
    <row r="539">
      <c r="D539" s="293"/>
    </row>
    <row r="540">
      <c r="D540" s="293"/>
    </row>
    <row r="541">
      <c r="D541" s="293"/>
    </row>
    <row r="542">
      <c r="D542" s="293"/>
    </row>
    <row r="543">
      <c r="D543" s="293"/>
    </row>
    <row r="544">
      <c r="D544" s="293"/>
    </row>
    <row r="545">
      <c r="D545" s="293"/>
    </row>
    <row r="546">
      <c r="D546" s="293"/>
    </row>
    <row r="547">
      <c r="D547" s="293"/>
    </row>
    <row r="548">
      <c r="D548" s="293"/>
    </row>
    <row r="549">
      <c r="D549" s="293"/>
    </row>
    <row r="550">
      <c r="D550" s="293"/>
    </row>
    <row r="551">
      <c r="D551" s="293"/>
    </row>
    <row r="552">
      <c r="D552" s="293"/>
    </row>
    <row r="553">
      <c r="D553" s="293"/>
    </row>
    <row r="554">
      <c r="D554" s="293"/>
    </row>
    <row r="555">
      <c r="D555" s="293"/>
    </row>
    <row r="556">
      <c r="D556" s="293"/>
    </row>
    <row r="557">
      <c r="D557" s="293"/>
    </row>
    <row r="558">
      <c r="D558" s="293"/>
    </row>
    <row r="559">
      <c r="D559" s="293"/>
    </row>
    <row r="560">
      <c r="D560" s="293"/>
    </row>
    <row r="561">
      <c r="D561" s="293"/>
    </row>
    <row r="562">
      <c r="D562" s="293"/>
    </row>
    <row r="563">
      <c r="D563" s="293"/>
    </row>
    <row r="564">
      <c r="D564" s="293"/>
    </row>
    <row r="565">
      <c r="D565" s="293"/>
    </row>
    <row r="566">
      <c r="D566" s="293"/>
    </row>
    <row r="567">
      <c r="D567" s="293"/>
    </row>
    <row r="568">
      <c r="D568" s="293"/>
    </row>
    <row r="569">
      <c r="D569" s="293"/>
    </row>
    <row r="570">
      <c r="D570" s="293"/>
    </row>
    <row r="571">
      <c r="D571" s="293"/>
    </row>
    <row r="572">
      <c r="D572" s="293"/>
    </row>
    <row r="573">
      <c r="D573" s="293"/>
    </row>
    <row r="574">
      <c r="D574" s="293"/>
    </row>
    <row r="575">
      <c r="D575" s="293"/>
    </row>
    <row r="576">
      <c r="D576" s="293"/>
    </row>
    <row r="577">
      <c r="D577" s="293"/>
    </row>
    <row r="578">
      <c r="D578" s="293"/>
    </row>
    <row r="579">
      <c r="D579" s="293"/>
    </row>
    <row r="580">
      <c r="D580" s="293"/>
    </row>
    <row r="581">
      <c r="D581" s="293"/>
    </row>
    <row r="582">
      <c r="D582" s="293"/>
    </row>
    <row r="583">
      <c r="D583" s="293"/>
    </row>
    <row r="584">
      <c r="D584" s="293"/>
    </row>
    <row r="585">
      <c r="D585" s="293"/>
    </row>
    <row r="586">
      <c r="D586" s="293"/>
    </row>
    <row r="587">
      <c r="D587" s="293"/>
    </row>
    <row r="588">
      <c r="D588" s="293"/>
    </row>
    <row r="589">
      <c r="D589" s="293"/>
    </row>
    <row r="590">
      <c r="D590" s="293"/>
    </row>
    <row r="591">
      <c r="D591" s="293"/>
    </row>
    <row r="592">
      <c r="D592" s="293"/>
    </row>
    <row r="593">
      <c r="D593" s="293"/>
    </row>
    <row r="594">
      <c r="D594" s="293"/>
    </row>
    <row r="595">
      <c r="D595" s="293"/>
    </row>
    <row r="596">
      <c r="D596" s="293"/>
    </row>
    <row r="597">
      <c r="D597" s="293"/>
    </row>
    <row r="598">
      <c r="D598" s="293"/>
    </row>
    <row r="599">
      <c r="D599" s="293"/>
    </row>
    <row r="600">
      <c r="D600" s="293"/>
    </row>
    <row r="601">
      <c r="D601" s="293"/>
    </row>
    <row r="602">
      <c r="D602" s="293"/>
    </row>
    <row r="603">
      <c r="D603" s="293"/>
    </row>
    <row r="604">
      <c r="D604" s="293"/>
    </row>
    <row r="605">
      <c r="D605" s="293"/>
    </row>
    <row r="606">
      <c r="D606" s="293"/>
    </row>
    <row r="607">
      <c r="D607" s="293"/>
    </row>
    <row r="608">
      <c r="D608" s="293"/>
    </row>
    <row r="609">
      <c r="D609" s="293"/>
    </row>
    <row r="610">
      <c r="D610" s="293"/>
    </row>
    <row r="611">
      <c r="D611" s="293"/>
    </row>
    <row r="612">
      <c r="D612" s="293"/>
    </row>
    <row r="613">
      <c r="D613" s="293"/>
    </row>
    <row r="614">
      <c r="D614" s="293"/>
    </row>
    <row r="615">
      <c r="D615" s="293"/>
    </row>
    <row r="616">
      <c r="D616" s="293"/>
    </row>
    <row r="617">
      <c r="D617" s="293"/>
    </row>
    <row r="618">
      <c r="D618" s="293"/>
    </row>
    <row r="619">
      <c r="D619" s="293"/>
    </row>
    <row r="620">
      <c r="D620" s="293"/>
    </row>
    <row r="621">
      <c r="D621" s="293"/>
    </row>
    <row r="622">
      <c r="D622" s="293"/>
    </row>
    <row r="623">
      <c r="D623" s="293"/>
    </row>
    <row r="624">
      <c r="D624" s="293"/>
    </row>
    <row r="625">
      <c r="D625" s="293"/>
    </row>
    <row r="626">
      <c r="D626" s="293"/>
    </row>
    <row r="627">
      <c r="D627" s="293"/>
    </row>
    <row r="628">
      <c r="D628" s="293"/>
    </row>
    <row r="629">
      <c r="D629" s="293"/>
    </row>
    <row r="630">
      <c r="D630" s="293"/>
    </row>
    <row r="631">
      <c r="D631" s="293"/>
    </row>
    <row r="632">
      <c r="D632" s="293"/>
    </row>
    <row r="633">
      <c r="D633" s="293"/>
    </row>
    <row r="634">
      <c r="D634" s="293"/>
    </row>
    <row r="635">
      <c r="D635" s="293"/>
    </row>
    <row r="636">
      <c r="D636" s="293"/>
    </row>
    <row r="637">
      <c r="D637" s="293"/>
    </row>
    <row r="638">
      <c r="D638" s="293"/>
    </row>
    <row r="639">
      <c r="D639" s="293"/>
    </row>
    <row r="640">
      <c r="D640" s="293"/>
    </row>
    <row r="641">
      <c r="D641" s="293"/>
    </row>
    <row r="642">
      <c r="D642" s="293"/>
    </row>
    <row r="643">
      <c r="D643" s="293"/>
    </row>
    <row r="644">
      <c r="D644" s="293"/>
    </row>
    <row r="645">
      <c r="D645" s="293"/>
    </row>
    <row r="646">
      <c r="D646" s="293"/>
    </row>
    <row r="647">
      <c r="D647" s="293"/>
    </row>
    <row r="648">
      <c r="D648" s="293"/>
    </row>
    <row r="649">
      <c r="D649" s="293"/>
    </row>
    <row r="650">
      <c r="D650" s="293"/>
    </row>
    <row r="651">
      <c r="D651" s="293"/>
    </row>
    <row r="652">
      <c r="D652" s="293"/>
    </row>
    <row r="653">
      <c r="D653" s="293"/>
    </row>
    <row r="654">
      <c r="D654" s="293"/>
    </row>
    <row r="655">
      <c r="D655" s="293"/>
    </row>
    <row r="656">
      <c r="D656" s="293"/>
    </row>
    <row r="657">
      <c r="D657" s="293"/>
    </row>
    <row r="658">
      <c r="D658" s="293"/>
    </row>
    <row r="659">
      <c r="D659" s="293"/>
    </row>
    <row r="660">
      <c r="D660" s="293"/>
    </row>
    <row r="661">
      <c r="D661" s="293"/>
    </row>
    <row r="662">
      <c r="D662" s="293"/>
    </row>
    <row r="663">
      <c r="D663" s="293"/>
    </row>
    <row r="664">
      <c r="D664" s="293"/>
    </row>
    <row r="665">
      <c r="D665" s="293"/>
    </row>
    <row r="666">
      <c r="D666" s="293"/>
    </row>
    <row r="667">
      <c r="D667" s="293"/>
    </row>
    <row r="668">
      <c r="D668" s="293"/>
    </row>
    <row r="669">
      <c r="D669" s="293"/>
    </row>
    <row r="670">
      <c r="D670" s="293"/>
    </row>
    <row r="671">
      <c r="D671" s="293"/>
    </row>
    <row r="672">
      <c r="D672" s="293"/>
    </row>
    <row r="673">
      <c r="D673" s="293"/>
    </row>
    <row r="674">
      <c r="D674" s="293"/>
    </row>
    <row r="675">
      <c r="D675" s="293"/>
    </row>
    <row r="676">
      <c r="D676" s="293"/>
    </row>
    <row r="677">
      <c r="D677" s="293"/>
    </row>
    <row r="678">
      <c r="D678" s="293"/>
    </row>
    <row r="679">
      <c r="D679" s="293"/>
    </row>
    <row r="680">
      <c r="D680" s="293"/>
    </row>
    <row r="681">
      <c r="D681" s="293"/>
    </row>
    <row r="682">
      <c r="D682" s="293"/>
    </row>
    <row r="683">
      <c r="D683" s="293"/>
    </row>
    <row r="684">
      <c r="D684" s="293"/>
    </row>
    <row r="685">
      <c r="D685" s="293"/>
    </row>
    <row r="686">
      <c r="D686" s="293"/>
    </row>
    <row r="687">
      <c r="D687" s="293"/>
    </row>
    <row r="688">
      <c r="D688" s="293"/>
    </row>
    <row r="689">
      <c r="D689" s="293"/>
    </row>
    <row r="690">
      <c r="D690" s="293"/>
    </row>
    <row r="691">
      <c r="D691" s="293"/>
    </row>
    <row r="692">
      <c r="D692" s="293"/>
    </row>
    <row r="693">
      <c r="D693" s="293"/>
    </row>
    <row r="694">
      <c r="D694" s="293"/>
    </row>
    <row r="695">
      <c r="D695" s="293"/>
    </row>
    <row r="696">
      <c r="D696" s="293"/>
    </row>
    <row r="697">
      <c r="D697" s="293"/>
    </row>
    <row r="698">
      <c r="D698" s="293"/>
    </row>
    <row r="699">
      <c r="D699" s="293"/>
    </row>
    <row r="700">
      <c r="D700" s="293"/>
    </row>
    <row r="701">
      <c r="D701" s="293"/>
    </row>
    <row r="702">
      <c r="D702" s="293"/>
    </row>
    <row r="703">
      <c r="D703" s="293"/>
    </row>
    <row r="704">
      <c r="D704" s="293"/>
    </row>
    <row r="705">
      <c r="D705" s="293"/>
    </row>
    <row r="706">
      <c r="D706" s="293"/>
    </row>
    <row r="707">
      <c r="D707" s="293"/>
    </row>
    <row r="708">
      <c r="D708" s="293"/>
    </row>
    <row r="709">
      <c r="D709" s="293"/>
    </row>
    <row r="710">
      <c r="D710" s="293"/>
    </row>
    <row r="711">
      <c r="D711" s="293"/>
    </row>
    <row r="712">
      <c r="D712" s="293"/>
    </row>
    <row r="713">
      <c r="D713" s="293"/>
    </row>
    <row r="714">
      <c r="D714" s="293"/>
    </row>
    <row r="715">
      <c r="D715" s="293"/>
    </row>
    <row r="716">
      <c r="D716" s="293"/>
    </row>
    <row r="717">
      <c r="D717" s="293"/>
    </row>
    <row r="718">
      <c r="D718" s="293"/>
    </row>
    <row r="719">
      <c r="D719" s="293"/>
    </row>
    <row r="720">
      <c r="D720" s="293"/>
    </row>
    <row r="721">
      <c r="D721" s="293"/>
    </row>
    <row r="722">
      <c r="D722" s="293"/>
    </row>
    <row r="723">
      <c r="D723" s="293"/>
    </row>
    <row r="724">
      <c r="D724" s="293"/>
    </row>
    <row r="725">
      <c r="D725" s="293"/>
    </row>
    <row r="726">
      <c r="D726" s="293"/>
    </row>
    <row r="727">
      <c r="D727" s="293"/>
    </row>
    <row r="728">
      <c r="D728" s="293"/>
    </row>
    <row r="729">
      <c r="D729" s="293"/>
    </row>
    <row r="730">
      <c r="D730" s="293"/>
    </row>
    <row r="731">
      <c r="D731" s="293"/>
    </row>
    <row r="732">
      <c r="D732" s="293"/>
    </row>
    <row r="733">
      <c r="D733" s="293"/>
    </row>
    <row r="734">
      <c r="D734" s="293"/>
    </row>
    <row r="735">
      <c r="D735" s="293"/>
    </row>
    <row r="736">
      <c r="D736" s="293"/>
    </row>
    <row r="737">
      <c r="D737" s="293"/>
    </row>
    <row r="738">
      <c r="D738" s="293"/>
    </row>
    <row r="739">
      <c r="D739" s="293"/>
    </row>
    <row r="740">
      <c r="D740" s="293"/>
    </row>
    <row r="741">
      <c r="D741" s="293"/>
    </row>
    <row r="742">
      <c r="D742" s="293"/>
    </row>
    <row r="743">
      <c r="D743" s="293"/>
    </row>
    <row r="744">
      <c r="D744" s="293"/>
    </row>
    <row r="745">
      <c r="D745" s="293"/>
    </row>
    <row r="746">
      <c r="D746" s="293"/>
    </row>
    <row r="747">
      <c r="D747" s="293"/>
    </row>
    <row r="748">
      <c r="D748" s="293"/>
    </row>
    <row r="749">
      <c r="D749" s="293"/>
    </row>
    <row r="750">
      <c r="D750" s="293"/>
    </row>
    <row r="751">
      <c r="D751" s="293"/>
    </row>
    <row r="752">
      <c r="D752" s="293"/>
    </row>
    <row r="753">
      <c r="D753" s="293"/>
    </row>
    <row r="754">
      <c r="D754" s="293"/>
    </row>
    <row r="755">
      <c r="D755" s="293"/>
    </row>
    <row r="756">
      <c r="D756" s="293"/>
    </row>
    <row r="757">
      <c r="D757" s="293"/>
    </row>
    <row r="758">
      <c r="D758" s="293"/>
    </row>
    <row r="759">
      <c r="D759" s="293"/>
    </row>
    <row r="760">
      <c r="D760" s="293"/>
    </row>
    <row r="761">
      <c r="D761" s="293"/>
    </row>
    <row r="762">
      <c r="D762" s="293"/>
    </row>
    <row r="763">
      <c r="D763" s="293"/>
    </row>
    <row r="764">
      <c r="D764" s="293"/>
    </row>
    <row r="765">
      <c r="D765" s="293"/>
    </row>
    <row r="766">
      <c r="D766" s="293"/>
    </row>
    <row r="767">
      <c r="D767" s="293"/>
    </row>
    <row r="768">
      <c r="D768" s="293"/>
    </row>
    <row r="769">
      <c r="D769" s="293"/>
    </row>
    <row r="770">
      <c r="D770" s="293"/>
    </row>
    <row r="771">
      <c r="D771" s="293"/>
    </row>
    <row r="772">
      <c r="D772" s="293"/>
    </row>
    <row r="773">
      <c r="D773" s="293"/>
    </row>
    <row r="774">
      <c r="D774" s="293"/>
    </row>
    <row r="775">
      <c r="D775" s="293"/>
    </row>
    <row r="776">
      <c r="D776" s="293"/>
    </row>
    <row r="777">
      <c r="D777" s="293"/>
    </row>
    <row r="778">
      <c r="D778" s="293"/>
    </row>
    <row r="779">
      <c r="D779" s="293"/>
    </row>
    <row r="780">
      <c r="D780" s="293"/>
    </row>
    <row r="781">
      <c r="D781" s="293"/>
    </row>
    <row r="782">
      <c r="D782" s="293"/>
    </row>
    <row r="783">
      <c r="D783" s="293"/>
    </row>
    <row r="784">
      <c r="D784" s="293"/>
    </row>
    <row r="785">
      <c r="D785" s="293"/>
    </row>
    <row r="786">
      <c r="D786" s="293"/>
    </row>
    <row r="787">
      <c r="D787" s="293"/>
    </row>
    <row r="788">
      <c r="D788" s="293"/>
    </row>
    <row r="789">
      <c r="D789" s="293"/>
    </row>
    <row r="790">
      <c r="D790" s="293"/>
    </row>
    <row r="791">
      <c r="D791" s="293"/>
    </row>
    <row r="792">
      <c r="D792" s="293"/>
    </row>
    <row r="793">
      <c r="D793" s="293"/>
    </row>
    <row r="794">
      <c r="D794" s="293"/>
    </row>
    <row r="795">
      <c r="D795" s="293"/>
    </row>
    <row r="796">
      <c r="D796" s="293"/>
    </row>
    <row r="797">
      <c r="D797" s="293"/>
    </row>
    <row r="798">
      <c r="D798" s="293"/>
    </row>
    <row r="799">
      <c r="D799" s="293"/>
    </row>
    <row r="800">
      <c r="D800" s="293"/>
    </row>
    <row r="801">
      <c r="D801" s="293"/>
    </row>
    <row r="802">
      <c r="D802" s="293"/>
    </row>
    <row r="803">
      <c r="D803" s="293"/>
    </row>
    <row r="804">
      <c r="D804" s="293"/>
    </row>
    <row r="805">
      <c r="D805" s="293"/>
    </row>
    <row r="806">
      <c r="D806" s="293"/>
    </row>
    <row r="807">
      <c r="D807" s="293"/>
    </row>
    <row r="808">
      <c r="D808" s="293"/>
    </row>
    <row r="809">
      <c r="D809" s="293"/>
    </row>
    <row r="810">
      <c r="D810" s="293"/>
    </row>
    <row r="811">
      <c r="D811" s="293"/>
    </row>
    <row r="812">
      <c r="D812" s="293"/>
    </row>
    <row r="813">
      <c r="D813" s="293"/>
    </row>
    <row r="814">
      <c r="D814" s="293"/>
    </row>
    <row r="815">
      <c r="D815" s="293"/>
    </row>
    <row r="816">
      <c r="D816" s="293"/>
    </row>
    <row r="817">
      <c r="D817" s="293"/>
    </row>
    <row r="818">
      <c r="D818" s="293"/>
    </row>
    <row r="819">
      <c r="D819" s="293"/>
    </row>
    <row r="820">
      <c r="D820" s="293"/>
    </row>
    <row r="821">
      <c r="D821" s="293"/>
    </row>
    <row r="822">
      <c r="D822" s="293"/>
    </row>
    <row r="823">
      <c r="D823" s="293"/>
    </row>
    <row r="824">
      <c r="D824" s="293"/>
    </row>
    <row r="825">
      <c r="D825" s="293"/>
    </row>
    <row r="826">
      <c r="D826" s="293"/>
    </row>
    <row r="827">
      <c r="D827" s="293"/>
    </row>
    <row r="828">
      <c r="D828" s="293"/>
    </row>
    <row r="829">
      <c r="D829" s="293"/>
    </row>
    <row r="830">
      <c r="D830" s="293"/>
    </row>
    <row r="831">
      <c r="D831" s="293"/>
    </row>
    <row r="832">
      <c r="D832" s="293"/>
    </row>
    <row r="833">
      <c r="D833" s="293"/>
    </row>
    <row r="834">
      <c r="D834" s="293"/>
    </row>
    <row r="835">
      <c r="D835" s="293"/>
    </row>
    <row r="836">
      <c r="D836" s="293"/>
    </row>
    <row r="837">
      <c r="D837" s="293"/>
    </row>
    <row r="838">
      <c r="D838" s="293"/>
    </row>
    <row r="839">
      <c r="D839" s="293"/>
    </row>
    <row r="840">
      <c r="D840" s="293"/>
    </row>
    <row r="841">
      <c r="D841" s="293"/>
    </row>
    <row r="842">
      <c r="D842" s="293"/>
    </row>
    <row r="843">
      <c r="D843" s="293"/>
    </row>
    <row r="844">
      <c r="D844" s="293"/>
    </row>
    <row r="845">
      <c r="D845" s="293"/>
    </row>
    <row r="846">
      <c r="D846" s="293"/>
    </row>
    <row r="847">
      <c r="D847" s="293"/>
    </row>
    <row r="848">
      <c r="D848" s="293"/>
    </row>
    <row r="849">
      <c r="D849" s="293"/>
    </row>
    <row r="850">
      <c r="D850" s="293"/>
    </row>
    <row r="851">
      <c r="D851" s="293"/>
    </row>
    <row r="852">
      <c r="D852" s="293"/>
    </row>
    <row r="853">
      <c r="D853" s="293"/>
    </row>
    <row r="854">
      <c r="D854" s="293"/>
    </row>
    <row r="855">
      <c r="D855" s="293"/>
    </row>
    <row r="856">
      <c r="D856" s="293"/>
    </row>
    <row r="857">
      <c r="D857" s="293"/>
    </row>
    <row r="858">
      <c r="D858" s="293"/>
    </row>
    <row r="859">
      <c r="D859" s="293"/>
    </row>
    <row r="860">
      <c r="D860" s="293"/>
    </row>
    <row r="861">
      <c r="D861" s="293"/>
    </row>
    <row r="862">
      <c r="D862" s="293"/>
    </row>
    <row r="863">
      <c r="D863" s="293"/>
    </row>
    <row r="864">
      <c r="D864" s="293"/>
    </row>
    <row r="865">
      <c r="D865" s="293"/>
    </row>
    <row r="866">
      <c r="D866" s="293"/>
    </row>
    <row r="867">
      <c r="D867" s="293"/>
    </row>
    <row r="868">
      <c r="D868" s="293"/>
    </row>
    <row r="869">
      <c r="D869" s="293"/>
    </row>
    <row r="870">
      <c r="D870" s="293"/>
    </row>
    <row r="871">
      <c r="D871" s="293"/>
    </row>
    <row r="872">
      <c r="D872" s="293"/>
    </row>
    <row r="873">
      <c r="D873" s="293"/>
    </row>
    <row r="874">
      <c r="D874" s="293"/>
    </row>
    <row r="875">
      <c r="D875" s="293"/>
    </row>
    <row r="876">
      <c r="D876" s="293"/>
    </row>
    <row r="877">
      <c r="D877" s="293"/>
    </row>
    <row r="878">
      <c r="D878" s="293"/>
    </row>
    <row r="879">
      <c r="D879" s="293"/>
    </row>
    <row r="880">
      <c r="D880" s="293"/>
    </row>
    <row r="881">
      <c r="D881" s="293"/>
    </row>
    <row r="882">
      <c r="D882" s="293"/>
    </row>
    <row r="883">
      <c r="D883" s="293"/>
    </row>
    <row r="884">
      <c r="D884" s="293"/>
    </row>
    <row r="885">
      <c r="D885" s="293"/>
    </row>
    <row r="886">
      <c r="D886" s="293"/>
    </row>
    <row r="887">
      <c r="D887" s="293"/>
    </row>
    <row r="888">
      <c r="D888" s="293"/>
    </row>
    <row r="889">
      <c r="D889" s="293"/>
    </row>
    <row r="890">
      <c r="D890" s="293"/>
    </row>
    <row r="891">
      <c r="D891" s="293"/>
    </row>
    <row r="892">
      <c r="D892" s="293"/>
    </row>
    <row r="893">
      <c r="D893" s="293"/>
    </row>
    <row r="894">
      <c r="D894" s="293"/>
    </row>
    <row r="895">
      <c r="D895" s="293"/>
    </row>
    <row r="896">
      <c r="D896" s="293"/>
    </row>
    <row r="897">
      <c r="D897" s="293"/>
    </row>
    <row r="898">
      <c r="D898" s="293"/>
    </row>
    <row r="899">
      <c r="D899" s="293"/>
    </row>
    <row r="900">
      <c r="D900" s="293"/>
    </row>
    <row r="901">
      <c r="D901" s="293"/>
    </row>
    <row r="902">
      <c r="D902" s="293"/>
    </row>
    <row r="903">
      <c r="D903" s="293"/>
    </row>
    <row r="904">
      <c r="D904" s="293"/>
    </row>
    <row r="905">
      <c r="D905" s="293"/>
    </row>
    <row r="906">
      <c r="D906" s="293"/>
    </row>
    <row r="907">
      <c r="D907" s="293"/>
    </row>
    <row r="908">
      <c r="D908" s="293"/>
    </row>
    <row r="909">
      <c r="D909" s="293"/>
    </row>
    <row r="910">
      <c r="D910" s="293"/>
    </row>
    <row r="911">
      <c r="D911" s="293"/>
    </row>
    <row r="912">
      <c r="D912" s="293"/>
    </row>
    <row r="913">
      <c r="D913" s="293"/>
    </row>
    <row r="914">
      <c r="D914" s="293"/>
    </row>
    <row r="915">
      <c r="D915" s="293"/>
    </row>
    <row r="916">
      <c r="D916" s="293"/>
    </row>
    <row r="917">
      <c r="D917" s="293"/>
    </row>
    <row r="918">
      <c r="D918" s="293"/>
    </row>
    <row r="919">
      <c r="D919" s="293"/>
    </row>
    <row r="920">
      <c r="D920" s="293"/>
    </row>
    <row r="921">
      <c r="D921" s="293"/>
    </row>
    <row r="922">
      <c r="D922" s="293"/>
    </row>
    <row r="923">
      <c r="D923" s="293"/>
    </row>
    <row r="924">
      <c r="D924" s="293"/>
    </row>
    <row r="925">
      <c r="D925" s="293"/>
    </row>
    <row r="926">
      <c r="D926" s="293"/>
    </row>
    <row r="927">
      <c r="D927" s="293"/>
    </row>
    <row r="928">
      <c r="D928" s="293"/>
    </row>
    <row r="929">
      <c r="D929" s="293"/>
    </row>
    <row r="930">
      <c r="D930" s="293"/>
    </row>
    <row r="931">
      <c r="D931" s="293"/>
    </row>
    <row r="932">
      <c r="D932" s="293"/>
    </row>
    <row r="933">
      <c r="D933" s="293"/>
    </row>
    <row r="934">
      <c r="D934" s="293"/>
    </row>
    <row r="935">
      <c r="D935" s="293"/>
    </row>
    <row r="936">
      <c r="D936" s="293"/>
    </row>
    <row r="937">
      <c r="D937" s="293"/>
    </row>
    <row r="938">
      <c r="D938" s="293"/>
    </row>
    <row r="939">
      <c r="D939" s="293"/>
    </row>
    <row r="940">
      <c r="D940" s="293"/>
    </row>
    <row r="941">
      <c r="D941" s="293"/>
    </row>
    <row r="942">
      <c r="D942" s="293"/>
    </row>
    <row r="943">
      <c r="D943" s="293"/>
    </row>
    <row r="944">
      <c r="D944" s="293"/>
    </row>
    <row r="945">
      <c r="D945" s="293"/>
    </row>
    <row r="946">
      <c r="D946" s="293"/>
    </row>
    <row r="947">
      <c r="D947" s="293"/>
    </row>
    <row r="948">
      <c r="D948" s="293"/>
    </row>
    <row r="949">
      <c r="D949" s="293"/>
    </row>
    <row r="950">
      <c r="D950" s="293"/>
    </row>
    <row r="951">
      <c r="D951" s="293"/>
    </row>
    <row r="952">
      <c r="D952" s="293"/>
    </row>
    <row r="953">
      <c r="D953" s="293"/>
    </row>
    <row r="954">
      <c r="D954" s="293"/>
    </row>
    <row r="955">
      <c r="D955" s="293"/>
    </row>
    <row r="956">
      <c r="D956" s="293"/>
    </row>
    <row r="957">
      <c r="D957" s="293"/>
    </row>
    <row r="958">
      <c r="D958" s="293"/>
    </row>
    <row r="959">
      <c r="D959" s="293"/>
    </row>
    <row r="960">
      <c r="D960" s="293"/>
    </row>
    <row r="961">
      <c r="D961" s="293"/>
    </row>
    <row r="962">
      <c r="D962" s="293"/>
    </row>
    <row r="963">
      <c r="D963" s="293"/>
    </row>
    <row r="964">
      <c r="D964" s="293"/>
    </row>
    <row r="965">
      <c r="D965" s="293"/>
    </row>
    <row r="966">
      <c r="D966" s="293"/>
    </row>
    <row r="967">
      <c r="D967" s="293"/>
    </row>
    <row r="968">
      <c r="D968" s="293"/>
    </row>
    <row r="969">
      <c r="D969" s="293"/>
    </row>
    <row r="970">
      <c r="D970" s="293"/>
    </row>
    <row r="971">
      <c r="D971" s="293"/>
    </row>
    <row r="972">
      <c r="D972" s="293"/>
    </row>
    <row r="973">
      <c r="D973" s="293"/>
    </row>
    <row r="974">
      <c r="D974" s="293"/>
    </row>
    <row r="975">
      <c r="D975" s="293"/>
    </row>
    <row r="976">
      <c r="D976" s="293"/>
    </row>
    <row r="977">
      <c r="D977" s="293"/>
    </row>
    <row r="978">
      <c r="D978" s="293"/>
    </row>
    <row r="979">
      <c r="D979" s="293"/>
    </row>
    <row r="980">
      <c r="D980" s="293"/>
    </row>
    <row r="981">
      <c r="D981" s="293"/>
    </row>
    <row r="982">
      <c r="D982" s="293"/>
    </row>
    <row r="983">
      <c r="D983" s="293"/>
    </row>
    <row r="984">
      <c r="D984" s="293"/>
    </row>
    <row r="985">
      <c r="D985" s="293"/>
    </row>
    <row r="986">
      <c r="D986" s="293"/>
    </row>
    <row r="987">
      <c r="D987" s="293"/>
    </row>
    <row r="988">
      <c r="D988" s="293"/>
    </row>
    <row r="989">
      <c r="D989" s="293"/>
    </row>
    <row r="990">
      <c r="D990" s="293"/>
    </row>
    <row r="991">
      <c r="D991" s="293"/>
    </row>
    <row r="992">
      <c r="D992" s="293"/>
    </row>
    <row r="993">
      <c r="D993" s="293"/>
    </row>
    <row r="994">
      <c r="D994" s="293"/>
    </row>
    <row r="995">
      <c r="D995" s="293"/>
    </row>
    <row r="996">
      <c r="D996" s="293"/>
    </row>
    <row r="997">
      <c r="D997" s="293"/>
    </row>
    <row r="998">
      <c r="D998" s="293"/>
    </row>
    <row r="999">
      <c r="D999" s="293"/>
    </row>
  </sheetData>
  <mergeCells count="34">
    <mergeCell ref="A15:E15"/>
    <mergeCell ref="A16:E16"/>
    <mergeCell ref="F16:H16"/>
    <mergeCell ref="A12:E12"/>
    <mergeCell ref="F12:H12"/>
    <mergeCell ref="A13:E13"/>
    <mergeCell ref="F13:H13"/>
    <mergeCell ref="A14:E14"/>
    <mergeCell ref="F14:H14"/>
    <mergeCell ref="F15:H15"/>
    <mergeCell ref="E4:E5"/>
    <mergeCell ref="F4:F5"/>
    <mergeCell ref="G4:G5"/>
    <mergeCell ref="H4:H5"/>
    <mergeCell ref="B6:B7"/>
    <mergeCell ref="C6:C7"/>
    <mergeCell ref="D6:D7"/>
    <mergeCell ref="E6:E7"/>
    <mergeCell ref="F6:F7"/>
    <mergeCell ref="G6:G7"/>
    <mergeCell ref="A1:H1"/>
    <mergeCell ref="A2:H2"/>
    <mergeCell ref="A3:A7"/>
    <mergeCell ref="B3:H3"/>
    <mergeCell ref="B4:B5"/>
    <mergeCell ref="C4:C5"/>
    <mergeCell ref="D4:D5"/>
    <mergeCell ref="H6:H7"/>
    <mergeCell ref="A8:H8"/>
    <mergeCell ref="A9:H9"/>
    <mergeCell ref="A10:E10"/>
    <mergeCell ref="F10:H10"/>
    <mergeCell ref="A11:E11"/>
    <mergeCell ref="F11:H11"/>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17.44"/>
    <col customWidth="1" min="3" max="3" width="45.67"/>
    <col customWidth="1" min="4" max="4" width="36.33"/>
    <col customWidth="1" min="5" max="5" width="42.44"/>
    <col customWidth="1" min="6" max="6" width="32.33"/>
    <col customWidth="1" min="7" max="7" width="29.0"/>
    <col customWidth="1" min="8" max="26" width="8.56"/>
  </cols>
  <sheetData>
    <row r="1">
      <c r="A1" s="880" t="s">
        <v>360</v>
      </c>
      <c r="B1" s="62"/>
      <c r="C1" s="62"/>
      <c r="D1" s="62"/>
      <c r="E1" s="62"/>
      <c r="F1" s="62"/>
      <c r="G1" s="63"/>
    </row>
    <row r="2" ht="33.75" customHeight="1">
      <c r="A2" s="896" t="s">
        <v>4859</v>
      </c>
      <c r="B2" s="62"/>
      <c r="C2" s="62"/>
      <c r="D2" s="62"/>
      <c r="E2" s="62"/>
      <c r="F2" s="62"/>
      <c r="G2" s="63"/>
    </row>
    <row r="3" ht="22.5" customHeight="1">
      <c r="A3" s="890" t="s">
        <v>4860</v>
      </c>
      <c r="B3" s="63"/>
      <c r="C3" s="396" t="s">
        <v>4861</v>
      </c>
      <c r="D3" s="396" t="s">
        <v>4862</v>
      </c>
      <c r="E3" s="396" t="s">
        <v>4863</v>
      </c>
      <c r="F3" s="396" t="s">
        <v>4864</v>
      </c>
      <c r="G3" s="396" t="s">
        <v>4865</v>
      </c>
    </row>
    <row r="4" ht="51.0" customHeight="1">
      <c r="A4" s="407" t="s">
        <v>4866</v>
      </c>
      <c r="B4" s="407" t="s">
        <v>4867</v>
      </c>
      <c r="C4" s="407" t="s">
        <v>4868</v>
      </c>
      <c r="D4" s="407" t="s">
        <v>4869</v>
      </c>
      <c r="E4" s="407" t="s">
        <v>4869</v>
      </c>
      <c r="F4" s="407" t="s">
        <v>4868</v>
      </c>
      <c r="G4" s="407" t="s">
        <v>4868</v>
      </c>
    </row>
    <row r="5">
      <c r="A5" s="888" t="s">
        <v>4836</v>
      </c>
      <c r="B5" s="888" t="s">
        <v>4870</v>
      </c>
      <c r="C5" s="401" t="s">
        <v>4871</v>
      </c>
      <c r="D5" s="401" t="s">
        <v>4871</v>
      </c>
      <c r="E5" s="401" t="s">
        <v>4871</v>
      </c>
      <c r="F5" s="401" t="s">
        <v>4871</v>
      </c>
      <c r="G5" s="401" t="s">
        <v>4871</v>
      </c>
    </row>
    <row r="6">
      <c r="A6" s="536"/>
      <c r="B6" s="536"/>
      <c r="C6" s="407" t="s">
        <v>124</v>
      </c>
      <c r="D6" s="407" t="s">
        <v>124</v>
      </c>
      <c r="E6" s="407" t="s">
        <v>124</v>
      </c>
      <c r="F6" s="407" t="s">
        <v>124</v>
      </c>
      <c r="G6" s="407" t="s">
        <v>124</v>
      </c>
    </row>
    <row r="7" ht="28.5" customHeight="1">
      <c r="A7" s="536"/>
      <c r="B7" s="536"/>
      <c r="C7" s="401" t="s">
        <v>4872</v>
      </c>
      <c r="D7" s="401" t="s">
        <v>4872</v>
      </c>
      <c r="E7" s="401" t="s">
        <v>4872</v>
      </c>
      <c r="F7" s="401" t="s">
        <v>4872</v>
      </c>
      <c r="G7" s="401" t="s">
        <v>4872</v>
      </c>
    </row>
    <row r="8" ht="274.5" customHeight="1">
      <c r="A8" s="536"/>
      <c r="B8" s="536"/>
      <c r="C8" s="407" t="s">
        <v>4873</v>
      </c>
      <c r="D8" s="407" t="s">
        <v>4874</v>
      </c>
      <c r="E8" s="407" t="s">
        <v>4875</v>
      </c>
      <c r="F8" s="897" t="s">
        <v>4876</v>
      </c>
      <c r="G8" s="407" t="s">
        <v>4877</v>
      </c>
    </row>
    <row r="9">
      <c r="A9" s="536"/>
      <c r="B9" s="536"/>
      <c r="C9" s="401" t="s">
        <v>4878</v>
      </c>
      <c r="D9" s="401" t="s">
        <v>4878</v>
      </c>
      <c r="E9" s="401" t="s">
        <v>4878</v>
      </c>
      <c r="F9" s="401" t="s">
        <v>4878</v>
      </c>
      <c r="G9" s="401" t="s">
        <v>4878</v>
      </c>
    </row>
    <row r="10">
      <c r="A10" s="536"/>
      <c r="B10" s="536"/>
      <c r="C10" s="407" t="s">
        <v>124</v>
      </c>
      <c r="D10" s="407" t="s">
        <v>124</v>
      </c>
      <c r="E10" s="407" t="s">
        <v>124</v>
      </c>
      <c r="F10" s="407" t="s">
        <v>124</v>
      </c>
      <c r="G10" s="407" t="s">
        <v>124</v>
      </c>
    </row>
    <row r="11">
      <c r="A11" s="536"/>
      <c r="B11" s="536"/>
      <c r="C11" s="401" t="s">
        <v>4878</v>
      </c>
      <c r="D11" s="401" t="s">
        <v>4878</v>
      </c>
      <c r="E11" s="401" t="s">
        <v>4878</v>
      </c>
      <c r="F11" s="401" t="s">
        <v>4878</v>
      </c>
      <c r="G11" s="401" t="s">
        <v>4878</v>
      </c>
    </row>
    <row r="12">
      <c r="A12" s="536"/>
      <c r="B12" s="536"/>
      <c r="C12" s="407" t="s">
        <v>124</v>
      </c>
      <c r="D12" s="407" t="s">
        <v>124</v>
      </c>
      <c r="E12" s="407" t="s">
        <v>124</v>
      </c>
      <c r="F12" s="407" t="s">
        <v>124</v>
      </c>
      <c r="G12" s="407" t="s">
        <v>124</v>
      </c>
    </row>
    <row r="13">
      <c r="A13" s="536"/>
      <c r="B13" s="536"/>
      <c r="C13" s="401" t="s">
        <v>4879</v>
      </c>
      <c r="D13" s="401" t="s">
        <v>4879</v>
      </c>
      <c r="E13" s="401" t="s">
        <v>4879</v>
      </c>
      <c r="F13" s="401" t="s">
        <v>4879</v>
      </c>
      <c r="G13" s="401" t="s">
        <v>4879</v>
      </c>
    </row>
    <row r="14" ht="96.75" customHeight="1">
      <c r="A14" s="210"/>
      <c r="B14" s="210"/>
      <c r="C14" s="407" t="s">
        <v>4880</v>
      </c>
      <c r="D14" s="407" t="s">
        <v>4881</v>
      </c>
      <c r="E14" s="898" t="s">
        <v>124</v>
      </c>
      <c r="F14" s="407" t="s">
        <v>4882</v>
      </c>
      <c r="G14" s="407" t="s">
        <v>4883</v>
      </c>
    </row>
    <row r="15">
      <c r="A15" s="890" t="s">
        <v>4884</v>
      </c>
      <c r="B15" s="62"/>
      <c r="C15" s="62"/>
      <c r="D15" s="62"/>
      <c r="E15" s="62"/>
      <c r="F15" s="62"/>
      <c r="G15" s="63"/>
    </row>
    <row r="16">
      <c r="A16" s="890" t="s">
        <v>4885</v>
      </c>
      <c r="B16" s="62"/>
      <c r="C16" s="62"/>
      <c r="D16" s="62"/>
      <c r="E16" s="62"/>
      <c r="F16" s="62"/>
      <c r="G16" s="63"/>
    </row>
    <row r="17">
      <c r="A17" s="891" t="s">
        <v>2507</v>
      </c>
      <c r="B17" s="62"/>
      <c r="C17" s="62"/>
      <c r="D17" s="63"/>
      <c r="E17" s="899" t="s">
        <v>1645</v>
      </c>
      <c r="F17" s="62"/>
      <c r="G17" s="63"/>
    </row>
    <row r="18">
      <c r="A18" s="900" t="s">
        <v>1625</v>
      </c>
      <c r="B18" s="62"/>
      <c r="C18" s="62"/>
      <c r="D18" s="63"/>
      <c r="E18" s="892" t="s">
        <v>4853</v>
      </c>
      <c r="F18" s="62"/>
      <c r="G18" s="63"/>
    </row>
    <row r="19">
      <c r="A19" s="891" t="s">
        <v>4886</v>
      </c>
      <c r="B19" s="62"/>
      <c r="C19" s="62"/>
      <c r="D19" s="63"/>
      <c r="E19" s="895" t="s">
        <v>1636</v>
      </c>
      <c r="F19" s="62"/>
      <c r="G19" s="63"/>
    </row>
    <row r="20">
      <c r="A20" s="890" t="s">
        <v>4887</v>
      </c>
      <c r="B20" s="62"/>
      <c r="C20" s="62"/>
      <c r="D20" s="63"/>
      <c r="E20" s="892" t="s">
        <v>1643</v>
      </c>
      <c r="F20" s="62"/>
      <c r="G20" s="63"/>
    </row>
    <row r="21">
      <c r="A21" s="891" t="s">
        <v>4888</v>
      </c>
      <c r="B21" s="62"/>
      <c r="C21" s="62"/>
      <c r="D21" s="63"/>
      <c r="E21" s="895" t="s">
        <v>1645</v>
      </c>
      <c r="F21" s="62"/>
      <c r="G21" s="63"/>
    </row>
    <row r="22">
      <c r="A22" s="890" t="s">
        <v>4889</v>
      </c>
      <c r="B22" s="62"/>
      <c r="C22" s="62"/>
      <c r="D22" s="63"/>
      <c r="E22" s="892" t="s">
        <v>1638</v>
      </c>
      <c r="F22" s="62"/>
      <c r="G22" s="63"/>
    </row>
    <row r="23">
      <c r="A23" s="891" t="s">
        <v>4890</v>
      </c>
      <c r="B23" s="62"/>
      <c r="C23" s="62"/>
      <c r="D23" s="63"/>
      <c r="E23" s="895" t="s">
        <v>1648</v>
      </c>
      <c r="F23" s="62"/>
      <c r="G23" s="63"/>
    </row>
  </sheetData>
  <mergeCells count="21">
    <mergeCell ref="A1:G1"/>
    <mergeCell ref="A2:G2"/>
    <mergeCell ref="A3:B3"/>
    <mergeCell ref="A5:A14"/>
    <mergeCell ref="B5:B14"/>
    <mergeCell ref="A15:G15"/>
    <mergeCell ref="A16:G16"/>
    <mergeCell ref="A20:D20"/>
    <mergeCell ref="A21:D21"/>
    <mergeCell ref="E21:G21"/>
    <mergeCell ref="A22:D22"/>
    <mergeCell ref="E22:G22"/>
    <mergeCell ref="A23:D23"/>
    <mergeCell ref="E23:G23"/>
    <mergeCell ref="A17:D17"/>
    <mergeCell ref="E17:G17"/>
    <mergeCell ref="A18:D18"/>
    <mergeCell ref="E18:G18"/>
    <mergeCell ref="A19:D19"/>
    <mergeCell ref="E19:G19"/>
    <mergeCell ref="E20:G20"/>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1.22" defaultRowHeight="15.0"/>
  <cols>
    <col customWidth="1" min="1" max="1" width="6.33"/>
    <col customWidth="1" min="2" max="2" width="22.67"/>
    <col customWidth="1" min="3" max="3" width="34.33"/>
    <col customWidth="1" min="4" max="7" width="22.33"/>
    <col customWidth="1" min="8" max="26" width="12.56"/>
  </cols>
  <sheetData>
    <row r="1" ht="39.75" customHeight="1">
      <c r="A1" s="746" t="s">
        <v>360</v>
      </c>
      <c r="B1" s="195"/>
      <c r="C1" s="195"/>
      <c r="D1" s="195"/>
      <c r="E1" s="195"/>
      <c r="F1" s="195"/>
      <c r="G1" s="196"/>
    </row>
    <row r="2" ht="71.25" customHeight="1">
      <c r="A2" s="901" t="s">
        <v>4891</v>
      </c>
      <c r="F2" s="660" t="s">
        <v>104</v>
      </c>
      <c r="G2" s="902" t="s">
        <v>105</v>
      </c>
    </row>
    <row r="3" ht="15.75" customHeight="1">
      <c r="A3" s="903" t="s">
        <v>108</v>
      </c>
      <c r="B3" s="904"/>
      <c r="C3" s="905" t="s">
        <v>4892</v>
      </c>
      <c r="D3" s="905" t="s">
        <v>4893</v>
      </c>
      <c r="E3" s="906" t="s">
        <v>4894</v>
      </c>
      <c r="F3" s="905" t="s">
        <v>4895</v>
      </c>
      <c r="G3" s="905" t="s">
        <v>4896</v>
      </c>
    </row>
    <row r="4">
      <c r="A4" s="907" t="s">
        <v>4866</v>
      </c>
      <c r="B4" s="908" t="s">
        <v>4897</v>
      </c>
      <c r="C4" s="909" t="s">
        <v>4869</v>
      </c>
      <c r="D4" s="909" t="s">
        <v>4869</v>
      </c>
      <c r="E4" s="910" t="s">
        <v>4868</v>
      </c>
      <c r="F4" s="910" t="s">
        <v>4868</v>
      </c>
      <c r="G4" s="910" t="s">
        <v>4868</v>
      </c>
    </row>
    <row r="5">
      <c r="A5" s="907"/>
      <c r="B5" s="210"/>
      <c r="C5" s="911"/>
      <c r="D5" s="912"/>
      <c r="E5" s="912"/>
      <c r="F5" s="912"/>
      <c r="G5" s="912"/>
    </row>
    <row r="6" ht="64.5" customHeight="1">
      <c r="A6" s="907" t="s">
        <v>4836</v>
      </c>
      <c r="B6" s="727" t="s">
        <v>4898</v>
      </c>
      <c r="C6" s="913">
        <v>14.0</v>
      </c>
      <c r="D6" s="912">
        <v>15.0</v>
      </c>
      <c r="E6" s="912">
        <v>33.0</v>
      </c>
      <c r="F6" s="912">
        <v>10.0</v>
      </c>
      <c r="G6" s="912">
        <v>11.0</v>
      </c>
    </row>
    <row r="7" ht="15.75" customHeight="1">
      <c r="A7" s="914" t="s">
        <v>4899</v>
      </c>
      <c r="B7" s="127"/>
      <c r="C7" s="127"/>
      <c r="D7" s="127"/>
      <c r="E7" s="915" t="s">
        <v>4900</v>
      </c>
      <c r="F7" s="916"/>
      <c r="G7" s="917"/>
    </row>
    <row r="8" ht="66.0" customHeight="1">
      <c r="A8" s="918" t="s">
        <v>4901</v>
      </c>
      <c r="G8" s="919"/>
    </row>
    <row r="9" ht="15.75" customHeight="1">
      <c r="A9" s="918"/>
      <c r="B9" s="920"/>
      <c r="C9" s="920"/>
      <c r="D9" s="920"/>
      <c r="E9" s="920"/>
      <c r="F9" s="920"/>
      <c r="G9" s="921"/>
    </row>
    <row r="10" ht="15.75" customHeight="1">
      <c r="A10" s="918" t="s">
        <v>4902</v>
      </c>
      <c r="G10" s="919"/>
    </row>
    <row r="11" ht="31.5" customHeight="1">
      <c r="A11" s="922" t="s">
        <v>4903</v>
      </c>
      <c r="G11" s="919"/>
    </row>
    <row r="12" ht="15.75" customHeight="1">
      <c r="A12" s="923" t="s">
        <v>4904</v>
      </c>
      <c r="B12" s="924"/>
      <c r="C12" s="924"/>
      <c r="D12" s="924"/>
      <c r="E12" s="925"/>
      <c r="F12" s="926"/>
      <c r="G12" s="927"/>
    </row>
    <row r="13" ht="15.75" customHeight="1">
      <c r="A13" s="928"/>
      <c r="B13" s="929"/>
      <c r="C13" s="926"/>
      <c r="D13" s="930" t="s">
        <v>1638</v>
      </c>
      <c r="E13" s="926"/>
      <c r="F13" s="926"/>
      <c r="G13" s="927"/>
    </row>
    <row r="14" ht="15.75" customHeight="1">
      <c r="A14" s="928"/>
      <c r="B14" s="929"/>
      <c r="C14" s="926"/>
      <c r="D14" s="926"/>
      <c r="E14" s="926"/>
      <c r="F14" s="926"/>
      <c r="G14" s="927"/>
    </row>
    <row r="15" ht="15.75" customHeight="1">
      <c r="A15" s="931" t="s">
        <v>4905</v>
      </c>
      <c r="G15" s="919"/>
    </row>
    <row r="16" ht="54.0" customHeight="1">
      <c r="A16" s="932" t="s">
        <v>4906</v>
      </c>
      <c r="G16" s="919"/>
    </row>
    <row r="17" ht="21.0" customHeight="1">
      <c r="A17" s="923" t="s">
        <v>4904</v>
      </c>
      <c r="B17" s="924"/>
      <c r="C17" s="924"/>
      <c r="D17" s="924"/>
      <c r="E17" s="925"/>
      <c r="F17" s="926"/>
      <c r="G17" s="927"/>
    </row>
    <row r="18" ht="15.75" customHeight="1">
      <c r="A18" s="928"/>
      <c r="B18" s="929"/>
      <c r="C18" s="926"/>
      <c r="D18" s="930" t="s">
        <v>1638</v>
      </c>
      <c r="E18" s="926"/>
      <c r="F18" s="926"/>
      <c r="G18" s="927"/>
    </row>
    <row r="19" ht="15.75" customHeight="1">
      <c r="A19" s="933"/>
      <c r="B19" s="934"/>
      <c r="C19" s="934"/>
      <c r="D19" s="934"/>
      <c r="E19" s="934"/>
      <c r="F19" s="934"/>
      <c r="G19" s="935"/>
    </row>
    <row r="20" ht="15.75" customHeight="1">
      <c r="A20" s="936"/>
      <c r="B20" s="937" t="s">
        <v>1625</v>
      </c>
      <c r="C20" s="62"/>
      <c r="D20" s="63"/>
      <c r="E20" s="938" t="s">
        <v>4853</v>
      </c>
      <c r="F20" s="939"/>
      <c r="G20" s="940"/>
    </row>
    <row r="21" ht="15.75" customHeight="1">
      <c r="A21" s="936"/>
      <c r="B21" s="941" t="s">
        <v>4907</v>
      </c>
      <c r="C21" s="62"/>
      <c r="D21" s="63"/>
      <c r="E21" s="942" t="s">
        <v>1636</v>
      </c>
      <c r="F21" s="939"/>
      <c r="G21" s="940"/>
    </row>
    <row r="22" ht="15.75" customHeight="1">
      <c r="A22" s="936"/>
      <c r="B22" s="941" t="s">
        <v>4908</v>
      </c>
      <c r="C22" s="62"/>
      <c r="D22" s="63"/>
      <c r="E22" s="942" t="s">
        <v>1643</v>
      </c>
      <c r="F22" s="939"/>
      <c r="G22" s="940"/>
    </row>
    <row r="23" ht="15.75" customHeight="1">
      <c r="A23" s="936"/>
      <c r="B23" s="941" t="s">
        <v>4909</v>
      </c>
      <c r="C23" s="62"/>
      <c r="D23" s="63"/>
      <c r="E23" s="942" t="s">
        <v>1645</v>
      </c>
      <c r="F23" s="939"/>
      <c r="G23" s="940"/>
    </row>
    <row r="24" ht="15.75" customHeight="1">
      <c r="A24" s="936"/>
      <c r="B24" s="941" t="s">
        <v>4910</v>
      </c>
      <c r="C24" s="62"/>
      <c r="D24" s="63"/>
      <c r="E24" s="942" t="s">
        <v>1638</v>
      </c>
      <c r="F24" s="939"/>
      <c r="G24" s="940"/>
    </row>
    <row r="25" ht="15.75" customHeight="1">
      <c r="A25" s="936"/>
      <c r="B25" s="941" t="s">
        <v>4911</v>
      </c>
      <c r="C25" s="62"/>
      <c r="D25" s="63"/>
      <c r="E25" s="942" t="s">
        <v>1648</v>
      </c>
      <c r="F25" s="939"/>
      <c r="G25" s="940"/>
    </row>
  </sheetData>
  <mergeCells count="15">
    <mergeCell ref="A15:G15"/>
    <mergeCell ref="A16:G16"/>
    <mergeCell ref="B20:D20"/>
    <mergeCell ref="B21:D21"/>
    <mergeCell ref="B22:D22"/>
    <mergeCell ref="B23:D23"/>
    <mergeCell ref="B24:D24"/>
    <mergeCell ref="B25:D25"/>
    <mergeCell ref="A1:G1"/>
    <mergeCell ref="A2:E2"/>
    <mergeCell ref="B4:B5"/>
    <mergeCell ref="A7:D7"/>
    <mergeCell ref="A8:G8"/>
    <mergeCell ref="A10:G10"/>
    <mergeCell ref="A11:G11"/>
  </mergeCells>
  <dataValidations>
    <dataValidation type="list" allowBlank="1" showErrorMessage="1" sqref="C4:G4">
      <formula1>"Wajar Tanpa Pengecualian,Wajar Tanpa Pengecualian (dengan paragraf penjelas),Wajar Dengan Pengecualian,Tidak Wajar,Tidak Memberikan Pendapat"</formula1>
    </dataValidation>
    <dataValidation type="list" allowBlank="1" showErrorMessage="1" sqref="E7">
      <formula1>"Ya,Tidak"</formula1>
    </dataValidation>
    <dataValidation type="list" allowBlank="1" showErrorMessage="1" sqref="D13 D18">
      <formula1>"A,B,C,D,E"</formula1>
    </dataValidation>
  </dataValidations>
  <printOptions/>
  <pageMargins bottom="0.55" footer="0.0" header="0.0" left="0.354166666666667" right="0.196527777777778" top="0.590277777777778"/>
  <pageSetup paperSize="9" scale="73"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35.67"/>
  </cols>
  <sheetData>
    <row r="2" ht="15.0" customHeight="1">
      <c r="B2" s="943" t="s">
        <v>4912</v>
      </c>
      <c r="L2" s="943" t="s">
        <v>4913</v>
      </c>
    </row>
    <row r="3" ht="15.0" customHeight="1">
      <c r="A3" s="185" t="s">
        <v>15</v>
      </c>
    </row>
    <row r="4" ht="15.0" customHeight="1">
      <c r="A4" s="185" t="s">
        <v>16</v>
      </c>
      <c r="B4" s="944"/>
    </row>
    <row r="5" ht="15.0" customHeight="1">
      <c r="A5" s="945" t="s">
        <v>17</v>
      </c>
      <c r="B5" s="946">
        <v>3500.0</v>
      </c>
      <c r="C5" s="945" t="s">
        <v>4914</v>
      </c>
      <c r="D5" s="945"/>
      <c r="E5" s="946">
        <v>131.0</v>
      </c>
      <c r="F5" s="945"/>
      <c r="G5" s="945"/>
      <c r="H5" s="945"/>
      <c r="I5" s="947">
        <v>2.0</v>
      </c>
      <c r="J5" s="948">
        <v>0.0375</v>
      </c>
      <c r="K5" s="947"/>
      <c r="L5" s="947">
        <v>0.075</v>
      </c>
    </row>
    <row r="6" ht="15.0" customHeight="1">
      <c r="A6" s="185" t="s">
        <v>18</v>
      </c>
      <c r="B6" s="944">
        <v>4750.0</v>
      </c>
      <c r="C6" s="185" t="s">
        <v>4914</v>
      </c>
      <c r="E6" s="944">
        <v>178.0</v>
      </c>
      <c r="I6" s="1">
        <v>4.75</v>
      </c>
      <c r="J6" s="805">
        <v>0.0375</v>
      </c>
      <c r="K6" s="1"/>
      <c r="L6" s="1">
        <v>0.178125</v>
      </c>
    </row>
    <row r="7" ht="15.0" customHeight="1">
      <c r="A7" s="945" t="s">
        <v>19</v>
      </c>
      <c r="B7" s="946">
        <v>2607.0</v>
      </c>
      <c r="C7" s="945" t="s">
        <v>4914</v>
      </c>
      <c r="D7" s="945"/>
      <c r="E7" s="946">
        <v>98.0</v>
      </c>
      <c r="F7" s="945"/>
      <c r="G7" s="945"/>
      <c r="H7" s="945"/>
      <c r="I7" s="947">
        <v>2.0</v>
      </c>
      <c r="J7" s="948">
        <v>0.0375</v>
      </c>
      <c r="K7" s="947"/>
      <c r="L7" s="947">
        <v>0.075</v>
      </c>
    </row>
    <row r="8" ht="15.0" customHeight="1">
      <c r="A8" s="185" t="s">
        <v>20</v>
      </c>
      <c r="B8" s="944">
        <v>3000.0</v>
      </c>
      <c r="C8" s="185" t="s">
        <v>4914</v>
      </c>
      <c r="E8" s="944">
        <v>113.0</v>
      </c>
      <c r="I8" s="1">
        <v>3.0</v>
      </c>
      <c r="J8" s="805">
        <v>0.0375</v>
      </c>
      <c r="K8" s="1"/>
      <c r="L8" s="1">
        <v>0.11249999999999999</v>
      </c>
    </row>
    <row r="9" ht="15.0" customHeight="1">
      <c r="A9" s="945" t="s">
        <v>21</v>
      </c>
      <c r="B9" s="946">
        <v>4500.0</v>
      </c>
      <c r="C9" s="945" t="s">
        <v>4914</v>
      </c>
      <c r="D9" s="945"/>
      <c r="E9" s="946">
        <v>169.0</v>
      </c>
      <c r="F9" s="945"/>
      <c r="G9" s="945"/>
      <c r="H9" s="945"/>
      <c r="I9" s="947">
        <v>1.0</v>
      </c>
      <c r="J9" s="948">
        <v>0.0375</v>
      </c>
      <c r="K9" s="947"/>
      <c r="L9" s="947">
        <v>0.0375</v>
      </c>
    </row>
    <row r="10" ht="15.0" customHeight="1">
      <c r="A10" s="185" t="s">
        <v>22</v>
      </c>
      <c r="B10" s="944">
        <v>2917.0</v>
      </c>
      <c r="C10" s="185" t="s">
        <v>4914</v>
      </c>
      <c r="E10" s="944">
        <v>109.0</v>
      </c>
      <c r="I10" s="1">
        <v>2.9166666666666665</v>
      </c>
      <c r="J10" s="805">
        <v>0.0375</v>
      </c>
      <c r="K10" s="1"/>
      <c r="L10" s="1">
        <v>0.10937499999999999</v>
      </c>
    </row>
    <row r="11" ht="15.0" customHeight="1">
      <c r="A11" s="185" t="s">
        <v>23</v>
      </c>
      <c r="B11" s="944">
        <v>3000.0</v>
      </c>
      <c r="C11" s="185" t="s">
        <v>4914</v>
      </c>
      <c r="E11" s="944">
        <v>113.0</v>
      </c>
      <c r="I11" s="1">
        <v>3.0</v>
      </c>
      <c r="J11" s="805">
        <v>0.0375</v>
      </c>
      <c r="K11" s="1"/>
      <c r="L11" s="1">
        <v>0.11249999999999999</v>
      </c>
    </row>
    <row r="12" ht="15.0" customHeight="1">
      <c r="A12" s="185" t="s">
        <v>24</v>
      </c>
      <c r="B12" s="944">
        <v>3250.0</v>
      </c>
      <c r="C12" s="185" t="s">
        <v>4914</v>
      </c>
      <c r="E12" s="944">
        <v>122.0</v>
      </c>
      <c r="I12" s="1">
        <v>3.25</v>
      </c>
      <c r="J12" s="805">
        <v>0.0375</v>
      </c>
      <c r="K12" s="1"/>
      <c r="L12" s="1">
        <v>0.121875</v>
      </c>
    </row>
    <row r="13" ht="15.0" customHeight="1">
      <c r="A13" s="185" t="s">
        <v>25</v>
      </c>
      <c r="B13" s="944"/>
      <c r="I13" s="1"/>
      <c r="J13" s="805"/>
      <c r="K13" s="1"/>
      <c r="L13" s="1"/>
    </row>
    <row r="14" ht="15.0" customHeight="1">
      <c r="A14" s="185" t="s">
        <v>26</v>
      </c>
      <c r="B14" s="944">
        <v>2500.0</v>
      </c>
      <c r="C14" s="185" t="s">
        <v>4915</v>
      </c>
      <c r="E14" s="944">
        <v>250.0</v>
      </c>
      <c r="I14" s="1">
        <v>2.5000000000000004</v>
      </c>
      <c r="J14" s="805">
        <v>0.1</v>
      </c>
      <c r="K14" s="1"/>
      <c r="L14" s="1">
        <v>0.25000000000000006</v>
      </c>
    </row>
    <row r="15" ht="15.0" customHeight="1">
      <c r="A15" s="185" t="s">
        <v>27</v>
      </c>
      <c r="B15" s="944">
        <v>2425.0</v>
      </c>
      <c r="C15" s="185" t="s">
        <v>4915</v>
      </c>
      <c r="E15" s="944">
        <v>243.0</v>
      </c>
      <c r="I15" s="1">
        <v>2.425</v>
      </c>
      <c r="J15" s="805">
        <v>0.1</v>
      </c>
      <c r="K15" s="1"/>
      <c r="L15" s="1">
        <v>0.2425</v>
      </c>
    </row>
    <row r="16" ht="15.0" customHeight="1">
      <c r="A16" s="185" t="s">
        <v>28</v>
      </c>
      <c r="B16" s="944"/>
      <c r="I16" s="1"/>
      <c r="J16" s="805"/>
      <c r="K16" s="1"/>
      <c r="L16" s="1"/>
    </row>
    <row r="17" ht="15.0" customHeight="1">
      <c r="A17" s="185" t="s">
        <v>29</v>
      </c>
      <c r="B17" s="944">
        <v>3750.0</v>
      </c>
      <c r="C17" s="185" t="s">
        <v>4916</v>
      </c>
      <c r="E17" s="944">
        <v>85.0</v>
      </c>
      <c r="I17" s="1">
        <v>3.75</v>
      </c>
      <c r="J17" s="805">
        <v>0.022727272727272728</v>
      </c>
      <c r="K17" s="1"/>
      <c r="L17" s="1">
        <v>0.08522727272727273</v>
      </c>
      <c r="M17" s="1"/>
    </row>
    <row r="18" ht="15.0" customHeight="1">
      <c r="A18" s="185" t="s">
        <v>30</v>
      </c>
      <c r="B18" s="944">
        <v>3000.0</v>
      </c>
      <c r="C18" s="185" t="s">
        <v>4916</v>
      </c>
      <c r="E18" s="944">
        <v>68.0</v>
      </c>
      <c r="I18" s="1">
        <v>3.0</v>
      </c>
      <c r="J18" s="805">
        <v>0.022727272727272728</v>
      </c>
      <c r="K18" s="1"/>
      <c r="L18" s="1">
        <v>0.06818181818181818</v>
      </c>
      <c r="M18" s="1"/>
    </row>
    <row r="19" ht="15.0" customHeight="1">
      <c r="A19" s="185" t="s">
        <v>31</v>
      </c>
      <c r="B19" s="944">
        <v>2750.0</v>
      </c>
      <c r="C19" s="185" t="s">
        <v>4916</v>
      </c>
      <c r="E19" s="944">
        <v>63.0</v>
      </c>
      <c r="I19" s="1">
        <v>2.75</v>
      </c>
      <c r="J19" s="805">
        <v>0.022727272727272728</v>
      </c>
      <c r="K19" s="1"/>
      <c r="L19" s="1">
        <v>0.0625</v>
      </c>
      <c r="M19" s="1"/>
    </row>
    <row r="20" ht="15.0" customHeight="1">
      <c r="A20" s="185" t="s">
        <v>32</v>
      </c>
      <c r="B20" s="944">
        <v>3250.0</v>
      </c>
      <c r="C20" s="185" t="s">
        <v>4916</v>
      </c>
      <c r="E20" s="944">
        <v>74.0</v>
      </c>
      <c r="I20" s="1">
        <v>3.25</v>
      </c>
      <c r="J20" s="805">
        <v>0.022727272727272728</v>
      </c>
      <c r="K20" s="1"/>
      <c r="L20" s="1">
        <v>0.07386363636363637</v>
      </c>
      <c r="M20" s="1"/>
    </row>
    <row r="21" ht="15.0" customHeight="1">
      <c r="A21" s="185" t="s">
        <v>33</v>
      </c>
      <c r="B21" s="944">
        <v>2750.0</v>
      </c>
      <c r="C21" s="185" t="s">
        <v>4916</v>
      </c>
      <c r="E21" s="944">
        <v>63.0</v>
      </c>
      <c r="I21" s="1">
        <v>2.75</v>
      </c>
      <c r="J21" s="805">
        <v>0.022727272727272728</v>
      </c>
      <c r="K21" s="1"/>
      <c r="L21" s="1">
        <v>0.0625</v>
      </c>
      <c r="M21" s="1"/>
    </row>
    <row r="22" ht="15.0" customHeight="1">
      <c r="A22" s="185" t="s">
        <v>34</v>
      </c>
      <c r="B22" s="944">
        <v>3750.0</v>
      </c>
      <c r="C22" s="185" t="s">
        <v>4916</v>
      </c>
      <c r="E22" s="944">
        <v>85.0</v>
      </c>
      <c r="I22" s="1">
        <v>3.75</v>
      </c>
      <c r="J22" s="805">
        <v>0.022727272727272728</v>
      </c>
      <c r="K22" s="1"/>
      <c r="L22" s="1">
        <v>0.08522727272727273</v>
      </c>
      <c r="M22" s="1"/>
    </row>
    <row r="23" ht="15.0" customHeight="1">
      <c r="A23" s="185" t="s">
        <v>35</v>
      </c>
      <c r="B23" s="944">
        <v>3750.0</v>
      </c>
      <c r="C23" s="185" t="s">
        <v>4916</v>
      </c>
      <c r="E23" s="944">
        <v>85.0</v>
      </c>
      <c r="I23" s="1">
        <v>3.75</v>
      </c>
      <c r="J23" s="805">
        <v>0.022727272727272728</v>
      </c>
      <c r="K23" s="1"/>
      <c r="L23" s="1">
        <v>0.08522727272727273</v>
      </c>
      <c r="M23" s="1"/>
    </row>
    <row r="24" ht="15.0" customHeight="1">
      <c r="A24" s="185" t="s">
        <v>36</v>
      </c>
      <c r="B24" s="944">
        <v>3500.0</v>
      </c>
      <c r="C24" s="185" t="s">
        <v>4916</v>
      </c>
      <c r="E24" s="944">
        <v>80.0</v>
      </c>
      <c r="I24" s="1">
        <v>3.5</v>
      </c>
      <c r="J24" s="805">
        <v>0.022727272727272728</v>
      </c>
      <c r="K24" s="1"/>
      <c r="L24" s="1">
        <v>0.07954545454545454</v>
      </c>
      <c r="M24" s="1"/>
    </row>
    <row r="25" ht="15.0" customHeight="1">
      <c r="A25" s="185" t="s">
        <v>37</v>
      </c>
      <c r="B25" s="944">
        <v>4750.0</v>
      </c>
      <c r="C25" s="185" t="s">
        <v>4916</v>
      </c>
      <c r="E25" s="944">
        <v>108.0</v>
      </c>
      <c r="I25" s="1">
        <v>4.75</v>
      </c>
      <c r="J25" s="805">
        <v>0.022727272727272728</v>
      </c>
      <c r="K25" s="1"/>
      <c r="L25" s="1">
        <v>0.10795454545454546</v>
      </c>
      <c r="M25" s="1"/>
    </row>
    <row r="26">
      <c r="A26" s="185" t="s">
        <v>38</v>
      </c>
      <c r="B26" s="944">
        <v>4750.0</v>
      </c>
      <c r="C26" s="185" t="s">
        <v>4916</v>
      </c>
      <c r="E26" s="944">
        <v>108.0</v>
      </c>
      <c r="I26" s="1">
        <v>4.75</v>
      </c>
      <c r="J26" s="805">
        <v>0.022727272727272728</v>
      </c>
      <c r="K26" s="1"/>
      <c r="L26" s="1">
        <v>0.10795454545454546</v>
      </c>
      <c r="M26" s="1"/>
    </row>
    <row r="27">
      <c r="A27" s="185" t="s">
        <v>39</v>
      </c>
      <c r="B27" s="944">
        <v>4000.0</v>
      </c>
      <c r="C27" s="185" t="s">
        <v>4916</v>
      </c>
      <c r="E27" s="944">
        <v>91.0</v>
      </c>
      <c r="I27" s="1">
        <v>4.0</v>
      </c>
      <c r="J27" s="805">
        <v>0.022727272727272728</v>
      </c>
      <c r="K27" s="1"/>
      <c r="L27" s="1">
        <v>0.09090909090909091</v>
      </c>
      <c r="M27" s="1"/>
    </row>
    <row r="28">
      <c r="A28" s="185" t="s">
        <v>40</v>
      </c>
      <c r="B28" s="944"/>
      <c r="I28" s="1"/>
      <c r="J28" s="805"/>
      <c r="K28" s="1"/>
      <c r="L28" s="1"/>
      <c r="M28" s="1"/>
    </row>
    <row r="29">
      <c r="A29" s="185" t="s">
        <v>41</v>
      </c>
      <c r="B29" s="944">
        <v>2825.0</v>
      </c>
      <c r="C29" s="185" t="s">
        <v>4917</v>
      </c>
      <c r="E29" s="944">
        <v>141.0</v>
      </c>
      <c r="I29" s="1">
        <v>2.825</v>
      </c>
      <c r="J29" s="805">
        <v>0.05</v>
      </c>
      <c r="K29" s="1"/>
      <c r="L29" s="1">
        <v>0.14125000000000001</v>
      </c>
      <c r="M29" s="1"/>
    </row>
    <row r="30">
      <c r="A30" s="185" t="s">
        <v>42</v>
      </c>
      <c r="B30" s="944">
        <v>4250.0</v>
      </c>
      <c r="C30" s="185" t="s">
        <v>4917</v>
      </c>
      <c r="E30" s="944">
        <v>213.0</v>
      </c>
      <c r="I30" s="1">
        <v>4.25</v>
      </c>
      <c r="J30" s="805">
        <v>0.05</v>
      </c>
      <c r="K30" s="1"/>
      <c r="L30" s="1">
        <v>0.21250000000000002</v>
      </c>
      <c r="M30" s="1"/>
    </row>
    <row r="31">
      <c r="A31" s="185" t="s">
        <v>43</v>
      </c>
      <c r="B31" s="944"/>
      <c r="I31" s="1"/>
      <c r="J31" s="805"/>
      <c r="K31" s="1"/>
      <c r="L31" s="1"/>
      <c r="M31" s="1"/>
    </row>
    <row r="32">
      <c r="A32" s="185" t="s">
        <v>44</v>
      </c>
      <c r="B32" s="944">
        <v>3000.0</v>
      </c>
      <c r="C32" s="185" t="s">
        <v>4918</v>
      </c>
      <c r="E32" s="944">
        <v>225.0</v>
      </c>
      <c r="I32" s="1">
        <v>3.0</v>
      </c>
      <c r="J32" s="805">
        <v>0.075</v>
      </c>
      <c r="K32" s="1"/>
      <c r="L32" s="1">
        <v>0.22499999999999998</v>
      </c>
      <c r="M32" s="1"/>
    </row>
    <row r="33">
      <c r="A33" s="185" t="s">
        <v>45</v>
      </c>
      <c r="B33" s="944">
        <v>2875.0</v>
      </c>
      <c r="C33" s="185" t="s">
        <v>4918</v>
      </c>
      <c r="E33" s="944">
        <v>216.0</v>
      </c>
      <c r="I33" s="1">
        <v>2.875</v>
      </c>
      <c r="J33" s="805">
        <v>0.075</v>
      </c>
      <c r="K33" s="1"/>
      <c r="L33" s="1">
        <v>0.21562499999999998</v>
      </c>
      <c r="M33" s="1"/>
    </row>
    <row r="34">
      <c r="A34" s="185" t="s">
        <v>46</v>
      </c>
      <c r="E34" s="944">
        <v>3228.0</v>
      </c>
      <c r="I34" s="1"/>
      <c r="J34" s="1"/>
      <c r="K34" s="1"/>
      <c r="L34" s="1">
        <v>3.017840909090909</v>
      </c>
      <c r="M34" s="1"/>
    </row>
    <row r="35">
      <c r="A35" s="185" t="s">
        <v>47</v>
      </c>
      <c r="D35" s="185" t="s">
        <v>4919</v>
      </c>
      <c r="F35" s="944">
        <v>968.0</v>
      </c>
      <c r="I35" s="1"/>
      <c r="J35" s="1"/>
      <c r="K35" s="1">
        <v>0.3</v>
      </c>
      <c r="L35" s="1"/>
      <c r="M35" s="1">
        <v>0.9053522727272726</v>
      </c>
    </row>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1.22" defaultRowHeight="15.0"/>
  <cols>
    <col customWidth="1" min="1" max="2" width="6.89"/>
    <col customWidth="1" min="3" max="3" width="19.11"/>
    <col customWidth="1" min="4" max="4" width="22.0"/>
    <col customWidth="1" hidden="1" min="5" max="5" width="24.44"/>
    <col customWidth="1" hidden="1" min="6" max="6" width="20.44"/>
    <col customWidth="1" hidden="1" min="7" max="7" width="17.89"/>
    <col customWidth="1" min="8" max="8" width="22.44"/>
    <col customWidth="1" min="9" max="9" width="28.11"/>
    <col customWidth="1" min="10" max="10" width="17.11"/>
    <col customWidth="1" min="11" max="11" width="20.11"/>
    <col customWidth="1" min="12" max="12" width="18.44"/>
    <col customWidth="1" min="13" max="14" width="21.44"/>
    <col customWidth="1" min="15" max="19" width="12.56"/>
    <col customWidth="1" min="20" max="20" width="47.67"/>
    <col customWidth="1" min="21" max="25" width="11.44"/>
    <col customWidth="1" min="26" max="26" width="24.22"/>
    <col customWidth="1" min="27" max="27" width="11.0"/>
  </cols>
  <sheetData>
    <row r="1" ht="66.75" customHeight="1">
      <c r="B1" s="4" t="s">
        <v>985</v>
      </c>
    </row>
    <row r="2" ht="32.25" customHeight="1">
      <c r="B2" s="949" t="s">
        <v>4920</v>
      </c>
      <c r="C2" s="291"/>
      <c r="D2" s="291"/>
      <c r="E2" s="291"/>
      <c r="F2" s="291"/>
      <c r="G2" s="291"/>
      <c r="H2" s="291"/>
      <c r="I2" s="291"/>
      <c r="J2" s="291"/>
      <c r="K2" s="291"/>
      <c r="L2" s="291"/>
      <c r="M2" s="291"/>
      <c r="N2" s="291"/>
      <c r="O2" s="291"/>
      <c r="P2" s="291"/>
      <c r="Q2" s="291"/>
      <c r="R2" s="291"/>
      <c r="S2" s="326"/>
      <c r="T2" s="291"/>
      <c r="U2" s="291"/>
      <c r="V2" s="291"/>
      <c r="W2" s="291"/>
      <c r="X2" s="291"/>
      <c r="Y2" s="326"/>
      <c r="Z2" s="291"/>
    </row>
    <row r="3" ht="37.5" customHeight="1">
      <c r="B3" s="334" t="s">
        <v>286</v>
      </c>
      <c r="C3" s="332" t="s">
        <v>290</v>
      </c>
      <c r="D3" s="63"/>
      <c r="E3" s="333" t="s">
        <v>4921</v>
      </c>
      <c r="F3" s="62"/>
      <c r="G3" s="63"/>
      <c r="H3" s="335" t="s">
        <v>987</v>
      </c>
      <c r="I3" s="63"/>
      <c r="J3" s="950" t="s">
        <v>286</v>
      </c>
      <c r="K3" s="950" t="s">
        <v>989</v>
      </c>
      <c r="L3" s="950" t="s">
        <v>990</v>
      </c>
      <c r="M3" s="950" t="s">
        <v>4922</v>
      </c>
      <c r="N3" s="950" t="s">
        <v>2523</v>
      </c>
      <c r="O3" s="951" t="s">
        <v>993</v>
      </c>
      <c r="P3" s="62"/>
      <c r="Q3" s="62"/>
      <c r="R3" s="62"/>
      <c r="S3" s="63"/>
      <c r="T3" s="950" t="s">
        <v>297</v>
      </c>
      <c r="U3" s="336" t="s">
        <v>291</v>
      </c>
      <c r="V3" s="62"/>
      <c r="W3" s="62"/>
      <c r="X3" s="62"/>
      <c r="Y3" s="63"/>
      <c r="Z3" s="337" t="s">
        <v>297</v>
      </c>
    </row>
    <row r="4" ht="61.5" customHeight="1">
      <c r="B4" s="210"/>
      <c r="C4" s="952" t="s">
        <v>287</v>
      </c>
      <c r="D4" s="952" t="s">
        <v>293</v>
      </c>
      <c r="E4" s="953" t="s">
        <v>988</v>
      </c>
      <c r="F4" s="953" t="s">
        <v>4923</v>
      </c>
      <c r="G4" s="953" t="s">
        <v>4924</v>
      </c>
      <c r="H4" s="340" t="s">
        <v>995</v>
      </c>
      <c r="I4" s="340" t="s">
        <v>4925</v>
      </c>
      <c r="J4" s="210"/>
      <c r="K4" s="210"/>
      <c r="L4" s="210"/>
      <c r="M4" s="210"/>
      <c r="N4" s="210"/>
      <c r="O4" s="954" t="s">
        <v>4926</v>
      </c>
      <c r="P4" s="954" t="s">
        <v>4927</v>
      </c>
      <c r="Q4" s="954" t="s">
        <v>294</v>
      </c>
      <c r="R4" s="954" t="s">
        <v>295</v>
      </c>
      <c r="S4" s="954" t="s">
        <v>296</v>
      </c>
      <c r="T4" s="210"/>
      <c r="U4" s="341" t="s">
        <v>4926</v>
      </c>
      <c r="V4" s="341" t="s">
        <v>4927</v>
      </c>
      <c r="W4" s="341" t="s">
        <v>294</v>
      </c>
      <c r="X4" s="341" t="s">
        <v>295</v>
      </c>
      <c r="Y4" s="341" t="s">
        <v>296</v>
      </c>
      <c r="Z4" s="210"/>
    </row>
    <row r="5">
      <c r="B5" s="340">
        <f>0+1</f>
        <v>1</v>
      </c>
      <c r="C5" s="338">
        <f t="shared" ref="C5:Z5" si="1">B5+1</f>
        <v>2</v>
      </c>
      <c r="D5" s="338">
        <f t="shared" si="1"/>
        <v>3</v>
      </c>
      <c r="E5" s="339">
        <f t="shared" si="1"/>
        <v>4</v>
      </c>
      <c r="F5" s="339">
        <f t="shared" si="1"/>
        <v>5</v>
      </c>
      <c r="G5" s="339">
        <f t="shared" si="1"/>
        <v>6</v>
      </c>
      <c r="H5" s="340">
        <f t="shared" si="1"/>
        <v>7</v>
      </c>
      <c r="I5" s="340">
        <f t="shared" si="1"/>
        <v>8</v>
      </c>
      <c r="J5" s="954">
        <f t="shared" si="1"/>
        <v>9</v>
      </c>
      <c r="K5" s="954">
        <f t="shared" si="1"/>
        <v>10</v>
      </c>
      <c r="L5" s="954">
        <f t="shared" si="1"/>
        <v>11</v>
      </c>
      <c r="M5" s="954">
        <f t="shared" si="1"/>
        <v>12</v>
      </c>
      <c r="N5" s="954">
        <f t="shared" si="1"/>
        <v>13</v>
      </c>
      <c r="O5" s="954">
        <f t="shared" si="1"/>
        <v>14</v>
      </c>
      <c r="P5" s="954">
        <f t="shared" si="1"/>
        <v>15</v>
      </c>
      <c r="Q5" s="954">
        <f t="shared" si="1"/>
        <v>16</v>
      </c>
      <c r="R5" s="954">
        <f t="shared" si="1"/>
        <v>17</v>
      </c>
      <c r="S5" s="954">
        <f t="shared" si="1"/>
        <v>18</v>
      </c>
      <c r="T5" s="954">
        <f t="shared" si="1"/>
        <v>19</v>
      </c>
      <c r="U5" s="341">
        <f t="shared" si="1"/>
        <v>20</v>
      </c>
      <c r="V5" s="341">
        <f t="shared" si="1"/>
        <v>21</v>
      </c>
      <c r="W5" s="341">
        <f t="shared" si="1"/>
        <v>22</v>
      </c>
      <c r="X5" s="341">
        <f t="shared" si="1"/>
        <v>23</v>
      </c>
      <c r="Y5" s="341">
        <f t="shared" si="1"/>
        <v>24</v>
      </c>
      <c r="Z5" s="341">
        <f t="shared" si="1"/>
        <v>25</v>
      </c>
    </row>
    <row r="6">
      <c r="A6" s="347"/>
      <c r="B6" s="955" t="s">
        <v>4928</v>
      </c>
      <c r="C6" s="62"/>
      <c r="D6" s="62"/>
      <c r="E6" s="62"/>
      <c r="F6" s="62"/>
      <c r="G6" s="62"/>
      <c r="H6" s="62"/>
      <c r="I6" s="62"/>
      <c r="J6" s="62"/>
      <c r="K6" s="62"/>
      <c r="L6" s="62"/>
      <c r="M6" s="62"/>
      <c r="N6" s="62"/>
      <c r="O6" s="62"/>
      <c r="P6" s="62"/>
      <c r="Q6" s="62"/>
      <c r="R6" s="62"/>
      <c r="S6" s="62"/>
      <c r="T6" s="62"/>
      <c r="U6" s="62"/>
      <c r="V6" s="62"/>
      <c r="W6" s="62"/>
      <c r="X6" s="62"/>
      <c r="Y6" s="62"/>
      <c r="Z6" s="63"/>
      <c r="AA6" s="347"/>
    </row>
    <row r="7">
      <c r="B7" s="283">
        <v>1.0</v>
      </c>
      <c r="C7" s="956" t="s">
        <v>4929</v>
      </c>
      <c r="D7" s="956"/>
      <c r="E7" s="956"/>
      <c r="F7" s="956"/>
      <c r="G7" s="956"/>
      <c r="H7" s="957" t="s">
        <v>4930</v>
      </c>
      <c r="I7" s="956"/>
      <c r="J7" s="283">
        <v>1.0</v>
      </c>
      <c r="K7" s="274" t="s">
        <v>4931</v>
      </c>
      <c r="L7" s="958" t="s">
        <v>4932</v>
      </c>
      <c r="M7" s="959" t="s">
        <v>4933</v>
      </c>
      <c r="N7" s="959" t="s">
        <v>1175</v>
      </c>
      <c r="O7" s="960"/>
      <c r="P7" s="235" t="s">
        <v>301</v>
      </c>
      <c r="Q7" s="235" t="s">
        <v>301</v>
      </c>
      <c r="R7" s="235" t="s">
        <v>301</v>
      </c>
      <c r="S7" s="235" t="s">
        <v>301</v>
      </c>
      <c r="T7" s="274"/>
      <c r="U7" s="960"/>
      <c r="V7" s="235" t="s">
        <v>301</v>
      </c>
      <c r="W7" s="235" t="s">
        <v>301</v>
      </c>
      <c r="X7" s="235" t="s">
        <v>301</v>
      </c>
      <c r="Y7" s="235" t="s">
        <v>301</v>
      </c>
      <c r="Z7" s="462" t="s">
        <v>1350</v>
      </c>
    </row>
    <row r="8">
      <c r="B8" s="274">
        <v>2.0</v>
      </c>
      <c r="C8" s="956"/>
      <c r="D8" s="961"/>
      <c r="E8" s="956"/>
      <c r="F8" s="961"/>
      <c r="G8" s="956"/>
      <c r="H8" s="962"/>
      <c r="I8" s="956"/>
      <c r="J8" s="274">
        <v>2.0</v>
      </c>
      <c r="K8" s="274"/>
      <c r="L8" s="957"/>
      <c r="M8" s="959" t="s">
        <v>4934</v>
      </c>
      <c r="N8" s="959" t="s">
        <v>1562</v>
      </c>
      <c r="O8" s="960"/>
      <c r="P8" s="235" t="s">
        <v>301</v>
      </c>
      <c r="Q8" s="235" t="s">
        <v>301</v>
      </c>
      <c r="R8" s="235" t="s">
        <v>301</v>
      </c>
      <c r="S8" s="235" t="s">
        <v>301</v>
      </c>
      <c r="T8" s="274"/>
      <c r="U8" s="960"/>
      <c r="V8" s="235" t="s">
        <v>301</v>
      </c>
      <c r="W8" s="235" t="s">
        <v>301</v>
      </c>
      <c r="X8" s="235" t="s">
        <v>301</v>
      </c>
      <c r="Y8" s="235" t="s">
        <v>301</v>
      </c>
      <c r="Z8" s="462" t="s">
        <v>1121</v>
      </c>
    </row>
    <row r="9">
      <c r="B9" s="274">
        <v>3.0</v>
      </c>
      <c r="C9" s="956"/>
      <c r="D9" s="961"/>
      <c r="E9" s="956"/>
      <c r="F9" s="961"/>
      <c r="G9" s="956"/>
      <c r="H9" s="962"/>
      <c r="I9" s="956"/>
      <c r="J9" s="274">
        <v>3.0</v>
      </c>
      <c r="K9" s="274"/>
      <c r="L9" s="274" t="s">
        <v>4935</v>
      </c>
      <c r="M9" s="274" t="s">
        <v>4936</v>
      </c>
      <c r="N9" s="274" t="s">
        <v>1562</v>
      </c>
      <c r="O9" s="960"/>
      <c r="P9" s="235" t="s">
        <v>301</v>
      </c>
      <c r="Q9" s="235" t="s">
        <v>301</v>
      </c>
      <c r="R9" s="235" t="s">
        <v>301</v>
      </c>
      <c r="S9" s="235" t="s">
        <v>301</v>
      </c>
      <c r="T9" s="283"/>
      <c r="U9" s="960"/>
      <c r="V9" s="235" t="s">
        <v>301</v>
      </c>
      <c r="W9" s="235" t="s">
        <v>301</v>
      </c>
      <c r="X9" s="235" t="s">
        <v>301</v>
      </c>
      <c r="Y9" s="235" t="s">
        <v>301</v>
      </c>
      <c r="Z9" s="462" t="s">
        <v>1121</v>
      </c>
    </row>
    <row r="10">
      <c r="B10" s="283">
        <v>4.0</v>
      </c>
      <c r="C10" s="956"/>
      <c r="D10" s="961"/>
      <c r="E10" s="956"/>
      <c r="F10" s="961"/>
      <c r="G10" s="956"/>
      <c r="H10" s="962"/>
      <c r="I10" s="956"/>
      <c r="J10" s="283">
        <v>4.0</v>
      </c>
      <c r="K10" s="274"/>
      <c r="L10" s="957" t="s">
        <v>4937</v>
      </c>
      <c r="M10" s="959" t="s">
        <v>4938</v>
      </c>
      <c r="N10" s="959" t="s">
        <v>4939</v>
      </c>
      <c r="O10" s="960"/>
      <c r="P10" s="235" t="s">
        <v>301</v>
      </c>
      <c r="Q10" s="235" t="s">
        <v>301</v>
      </c>
      <c r="R10" s="235" t="s">
        <v>301</v>
      </c>
      <c r="S10" s="235" t="s">
        <v>301</v>
      </c>
      <c r="T10" s="283"/>
      <c r="U10" s="960"/>
      <c r="V10" s="235" t="s">
        <v>301</v>
      </c>
      <c r="W10" s="235" t="s">
        <v>301</v>
      </c>
      <c r="X10" s="235" t="s">
        <v>301</v>
      </c>
      <c r="Y10" s="235" t="s">
        <v>301</v>
      </c>
      <c r="Z10" s="462" t="s">
        <v>1121</v>
      </c>
    </row>
    <row r="11" ht="174.75" customHeight="1">
      <c r="B11" s="274">
        <v>5.0</v>
      </c>
      <c r="C11" s="956"/>
      <c r="D11" s="961"/>
      <c r="E11" s="956"/>
      <c r="F11" s="956"/>
      <c r="G11" s="956"/>
      <c r="H11" s="957" t="s">
        <v>4940</v>
      </c>
      <c r="I11" s="956"/>
      <c r="J11" s="274">
        <v>5.0</v>
      </c>
      <c r="K11" s="274" t="s">
        <v>4941</v>
      </c>
      <c r="L11" s="957" t="s">
        <v>4942</v>
      </c>
      <c r="M11" s="959" t="s">
        <v>4943</v>
      </c>
      <c r="N11" s="959" t="s">
        <v>1180</v>
      </c>
      <c r="O11" s="960"/>
      <c r="P11" s="235" t="s">
        <v>301</v>
      </c>
      <c r="Q11" s="235" t="s">
        <v>301</v>
      </c>
      <c r="R11" s="235" t="s">
        <v>301</v>
      </c>
      <c r="S11" s="235" t="s">
        <v>301</v>
      </c>
      <c r="T11" s="283"/>
      <c r="U11" s="960"/>
      <c r="V11" s="235" t="s">
        <v>301</v>
      </c>
      <c r="W11" s="235" t="s">
        <v>301</v>
      </c>
      <c r="X11" s="235" t="s">
        <v>301</v>
      </c>
      <c r="Y11" s="235" t="s">
        <v>301</v>
      </c>
      <c r="Z11" s="462" t="s">
        <v>1121</v>
      </c>
    </row>
    <row r="12">
      <c r="B12" s="274">
        <v>6.0</v>
      </c>
      <c r="C12" s="956"/>
      <c r="D12" s="961"/>
      <c r="E12" s="956"/>
      <c r="F12" s="956"/>
      <c r="G12" s="956"/>
      <c r="H12" s="957"/>
      <c r="I12" s="956"/>
      <c r="J12" s="274">
        <v>6.0</v>
      </c>
      <c r="K12" s="274"/>
      <c r="L12" s="274"/>
      <c r="M12" s="274" t="s">
        <v>4944</v>
      </c>
      <c r="N12" s="274" t="s">
        <v>1180</v>
      </c>
      <c r="O12" s="960"/>
      <c r="P12" s="235" t="s">
        <v>301</v>
      </c>
      <c r="Q12" s="235" t="s">
        <v>301</v>
      </c>
      <c r="R12" s="235" t="s">
        <v>301</v>
      </c>
      <c r="S12" s="235" t="s">
        <v>301</v>
      </c>
      <c r="T12" s="283"/>
      <c r="U12" s="960"/>
      <c r="V12" s="235" t="s">
        <v>301</v>
      </c>
      <c r="W12" s="235" t="s">
        <v>301</v>
      </c>
      <c r="X12" s="235" t="s">
        <v>301</v>
      </c>
      <c r="Y12" s="235" t="s">
        <v>301</v>
      </c>
      <c r="Z12" s="462" t="s">
        <v>1121</v>
      </c>
    </row>
    <row r="13">
      <c r="B13" s="283">
        <v>7.0</v>
      </c>
      <c r="C13" s="956"/>
      <c r="D13" s="961"/>
      <c r="E13" s="956"/>
      <c r="F13" s="956"/>
      <c r="G13" s="956"/>
      <c r="H13" s="957"/>
      <c r="I13" s="956"/>
      <c r="J13" s="283">
        <v>7.0</v>
      </c>
      <c r="K13" s="274"/>
      <c r="L13" s="274"/>
      <c r="M13" s="274" t="s">
        <v>4945</v>
      </c>
      <c r="N13" s="274" t="s">
        <v>4946</v>
      </c>
      <c r="O13" s="960"/>
      <c r="P13" s="235" t="s">
        <v>301</v>
      </c>
      <c r="Q13" s="235" t="s">
        <v>301</v>
      </c>
      <c r="R13" s="235" t="s">
        <v>301</v>
      </c>
      <c r="S13" s="235" t="s">
        <v>301</v>
      </c>
      <c r="T13" s="283"/>
      <c r="U13" s="960"/>
      <c r="V13" s="235" t="s">
        <v>301</v>
      </c>
      <c r="W13" s="235" t="s">
        <v>301</v>
      </c>
      <c r="X13" s="235" t="s">
        <v>301</v>
      </c>
      <c r="Y13" s="235" t="s">
        <v>301</v>
      </c>
      <c r="Z13" s="283" t="s">
        <v>1361</v>
      </c>
    </row>
    <row r="14">
      <c r="B14" s="274">
        <v>8.0</v>
      </c>
      <c r="C14" s="274"/>
      <c r="D14" s="961"/>
      <c r="E14" s="956"/>
      <c r="F14" s="956"/>
      <c r="G14" s="956"/>
      <c r="H14" s="957"/>
      <c r="I14" s="956"/>
      <c r="J14" s="274">
        <v>8.0</v>
      </c>
      <c r="K14" s="274"/>
      <c r="L14" s="274"/>
      <c r="M14" s="274" t="s">
        <v>4947</v>
      </c>
      <c r="N14" s="274" t="s">
        <v>1550</v>
      </c>
      <c r="O14" s="960"/>
      <c r="P14" s="235" t="s">
        <v>301</v>
      </c>
      <c r="Q14" s="235" t="s">
        <v>301</v>
      </c>
      <c r="R14" s="235" t="s">
        <v>301</v>
      </c>
      <c r="S14" s="235" t="s">
        <v>301</v>
      </c>
      <c r="T14" s="283"/>
      <c r="U14" s="960"/>
      <c r="V14" s="235" t="s">
        <v>301</v>
      </c>
      <c r="W14" s="235" t="s">
        <v>301</v>
      </c>
      <c r="X14" s="235" t="s">
        <v>301</v>
      </c>
      <c r="Y14" s="235" t="s">
        <v>301</v>
      </c>
      <c r="Z14" s="462" t="s">
        <v>1121</v>
      </c>
    </row>
    <row r="15">
      <c r="B15" s="274">
        <v>9.0</v>
      </c>
      <c r="C15" s="274"/>
      <c r="D15" s="961"/>
      <c r="E15" s="956"/>
      <c r="F15" s="956"/>
      <c r="G15" s="956"/>
      <c r="H15" s="957"/>
      <c r="I15" s="963"/>
      <c r="J15" s="274">
        <v>9.0</v>
      </c>
      <c r="K15" s="963"/>
      <c r="L15" s="963"/>
      <c r="M15" s="274" t="s">
        <v>4948</v>
      </c>
      <c r="N15" s="274" t="s">
        <v>1514</v>
      </c>
      <c r="O15" s="960"/>
      <c r="P15" s="235" t="s">
        <v>301</v>
      </c>
      <c r="Q15" s="235" t="s">
        <v>301</v>
      </c>
      <c r="R15" s="235" t="s">
        <v>301</v>
      </c>
      <c r="S15" s="235" t="s">
        <v>301</v>
      </c>
      <c r="T15" s="283"/>
      <c r="U15" s="960"/>
      <c r="V15" s="235" t="s">
        <v>301</v>
      </c>
      <c r="W15" s="235" t="s">
        <v>301</v>
      </c>
      <c r="X15" s="235" t="s">
        <v>301</v>
      </c>
      <c r="Y15" s="235" t="s">
        <v>301</v>
      </c>
      <c r="Z15" s="462" t="s">
        <v>1121</v>
      </c>
    </row>
    <row r="16">
      <c r="B16" s="283">
        <v>10.0</v>
      </c>
      <c r="C16" s="274"/>
      <c r="D16" s="961"/>
      <c r="E16" s="956"/>
      <c r="F16" s="956"/>
      <c r="G16" s="956"/>
      <c r="H16" s="957"/>
      <c r="I16" s="956"/>
      <c r="J16" s="283">
        <v>10.0</v>
      </c>
      <c r="K16" s="274"/>
      <c r="L16" s="964" t="s">
        <v>4949</v>
      </c>
      <c r="M16" s="274" t="s">
        <v>4950</v>
      </c>
      <c r="N16" s="274" t="s">
        <v>1491</v>
      </c>
      <c r="O16" s="960"/>
      <c r="P16" s="235" t="s">
        <v>301</v>
      </c>
      <c r="Q16" s="235" t="s">
        <v>301</v>
      </c>
      <c r="R16" s="235" t="s">
        <v>301</v>
      </c>
      <c r="S16" s="235" t="s">
        <v>301</v>
      </c>
      <c r="T16" s="965"/>
      <c r="U16" s="960"/>
      <c r="V16" s="235" t="s">
        <v>301</v>
      </c>
      <c r="W16" s="235" t="s">
        <v>301</v>
      </c>
      <c r="X16" s="235" t="s">
        <v>301</v>
      </c>
      <c r="Y16" s="235" t="s">
        <v>301</v>
      </c>
      <c r="Z16" s="283" t="s">
        <v>1121</v>
      </c>
    </row>
    <row r="17">
      <c r="B17" s="274">
        <v>11.0</v>
      </c>
      <c r="C17" s="274"/>
      <c r="D17" s="961"/>
      <c r="E17" s="956"/>
      <c r="F17" s="956"/>
      <c r="G17" s="956"/>
      <c r="H17" s="957"/>
      <c r="I17" s="956"/>
      <c r="J17" s="274">
        <v>11.0</v>
      </c>
      <c r="K17" s="963"/>
      <c r="L17" s="963"/>
      <c r="M17" s="274" t="s">
        <v>4951</v>
      </c>
      <c r="N17" s="274" t="s">
        <v>1550</v>
      </c>
      <c r="O17" s="960"/>
      <c r="P17" s="235" t="s">
        <v>301</v>
      </c>
      <c r="Q17" s="235" t="s">
        <v>301</v>
      </c>
      <c r="R17" s="235" t="s">
        <v>301</v>
      </c>
      <c r="S17" s="235" t="s">
        <v>301</v>
      </c>
      <c r="T17" s="965"/>
      <c r="U17" s="960"/>
      <c r="V17" s="235" t="s">
        <v>301</v>
      </c>
      <c r="W17" s="235" t="s">
        <v>301</v>
      </c>
      <c r="X17" s="235" t="s">
        <v>301</v>
      </c>
      <c r="Y17" s="235" t="s">
        <v>301</v>
      </c>
      <c r="Z17" s="283" t="s">
        <v>1121</v>
      </c>
    </row>
    <row r="18">
      <c r="B18" s="274">
        <v>12.0</v>
      </c>
      <c r="C18" s="274"/>
      <c r="D18" s="961"/>
      <c r="E18" s="956"/>
      <c r="F18" s="956"/>
      <c r="G18" s="956"/>
      <c r="H18" s="957"/>
      <c r="I18" s="956"/>
      <c r="J18" s="274">
        <v>12.0</v>
      </c>
      <c r="K18" s="274"/>
      <c r="L18" s="274"/>
      <c r="M18" s="274" t="s">
        <v>4952</v>
      </c>
      <c r="N18" s="274" t="s">
        <v>4953</v>
      </c>
      <c r="O18" s="960"/>
      <c r="P18" s="235" t="s">
        <v>301</v>
      </c>
      <c r="Q18" s="235" t="s">
        <v>301</v>
      </c>
      <c r="R18" s="235" t="s">
        <v>301</v>
      </c>
      <c r="S18" s="235" t="s">
        <v>301</v>
      </c>
      <c r="T18" s="965"/>
      <c r="U18" s="960"/>
      <c r="V18" s="235" t="s">
        <v>301</v>
      </c>
      <c r="W18" s="235" t="s">
        <v>301</v>
      </c>
      <c r="X18" s="235" t="s">
        <v>301</v>
      </c>
      <c r="Y18" s="235" t="s">
        <v>301</v>
      </c>
      <c r="Z18" s="283" t="s">
        <v>1121</v>
      </c>
    </row>
    <row r="19">
      <c r="B19" s="283">
        <v>13.0</v>
      </c>
      <c r="C19" s="274"/>
      <c r="D19" s="961"/>
      <c r="E19" s="956"/>
      <c r="F19" s="956"/>
      <c r="G19" s="956"/>
      <c r="H19" s="957"/>
      <c r="I19" s="963"/>
      <c r="J19" s="283">
        <v>13.0</v>
      </c>
      <c r="K19" s="963"/>
      <c r="L19" s="963"/>
      <c r="M19" s="274" t="s">
        <v>4954</v>
      </c>
      <c r="N19" s="274" t="s">
        <v>1491</v>
      </c>
      <c r="O19" s="960"/>
      <c r="P19" s="235" t="s">
        <v>301</v>
      </c>
      <c r="Q19" s="235" t="s">
        <v>301</v>
      </c>
      <c r="R19" s="235" t="s">
        <v>301</v>
      </c>
      <c r="S19" s="235" t="s">
        <v>301</v>
      </c>
      <c r="T19" s="283"/>
      <c r="U19" s="960"/>
      <c r="V19" s="235" t="s">
        <v>301</v>
      </c>
      <c r="W19" s="235" t="s">
        <v>301</v>
      </c>
      <c r="X19" s="235" t="s">
        <v>301</v>
      </c>
      <c r="Y19" s="235" t="s">
        <v>301</v>
      </c>
      <c r="Z19" s="283" t="s">
        <v>1121</v>
      </c>
    </row>
    <row r="20">
      <c r="B20" s="274">
        <v>14.0</v>
      </c>
      <c r="C20" s="274"/>
      <c r="D20" s="961"/>
      <c r="E20" s="956"/>
      <c r="F20" s="956"/>
      <c r="G20" s="956"/>
      <c r="H20" s="957" t="s">
        <v>4955</v>
      </c>
      <c r="I20" s="956"/>
      <c r="J20" s="274">
        <v>14.0</v>
      </c>
      <c r="K20" s="274" t="s">
        <v>4956</v>
      </c>
      <c r="L20" s="274" t="s">
        <v>4957</v>
      </c>
      <c r="M20" s="274" t="s">
        <v>4958</v>
      </c>
      <c r="N20" s="274" t="s">
        <v>1171</v>
      </c>
      <c r="O20" s="960"/>
      <c r="P20" s="235" t="s">
        <v>271</v>
      </c>
      <c r="Q20" s="235" t="s">
        <v>301</v>
      </c>
      <c r="R20" s="235" t="s">
        <v>301</v>
      </c>
      <c r="S20" s="235" t="s">
        <v>301</v>
      </c>
      <c r="T20" s="283"/>
      <c r="U20" s="960"/>
      <c r="V20" s="235" t="s">
        <v>271</v>
      </c>
      <c r="W20" s="235" t="s">
        <v>271</v>
      </c>
      <c r="X20" s="235" t="s">
        <v>271</v>
      </c>
      <c r="Y20" s="235" t="s">
        <v>301</v>
      </c>
      <c r="Z20" s="283" t="s">
        <v>4959</v>
      </c>
    </row>
    <row r="21">
      <c r="B21" s="274">
        <v>15.0</v>
      </c>
      <c r="C21" s="956"/>
      <c r="D21" s="961"/>
      <c r="E21" s="956"/>
      <c r="F21" s="956"/>
      <c r="G21" s="956"/>
      <c r="H21" s="957"/>
      <c r="I21" s="956"/>
      <c r="J21" s="274">
        <v>15.0</v>
      </c>
      <c r="K21" s="274"/>
      <c r="L21" s="963"/>
      <c r="M21" s="274" t="s">
        <v>4960</v>
      </c>
      <c r="N21" s="274" t="s">
        <v>1180</v>
      </c>
      <c r="O21" s="960"/>
      <c r="P21" s="235" t="s">
        <v>301</v>
      </c>
      <c r="Q21" s="235" t="s">
        <v>301</v>
      </c>
      <c r="R21" s="235" t="s">
        <v>301</v>
      </c>
      <c r="S21" s="235" t="s">
        <v>301</v>
      </c>
      <c r="T21" s="283"/>
      <c r="U21" s="960"/>
      <c r="V21" s="235" t="s">
        <v>301</v>
      </c>
      <c r="W21" s="235" t="s">
        <v>301</v>
      </c>
      <c r="X21" s="235" t="s">
        <v>301</v>
      </c>
      <c r="Y21" s="235" t="s">
        <v>301</v>
      </c>
      <c r="Z21" s="283" t="s">
        <v>1121</v>
      </c>
    </row>
    <row r="22">
      <c r="B22" s="283">
        <v>16.0</v>
      </c>
      <c r="C22" s="956"/>
      <c r="D22" s="961"/>
      <c r="E22" s="956"/>
      <c r="F22" s="956"/>
      <c r="G22" s="956"/>
      <c r="H22" s="957"/>
      <c r="I22" s="956"/>
      <c r="J22" s="283">
        <v>16.0</v>
      </c>
      <c r="K22" s="963"/>
      <c r="L22" s="274"/>
      <c r="M22" s="274" t="s">
        <v>4961</v>
      </c>
      <c r="N22" s="966">
        <v>1.0</v>
      </c>
      <c r="O22" s="967"/>
      <c r="P22" s="235" t="s">
        <v>271</v>
      </c>
      <c r="Q22" s="235" t="s">
        <v>301</v>
      </c>
      <c r="R22" s="235" t="s">
        <v>301</v>
      </c>
      <c r="S22" s="235" t="s">
        <v>301</v>
      </c>
      <c r="T22" s="283"/>
      <c r="U22" s="967"/>
      <c r="V22" s="235" t="s">
        <v>271</v>
      </c>
      <c r="W22" s="235" t="s">
        <v>271</v>
      </c>
      <c r="X22" s="235" t="s">
        <v>271</v>
      </c>
      <c r="Y22" s="235" t="s">
        <v>301</v>
      </c>
      <c r="Z22" s="283" t="s">
        <v>4962</v>
      </c>
    </row>
    <row r="23">
      <c r="B23" s="274">
        <v>17.0</v>
      </c>
      <c r="C23" s="956"/>
      <c r="D23" s="961"/>
      <c r="E23" s="956"/>
      <c r="F23" s="956"/>
      <c r="G23" s="956"/>
      <c r="H23" s="957" t="s">
        <v>4963</v>
      </c>
      <c r="I23" s="956"/>
      <c r="J23" s="274">
        <v>17.0</v>
      </c>
      <c r="K23" s="274" t="s">
        <v>4956</v>
      </c>
      <c r="L23" s="274" t="s">
        <v>4964</v>
      </c>
      <c r="M23" s="274" t="s">
        <v>4965</v>
      </c>
      <c r="N23" s="966">
        <v>1.0</v>
      </c>
      <c r="O23" s="967"/>
      <c r="P23" s="235" t="s">
        <v>301</v>
      </c>
      <c r="Q23" s="235" t="s">
        <v>301</v>
      </c>
      <c r="R23" s="235" t="s">
        <v>301</v>
      </c>
      <c r="S23" s="235" t="s">
        <v>301</v>
      </c>
      <c r="T23" s="283"/>
      <c r="U23" s="967"/>
      <c r="V23" s="235" t="s">
        <v>301</v>
      </c>
      <c r="W23" s="235" t="s">
        <v>301</v>
      </c>
      <c r="X23" s="235" t="s">
        <v>301</v>
      </c>
      <c r="Y23" s="235" t="s">
        <v>301</v>
      </c>
      <c r="Z23" s="283" t="s">
        <v>4966</v>
      </c>
    </row>
    <row r="24">
      <c r="B24" s="274">
        <v>18.0</v>
      </c>
      <c r="C24" s="956"/>
      <c r="D24" s="961"/>
      <c r="E24" s="956"/>
      <c r="F24" s="956"/>
      <c r="G24" s="956"/>
      <c r="H24" s="957"/>
      <c r="I24" s="956"/>
      <c r="J24" s="274">
        <v>18.0</v>
      </c>
      <c r="K24" s="963"/>
      <c r="L24" s="274" t="s">
        <v>4967</v>
      </c>
      <c r="M24" s="968" t="s">
        <v>4968</v>
      </c>
      <c r="N24" s="968" t="s">
        <v>4969</v>
      </c>
      <c r="O24" s="960"/>
      <c r="P24" s="235" t="s">
        <v>301</v>
      </c>
      <c r="Q24" s="235" t="s">
        <v>301</v>
      </c>
      <c r="R24" s="235" t="s">
        <v>301</v>
      </c>
      <c r="S24" s="235" t="s">
        <v>301</v>
      </c>
      <c r="T24" s="283" t="s">
        <v>4970</v>
      </c>
      <c r="U24" s="960"/>
      <c r="V24" s="235" t="s">
        <v>301</v>
      </c>
      <c r="W24" s="235" t="s">
        <v>301</v>
      </c>
      <c r="X24" s="235" t="s">
        <v>301</v>
      </c>
      <c r="Y24" s="235" t="s">
        <v>301</v>
      </c>
      <c r="Z24" s="283" t="s">
        <v>1121</v>
      </c>
    </row>
    <row r="25">
      <c r="B25" s="283">
        <v>19.0</v>
      </c>
      <c r="C25" s="956"/>
      <c r="D25" s="961"/>
      <c r="E25" s="956"/>
      <c r="F25" s="956"/>
      <c r="G25" s="956"/>
      <c r="H25" s="956"/>
      <c r="I25" s="956"/>
      <c r="J25" s="283">
        <v>19.0</v>
      </c>
      <c r="K25" s="963"/>
      <c r="L25" s="274" t="s">
        <v>4971</v>
      </c>
      <c r="M25" s="968" t="s">
        <v>4972</v>
      </c>
      <c r="N25" s="968" t="s">
        <v>1407</v>
      </c>
      <c r="O25" s="960"/>
      <c r="P25" s="235" t="s">
        <v>301</v>
      </c>
      <c r="Q25" s="235" t="s">
        <v>301</v>
      </c>
      <c r="R25" s="235" t="s">
        <v>301</v>
      </c>
      <c r="S25" s="235" t="s">
        <v>301</v>
      </c>
      <c r="T25" s="283" t="s">
        <v>4973</v>
      </c>
      <c r="U25" s="960"/>
      <c r="V25" s="235" t="s">
        <v>301</v>
      </c>
      <c r="W25" s="235" t="s">
        <v>301</v>
      </c>
      <c r="X25" s="235" t="s">
        <v>301</v>
      </c>
      <c r="Y25" s="235" t="s">
        <v>301</v>
      </c>
      <c r="Z25" s="283" t="s">
        <v>1091</v>
      </c>
    </row>
    <row r="26">
      <c r="B26" s="274">
        <v>20.0</v>
      </c>
      <c r="C26" s="956"/>
      <c r="D26" s="961"/>
      <c r="E26" s="956"/>
      <c r="F26" s="956"/>
      <c r="G26" s="956"/>
      <c r="H26" s="956"/>
      <c r="I26" s="956"/>
      <c r="J26" s="274">
        <v>20.0</v>
      </c>
      <c r="K26" s="963"/>
      <c r="L26" s="274"/>
      <c r="M26" s="968" t="s">
        <v>4974</v>
      </c>
      <c r="N26" s="968" t="s">
        <v>1604</v>
      </c>
      <c r="O26" s="960"/>
      <c r="P26" s="235" t="s">
        <v>301</v>
      </c>
      <c r="Q26" s="235" t="s">
        <v>301</v>
      </c>
      <c r="R26" s="235" t="s">
        <v>301</v>
      </c>
      <c r="S26" s="235" t="s">
        <v>301</v>
      </c>
      <c r="T26" s="283"/>
      <c r="U26" s="960"/>
      <c r="V26" s="235" t="s">
        <v>301</v>
      </c>
      <c r="W26" s="235" t="s">
        <v>301</v>
      </c>
      <c r="X26" s="235" t="s">
        <v>301</v>
      </c>
      <c r="Y26" s="235" t="s">
        <v>301</v>
      </c>
      <c r="Z26" s="283" t="s">
        <v>1091</v>
      </c>
    </row>
    <row r="27">
      <c r="B27" s="274">
        <v>21.0</v>
      </c>
      <c r="C27" s="956"/>
      <c r="D27" s="961"/>
      <c r="E27" s="956"/>
      <c r="F27" s="956"/>
      <c r="G27" s="956"/>
      <c r="H27" s="956"/>
      <c r="I27" s="956"/>
      <c r="J27" s="274">
        <v>21.0</v>
      </c>
      <c r="K27" s="963"/>
      <c r="L27" s="274"/>
      <c r="M27" s="968" t="s">
        <v>4975</v>
      </c>
      <c r="N27" s="968" t="s">
        <v>1416</v>
      </c>
      <c r="O27" s="960"/>
      <c r="P27" s="235" t="s">
        <v>271</v>
      </c>
      <c r="Q27" s="235" t="s">
        <v>301</v>
      </c>
      <c r="R27" s="235" t="s">
        <v>301</v>
      </c>
      <c r="S27" s="235" t="s">
        <v>301</v>
      </c>
      <c r="T27" s="283"/>
      <c r="U27" s="960"/>
      <c r="V27" s="235" t="s">
        <v>271</v>
      </c>
      <c r="W27" s="235" t="s">
        <v>271</v>
      </c>
      <c r="X27" s="235" t="s">
        <v>301</v>
      </c>
      <c r="Y27" s="235" t="s">
        <v>301</v>
      </c>
      <c r="Z27" s="283" t="s">
        <v>4976</v>
      </c>
    </row>
    <row r="28">
      <c r="B28" s="283">
        <v>22.0</v>
      </c>
      <c r="C28" s="956"/>
      <c r="D28" s="961"/>
      <c r="E28" s="956"/>
      <c r="F28" s="956"/>
      <c r="G28" s="956"/>
      <c r="H28" s="956"/>
      <c r="I28" s="956"/>
      <c r="J28" s="283">
        <v>22.0</v>
      </c>
      <c r="K28" s="274"/>
      <c r="L28" s="274"/>
      <c r="M28" s="968" t="s">
        <v>4977</v>
      </c>
      <c r="N28" s="968" t="s">
        <v>4978</v>
      </c>
      <c r="O28" s="960"/>
      <c r="P28" s="235" t="s">
        <v>301</v>
      </c>
      <c r="Q28" s="235" t="s">
        <v>301</v>
      </c>
      <c r="R28" s="235" t="s">
        <v>301</v>
      </c>
      <c r="S28" s="235" t="s">
        <v>301</v>
      </c>
      <c r="T28" s="283" t="s">
        <v>4979</v>
      </c>
      <c r="U28" s="960"/>
      <c r="V28" s="235" t="s">
        <v>301</v>
      </c>
      <c r="W28" s="235" t="s">
        <v>301</v>
      </c>
      <c r="X28" s="235" t="s">
        <v>301</v>
      </c>
      <c r="Y28" s="235" t="s">
        <v>301</v>
      </c>
      <c r="Z28" s="283" t="s">
        <v>1091</v>
      </c>
    </row>
    <row r="29">
      <c r="B29" s="274">
        <v>23.0</v>
      </c>
      <c r="C29" s="956"/>
      <c r="D29" s="961"/>
      <c r="E29" s="956"/>
      <c r="F29" s="961"/>
      <c r="G29" s="956"/>
      <c r="H29" s="961"/>
      <c r="I29" s="956"/>
      <c r="J29" s="274">
        <v>23.0</v>
      </c>
      <c r="K29" s="274"/>
      <c r="L29" s="274"/>
      <c r="M29" s="968" t="s">
        <v>4980</v>
      </c>
      <c r="N29" s="968" t="s">
        <v>4981</v>
      </c>
      <c r="O29" s="960"/>
      <c r="P29" s="235" t="s">
        <v>301</v>
      </c>
      <c r="Q29" s="235" t="s">
        <v>301</v>
      </c>
      <c r="R29" s="235" t="s">
        <v>301</v>
      </c>
      <c r="S29" s="235" t="s">
        <v>301</v>
      </c>
      <c r="T29" s="283"/>
      <c r="U29" s="960"/>
      <c r="V29" s="235" t="s">
        <v>301</v>
      </c>
      <c r="W29" s="235" t="s">
        <v>301</v>
      </c>
      <c r="X29" s="235" t="s">
        <v>301</v>
      </c>
      <c r="Y29" s="235" t="s">
        <v>301</v>
      </c>
      <c r="Z29" s="283" t="s">
        <v>1091</v>
      </c>
    </row>
    <row r="30">
      <c r="B30" s="274">
        <v>24.0</v>
      </c>
      <c r="C30" s="956"/>
      <c r="D30" s="961"/>
      <c r="E30" s="956"/>
      <c r="F30" s="961"/>
      <c r="G30" s="956"/>
      <c r="H30" s="961"/>
      <c r="I30" s="956"/>
      <c r="J30" s="274">
        <v>24.0</v>
      </c>
      <c r="K30" s="283"/>
      <c r="L30" s="964" t="s">
        <v>4982</v>
      </c>
      <c r="M30" s="968" t="s">
        <v>4983</v>
      </c>
      <c r="N30" s="968" t="s">
        <v>4984</v>
      </c>
      <c r="O30" s="960"/>
      <c r="P30" s="235" t="s">
        <v>301</v>
      </c>
      <c r="Q30" s="235" t="s">
        <v>301</v>
      </c>
      <c r="R30" s="235" t="s">
        <v>301</v>
      </c>
      <c r="S30" s="235" t="s">
        <v>301</v>
      </c>
      <c r="T30" s="283"/>
      <c r="U30" s="960"/>
      <c r="V30" s="235" t="s">
        <v>301</v>
      </c>
      <c r="W30" s="235" t="s">
        <v>301</v>
      </c>
      <c r="X30" s="235" t="s">
        <v>301</v>
      </c>
      <c r="Y30" s="235" t="s">
        <v>301</v>
      </c>
      <c r="Z30" s="283" t="s">
        <v>1091</v>
      </c>
    </row>
    <row r="31">
      <c r="B31" s="283">
        <v>25.0</v>
      </c>
      <c r="C31" s="956"/>
      <c r="D31" s="961"/>
      <c r="E31" s="956"/>
      <c r="F31" s="961"/>
      <c r="G31" s="956"/>
      <c r="H31" s="961"/>
      <c r="I31" s="956"/>
      <c r="J31" s="283">
        <v>25.0</v>
      </c>
      <c r="K31" s="274"/>
      <c r="L31" s="274"/>
      <c r="M31" s="968" t="s">
        <v>4985</v>
      </c>
      <c r="N31" s="968" t="s">
        <v>1180</v>
      </c>
      <c r="O31" s="960"/>
      <c r="P31" s="235" t="s">
        <v>301</v>
      </c>
      <c r="Q31" s="235" t="s">
        <v>301</v>
      </c>
      <c r="R31" s="235" t="s">
        <v>301</v>
      </c>
      <c r="S31" s="235" t="s">
        <v>301</v>
      </c>
      <c r="T31" s="283"/>
      <c r="U31" s="960"/>
      <c r="V31" s="235" t="s">
        <v>301</v>
      </c>
      <c r="W31" s="235" t="s">
        <v>301</v>
      </c>
      <c r="X31" s="235" t="s">
        <v>301</v>
      </c>
      <c r="Y31" s="235" t="s">
        <v>301</v>
      </c>
      <c r="Z31" s="283" t="s">
        <v>1091</v>
      </c>
    </row>
    <row r="32">
      <c r="B32" s="274">
        <v>26.0</v>
      </c>
      <c r="C32" s="956"/>
      <c r="D32" s="961"/>
      <c r="E32" s="956"/>
      <c r="F32" s="961"/>
      <c r="G32" s="956"/>
      <c r="H32" s="961"/>
      <c r="I32" s="956"/>
      <c r="J32" s="274">
        <v>26.0</v>
      </c>
      <c r="K32" s="274"/>
      <c r="L32" s="274"/>
      <c r="M32" s="968" t="s">
        <v>4986</v>
      </c>
      <c r="N32" s="968" t="s">
        <v>4987</v>
      </c>
      <c r="O32" s="960"/>
      <c r="P32" s="235" t="s">
        <v>271</v>
      </c>
      <c r="Q32" s="780" t="s">
        <v>271</v>
      </c>
      <c r="R32" s="780" t="s">
        <v>271</v>
      </c>
      <c r="S32" s="235" t="s">
        <v>301</v>
      </c>
      <c r="T32" s="283"/>
      <c r="U32" s="960"/>
      <c r="V32" s="235" t="s">
        <v>271</v>
      </c>
      <c r="W32" s="780" t="s">
        <v>271</v>
      </c>
      <c r="X32" s="780" t="s">
        <v>271</v>
      </c>
      <c r="Y32" s="235" t="s">
        <v>301</v>
      </c>
      <c r="Z32" s="283" t="s">
        <v>4988</v>
      </c>
    </row>
    <row r="33">
      <c r="B33" s="274">
        <v>27.0</v>
      </c>
      <c r="C33" s="956"/>
      <c r="D33" s="961"/>
      <c r="E33" s="956"/>
      <c r="F33" s="961"/>
      <c r="G33" s="956"/>
      <c r="H33" s="961"/>
      <c r="I33" s="956"/>
      <c r="J33" s="274">
        <v>27.0</v>
      </c>
      <c r="K33" s="274"/>
      <c r="L33" s="274" t="s">
        <v>4989</v>
      </c>
      <c r="M33" s="968" t="s">
        <v>4990</v>
      </c>
      <c r="N33" s="968" t="s">
        <v>1180</v>
      </c>
      <c r="O33" s="960"/>
      <c r="P33" s="235" t="s">
        <v>301</v>
      </c>
      <c r="Q33" s="235" t="s">
        <v>301</v>
      </c>
      <c r="R33" s="235" t="s">
        <v>301</v>
      </c>
      <c r="S33" s="235" t="s">
        <v>301</v>
      </c>
      <c r="T33" s="283"/>
      <c r="U33" s="960"/>
      <c r="V33" s="235" t="s">
        <v>301</v>
      </c>
      <c r="W33" s="235" t="s">
        <v>301</v>
      </c>
      <c r="X33" s="235" t="s">
        <v>301</v>
      </c>
      <c r="Y33" s="235" t="s">
        <v>301</v>
      </c>
      <c r="Z33" s="283" t="s">
        <v>1091</v>
      </c>
    </row>
    <row r="34">
      <c r="B34" s="283">
        <v>28.0</v>
      </c>
      <c r="C34" s="956"/>
      <c r="D34" s="961"/>
      <c r="E34" s="956"/>
      <c r="F34" s="956"/>
      <c r="G34" s="956"/>
      <c r="H34" s="956"/>
      <c r="I34" s="956"/>
      <c r="J34" s="283">
        <v>28.0</v>
      </c>
      <c r="K34" s="274"/>
      <c r="L34" s="274" t="s">
        <v>4991</v>
      </c>
      <c r="M34" s="968" t="s">
        <v>4992</v>
      </c>
      <c r="N34" s="968" t="s">
        <v>1514</v>
      </c>
      <c r="O34" s="960"/>
      <c r="P34" s="235" t="s">
        <v>301</v>
      </c>
      <c r="Q34" s="235" t="s">
        <v>301</v>
      </c>
      <c r="R34" s="235" t="s">
        <v>301</v>
      </c>
      <c r="S34" s="235" t="s">
        <v>301</v>
      </c>
      <c r="T34" s="283"/>
      <c r="U34" s="960"/>
      <c r="V34" s="235" t="s">
        <v>301</v>
      </c>
      <c r="W34" s="235" t="s">
        <v>301</v>
      </c>
      <c r="X34" s="235" t="s">
        <v>301</v>
      </c>
      <c r="Y34" s="235" t="s">
        <v>301</v>
      </c>
      <c r="Z34" s="283" t="s">
        <v>1091</v>
      </c>
    </row>
    <row r="35">
      <c r="B35" s="274">
        <v>29.0</v>
      </c>
      <c r="C35" s="956"/>
      <c r="D35" s="961"/>
      <c r="E35" s="956"/>
      <c r="F35" s="961"/>
      <c r="G35" s="956"/>
      <c r="H35" s="961"/>
      <c r="I35" s="956"/>
      <c r="J35" s="274">
        <v>29.0</v>
      </c>
      <c r="K35" s="274"/>
      <c r="L35" s="274"/>
      <c r="M35" s="968" t="s">
        <v>4993</v>
      </c>
      <c r="N35" s="968" t="s">
        <v>4994</v>
      </c>
      <c r="O35" s="960"/>
      <c r="P35" s="235" t="s">
        <v>301</v>
      </c>
      <c r="Q35" s="235" t="s">
        <v>301</v>
      </c>
      <c r="R35" s="235" t="s">
        <v>301</v>
      </c>
      <c r="S35" s="235" t="s">
        <v>301</v>
      </c>
      <c r="T35" s="283"/>
      <c r="U35" s="960"/>
      <c r="V35" s="235" t="s">
        <v>301</v>
      </c>
      <c r="W35" s="235" t="s">
        <v>301</v>
      </c>
      <c r="X35" s="235" t="s">
        <v>301</v>
      </c>
      <c r="Y35" s="235" t="s">
        <v>301</v>
      </c>
      <c r="Z35" s="283" t="s">
        <v>1121</v>
      </c>
    </row>
    <row r="36">
      <c r="B36" s="274">
        <v>30.0</v>
      </c>
      <c r="C36" s="956"/>
      <c r="D36" s="961"/>
      <c r="E36" s="956"/>
      <c r="F36" s="961"/>
      <c r="G36" s="956"/>
      <c r="H36" s="961"/>
      <c r="I36" s="956"/>
      <c r="J36" s="274">
        <v>30.0</v>
      </c>
      <c r="K36" s="274"/>
      <c r="L36" s="274"/>
      <c r="M36" s="968" t="s">
        <v>4995</v>
      </c>
      <c r="N36" s="968" t="s">
        <v>1180</v>
      </c>
      <c r="O36" s="960"/>
      <c r="P36" s="235" t="s">
        <v>301</v>
      </c>
      <c r="Q36" s="235" t="s">
        <v>301</v>
      </c>
      <c r="R36" s="235" t="s">
        <v>301</v>
      </c>
      <c r="S36" s="235" t="s">
        <v>301</v>
      </c>
      <c r="T36" s="283"/>
      <c r="U36" s="960"/>
      <c r="V36" s="235" t="s">
        <v>301</v>
      </c>
      <c r="W36" s="235" t="s">
        <v>301</v>
      </c>
      <c r="X36" s="235" t="s">
        <v>301</v>
      </c>
      <c r="Y36" s="235" t="s">
        <v>301</v>
      </c>
      <c r="Z36" s="283" t="s">
        <v>1121</v>
      </c>
    </row>
    <row r="37">
      <c r="B37" s="283">
        <v>31.0</v>
      </c>
      <c r="C37" s="956"/>
      <c r="D37" s="961"/>
      <c r="E37" s="956"/>
      <c r="F37" s="961"/>
      <c r="G37" s="956"/>
      <c r="H37" s="961"/>
      <c r="I37" s="956"/>
      <c r="J37" s="283">
        <v>31.0</v>
      </c>
      <c r="K37" s="274"/>
      <c r="L37" s="274"/>
      <c r="M37" s="968" t="s">
        <v>4996</v>
      </c>
      <c r="N37" s="968" t="s">
        <v>1180</v>
      </c>
      <c r="O37" s="960"/>
      <c r="P37" s="235" t="s">
        <v>301</v>
      </c>
      <c r="Q37" s="235" t="s">
        <v>301</v>
      </c>
      <c r="R37" s="235" t="s">
        <v>301</v>
      </c>
      <c r="S37" s="235" t="s">
        <v>301</v>
      </c>
      <c r="T37" s="283"/>
      <c r="U37" s="960"/>
      <c r="V37" s="235" t="s">
        <v>301</v>
      </c>
      <c r="W37" s="235" t="s">
        <v>301</v>
      </c>
      <c r="X37" s="235" t="s">
        <v>301</v>
      </c>
      <c r="Y37" s="235" t="s">
        <v>301</v>
      </c>
      <c r="Z37" s="283" t="s">
        <v>1121</v>
      </c>
    </row>
    <row r="38">
      <c r="B38" s="274">
        <v>32.0</v>
      </c>
      <c r="C38" s="956"/>
      <c r="D38" s="961"/>
      <c r="E38" s="956"/>
      <c r="F38" s="961"/>
      <c r="G38" s="956"/>
      <c r="H38" s="961"/>
      <c r="I38" s="956"/>
      <c r="J38" s="274">
        <v>32.0</v>
      </c>
      <c r="K38" s="274"/>
      <c r="L38" s="274"/>
      <c r="M38" s="968" t="s">
        <v>4997</v>
      </c>
      <c r="N38" s="968" t="s">
        <v>4998</v>
      </c>
      <c r="O38" s="960"/>
      <c r="P38" s="235" t="s">
        <v>301</v>
      </c>
      <c r="Q38" s="235" t="s">
        <v>301</v>
      </c>
      <c r="R38" s="235" t="s">
        <v>301</v>
      </c>
      <c r="S38" s="235" t="s">
        <v>301</v>
      </c>
      <c r="T38" s="283"/>
      <c r="U38" s="960"/>
      <c r="V38" s="235" t="s">
        <v>301</v>
      </c>
      <c r="W38" s="235" t="s">
        <v>301</v>
      </c>
      <c r="X38" s="235" t="s">
        <v>301</v>
      </c>
      <c r="Y38" s="235" t="s">
        <v>301</v>
      </c>
      <c r="Z38" s="283" t="s">
        <v>1121</v>
      </c>
    </row>
    <row r="39">
      <c r="B39" s="274">
        <v>33.0</v>
      </c>
      <c r="C39" s="956"/>
      <c r="D39" s="961"/>
      <c r="E39" s="956"/>
      <c r="F39" s="961"/>
      <c r="G39" s="956"/>
      <c r="H39" s="283"/>
      <c r="I39" s="956"/>
      <c r="J39" s="274">
        <v>33.0</v>
      </c>
      <c r="K39" s="274"/>
      <c r="L39" s="274"/>
      <c r="M39" s="968" t="s">
        <v>4999</v>
      </c>
      <c r="N39" s="968" t="s">
        <v>5000</v>
      </c>
      <c r="O39" s="960"/>
      <c r="P39" s="235" t="s">
        <v>301</v>
      </c>
      <c r="Q39" s="235" t="s">
        <v>301</v>
      </c>
      <c r="R39" s="235" t="s">
        <v>301</v>
      </c>
      <c r="S39" s="235" t="s">
        <v>301</v>
      </c>
      <c r="T39" s="283"/>
      <c r="U39" s="960"/>
      <c r="V39" s="235" t="s">
        <v>301</v>
      </c>
      <c r="W39" s="235" t="s">
        <v>301</v>
      </c>
      <c r="X39" s="235" t="s">
        <v>301</v>
      </c>
      <c r="Y39" s="235" t="s">
        <v>301</v>
      </c>
      <c r="Z39" s="283" t="s">
        <v>1121</v>
      </c>
    </row>
    <row r="40">
      <c r="B40" s="283">
        <v>34.0</v>
      </c>
      <c r="C40" s="956"/>
      <c r="D40" s="961"/>
      <c r="E40" s="956"/>
      <c r="F40" s="961"/>
      <c r="G40" s="956"/>
      <c r="H40" s="283"/>
      <c r="I40" s="956"/>
      <c r="J40" s="283">
        <v>34.0</v>
      </c>
      <c r="K40" s="274"/>
      <c r="L40" s="274"/>
      <c r="M40" s="968" t="s">
        <v>5001</v>
      </c>
      <c r="N40" s="968" t="s">
        <v>1535</v>
      </c>
      <c r="O40" s="960"/>
      <c r="P40" s="235" t="s">
        <v>301</v>
      </c>
      <c r="Q40" s="235" t="s">
        <v>301</v>
      </c>
      <c r="R40" s="235" t="s">
        <v>301</v>
      </c>
      <c r="S40" s="235" t="s">
        <v>301</v>
      </c>
      <c r="T40" s="283"/>
      <c r="U40" s="960"/>
      <c r="V40" s="235" t="s">
        <v>301</v>
      </c>
      <c r="W40" s="235" t="s">
        <v>301</v>
      </c>
      <c r="X40" s="235" t="s">
        <v>301</v>
      </c>
      <c r="Y40" s="235" t="s">
        <v>301</v>
      </c>
      <c r="Z40" s="283" t="s">
        <v>1121</v>
      </c>
    </row>
    <row r="41">
      <c r="B41" s="274">
        <v>35.0</v>
      </c>
      <c r="C41" s="956"/>
      <c r="D41" s="961"/>
      <c r="E41" s="956"/>
      <c r="F41" s="961"/>
      <c r="G41" s="956"/>
      <c r="H41" s="283"/>
      <c r="I41" s="274"/>
      <c r="J41" s="274">
        <v>35.0</v>
      </c>
      <c r="K41" s="274"/>
      <c r="L41" s="956"/>
      <c r="M41" s="968" t="s">
        <v>5002</v>
      </c>
      <c r="N41" s="968" t="s">
        <v>1407</v>
      </c>
      <c r="O41" s="960"/>
      <c r="P41" s="235" t="s">
        <v>301</v>
      </c>
      <c r="Q41" s="235" t="s">
        <v>301</v>
      </c>
      <c r="R41" s="235" t="s">
        <v>301</v>
      </c>
      <c r="S41" s="235" t="s">
        <v>301</v>
      </c>
      <c r="T41" s="283"/>
      <c r="U41" s="960"/>
      <c r="V41" s="235" t="s">
        <v>301</v>
      </c>
      <c r="W41" s="235" t="s">
        <v>301</v>
      </c>
      <c r="X41" s="235" t="s">
        <v>301</v>
      </c>
      <c r="Y41" s="235" t="s">
        <v>301</v>
      </c>
      <c r="Z41" s="283" t="s">
        <v>1121</v>
      </c>
    </row>
    <row r="42">
      <c r="B42" s="274">
        <v>36.0</v>
      </c>
      <c r="C42" s="956"/>
      <c r="D42" s="961"/>
      <c r="E42" s="956"/>
      <c r="F42" s="961"/>
      <c r="G42" s="956"/>
      <c r="H42" s="283"/>
      <c r="I42" s="274"/>
      <c r="J42" s="274">
        <v>36.0</v>
      </c>
      <c r="K42" s="274"/>
      <c r="L42" s="956"/>
      <c r="M42" s="968" t="s">
        <v>5003</v>
      </c>
      <c r="N42" s="968" t="s">
        <v>4969</v>
      </c>
      <c r="O42" s="960"/>
      <c r="P42" s="235" t="s">
        <v>301</v>
      </c>
      <c r="Q42" s="235" t="s">
        <v>301</v>
      </c>
      <c r="R42" s="235" t="s">
        <v>301</v>
      </c>
      <c r="S42" s="235" t="s">
        <v>301</v>
      </c>
      <c r="T42" s="283"/>
      <c r="U42" s="960"/>
      <c r="V42" s="235" t="s">
        <v>301</v>
      </c>
      <c r="W42" s="235" t="s">
        <v>301</v>
      </c>
      <c r="X42" s="235" t="s">
        <v>301</v>
      </c>
      <c r="Y42" s="235" t="s">
        <v>301</v>
      </c>
      <c r="Z42" s="283" t="s">
        <v>1121</v>
      </c>
    </row>
    <row r="43">
      <c r="B43" s="283">
        <v>37.0</v>
      </c>
      <c r="C43" s="956"/>
      <c r="D43" s="961"/>
      <c r="E43" s="956"/>
      <c r="F43" s="961"/>
      <c r="G43" s="956"/>
      <c r="H43" s="283"/>
      <c r="I43" s="274"/>
      <c r="J43" s="283">
        <v>37.0</v>
      </c>
      <c r="K43" s="274"/>
      <c r="L43" s="956"/>
      <c r="M43" s="968" t="s">
        <v>5004</v>
      </c>
      <c r="N43" s="968" t="s">
        <v>1407</v>
      </c>
      <c r="O43" s="960"/>
      <c r="P43" s="235" t="s">
        <v>301</v>
      </c>
      <c r="Q43" s="235" t="s">
        <v>301</v>
      </c>
      <c r="R43" s="235" t="s">
        <v>301</v>
      </c>
      <c r="S43" s="235" t="s">
        <v>301</v>
      </c>
      <c r="T43" s="283"/>
      <c r="U43" s="960"/>
      <c r="V43" s="235" t="s">
        <v>301</v>
      </c>
      <c r="W43" s="235" t="s">
        <v>301</v>
      </c>
      <c r="X43" s="235" t="s">
        <v>301</v>
      </c>
      <c r="Y43" s="235" t="s">
        <v>301</v>
      </c>
      <c r="Z43" s="283" t="s">
        <v>1121</v>
      </c>
    </row>
    <row r="44">
      <c r="A44" s="347"/>
      <c r="B44" s="955" t="s">
        <v>5005</v>
      </c>
      <c r="C44" s="62"/>
      <c r="D44" s="62"/>
      <c r="E44" s="62"/>
      <c r="F44" s="62"/>
      <c r="G44" s="62"/>
      <c r="H44" s="62"/>
      <c r="I44" s="62"/>
      <c r="J44" s="62"/>
      <c r="K44" s="62"/>
      <c r="L44" s="62"/>
      <c r="M44" s="62"/>
      <c r="N44" s="62"/>
      <c r="O44" s="62"/>
      <c r="P44" s="62"/>
      <c r="Q44" s="62"/>
      <c r="R44" s="62"/>
      <c r="S44" s="62"/>
      <c r="T44" s="62"/>
      <c r="U44" s="62"/>
      <c r="V44" s="62"/>
      <c r="W44" s="62"/>
      <c r="X44" s="62"/>
      <c r="Y44" s="62"/>
      <c r="Z44" s="63"/>
      <c r="AA44" s="347"/>
    </row>
    <row r="45">
      <c r="B45" s="274">
        <v>1.0</v>
      </c>
      <c r="C45" s="956" t="s">
        <v>5006</v>
      </c>
      <c r="D45" s="956" t="s">
        <v>301</v>
      </c>
      <c r="E45" s="969"/>
      <c r="F45" s="969"/>
      <c r="G45" s="969"/>
      <c r="H45" s="274" t="s">
        <v>5007</v>
      </c>
      <c r="I45" s="274" t="s">
        <v>301</v>
      </c>
      <c r="J45" s="835"/>
      <c r="K45" s="274" t="s">
        <v>5008</v>
      </c>
      <c r="L45" s="956" t="s">
        <v>1309</v>
      </c>
      <c r="M45" s="968" t="s">
        <v>1601</v>
      </c>
      <c r="N45" s="970" t="s">
        <v>5009</v>
      </c>
      <c r="O45" s="971"/>
      <c r="P45" s="274" t="s">
        <v>301</v>
      </c>
      <c r="Q45" s="274" t="s">
        <v>301</v>
      </c>
      <c r="R45" s="274" t="s">
        <v>301</v>
      </c>
      <c r="S45" s="274" t="s">
        <v>301</v>
      </c>
      <c r="T45" s="274" t="s">
        <v>5010</v>
      </c>
      <c r="U45" s="971"/>
      <c r="V45" s="274" t="s">
        <v>301</v>
      </c>
      <c r="W45" s="274" t="s">
        <v>301</v>
      </c>
      <c r="X45" s="274" t="s">
        <v>301</v>
      </c>
      <c r="Y45" s="274" t="s">
        <v>301</v>
      </c>
      <c r="Z45" s="274"/>
    </row>
    <row r="46">
      <c r="B46" s="274">
        <v>2.0</v>
      </c>
      <c r="C46" s="956" t="s">
        <v>5006</v>
      </c>
      <c r="D46" s="956" t="s">
        <v>301</v>
      </c>
      <c r="E46" s="969"/>
      <c r="F46" s="969"/>
      <c r="G46" s="969"/>
      <c r="H46" s="274" t="s">
        <v>5007</v>
      </c>
      <c r="I46" s="274" t="s">
        <v>301</v>
      </c>
      <c r="J46" s="835"/>
      <c r="K46" s="274" t="s">
        <v>5008</v>
      </c>
      <c r="L46" s="274" t="s">
        <v>1309</v>
      </c>
      <c r="M46" s="968" t="s">
        <v>1408</v>
      </c>
      <c r="N46" s="970" t="s">
        <v>5009</v>
      </c>
      <c r="O46" s="971"/>
      <c r="P46" s="274" t="s">
        <v>301</v>
      </c>
      <c r="Q46" s="274" t="s">
        <v>301</v>
      </c>
      <c r="R46" s="274" t="s">
        <v>301</v>
      </c>
      <c r="S46" s="274" t="s">
        <v>301</v>
      </c>
      <c r="T46" s="274">
        <v>83.0</v>
      </c>
      <c r="U46" s="971"/>
      <c r="V46" s="274" t="s">
        <v>301</v>
      </c>
      <c r="W46" s="274" t="s">
        <v>301</v>
      </c>
      <c r="X46" s="274" t="s">
        <v>301</v>
      </c>
      <c r="Y46" s="274" t="s">
        <v>301</v>
      </c>
      <c r="Z46" s="274"/>
    </row>
    <row r="47">
      <c r="B47" s="274">
        <v>3.0</v>
      </c>
      <c r="C47" s="274" t="s">
        <v>5006</v>
      </c>
      <c r="D47" s="956" t="s">
        <v>301</v>
      </c>
      <c r="E47" s="972"/>
      <c r="F47" s="972"/>
      <c r="G47" s="969"/>
      <c r="H47" s="274" t="s">
        <v>5007</v>
      </c>
      <c r="I47" s="274" t="s">
        <v>301</v>
      </c>
      <c r="J47" s="835"/>
      <c r="K47" s="274" t="s">
        <v>5008</v>
      </c>
      <c r="L47" s="274" t="s">
        <v>1309</v>
      </c>
      <c r="M47" s="968" t="s">
        <v>1415</v>
      </c>
      <c r="N47" s="970" t="s">
        <v>5009</v>
      </c>
      <c r="O47" s="971"/>
      <c r="P47" s="274" t="s">
        <v>301</v>
      </c>
      <c r="Q47" s="274" t="s">
        <v>301</v>
      </c>
      <c r="R47" s="274" t="s">
        <v>301</v>
      </c>
      <c r="S47" s="274" t="s">
        <v>301</v>
      </c>
      <c r="T47" s="274">
        <v>80.0</v>
      </c>
      <c r="U47" s="971"/>
      <c r="V47" s="274" t="s">
        <v>301</v>
      </c>
      <c r="W47" s="274" t="s">
        <v>301</v>
      </c>
      <c r="X47" s="274" t="s">
        <v>301</v>
      </c>
      <c r="Y47" s="274" t="s">
        <v>301</v>
      </c>
      <c r="Z47" s="274"/>
    </row>
    <row r="48">
      <c r="B48" s="274">
        <v>4.0</v>
      </c>
      <c r="C48" s="956" t="s">
        <v>5011</v>
      </c>
      <c r="D48" s="956" t="s">
        <v>301</v>
      </c>
      <c r="E48" s="969"/>
      <c r="F48" s="969"/>
      <c r="G48" s="969"/>
      <c r="H48" s="274" t="s">
        <v>5007</v>
      </c>
      <c r="I48" s="274" t="s">
        <v>301</v>
      </c>
      <c r="J48" s="835"/>
      <c r="K48" s="274" t="s">
        <v>5008</v>
      </c>
      <c r="L48" s="274" t="s">
        <v>1309</v>
      </c>
      <c r="M48" s="968" t="s">
        <v>1414</v>
      </c>
      <c r="N48" s="970" t="s">
        <v>5009</v>
      </c>
      <c r="O48" s="971"/>
      <c r="P48" s="274" t="s">
        <v>301</v>
      </c>
      <c r="Q48" s="274" t="s">
        <v>301</v>
      </c>
      <c r="R48" s="274" t="s">
        <v>301</v>
      </c>
      <c r="S48" s="274" t="s">
        <v>301</v>
      </c>
      <c r="T48" s="274" t="s">
        <v>124</v>
      </c>
      <c r="U48" s="971"/>
      <c r="V48" s="274" t="s">
        <v>301</v>
      </c>
      <c r="W48" s="274" t="s">
        <v>301</v>
      </c>
      <c r="X48" s="274" t="s">
        <v>301</v>
      </c>
      <c r="Y48" s="274" t="s">
        <v>301</v>
      </c>
      <c r="Z48" s="274"/>
    </row>
    <row r="49">
      <c r="B49" s="274">
        <v>5.0</v>
      </c>
      <c r="C49" s="956" t="s">
        <v>5011</v>
      </c>
      <c r="D49" s="956" t="s">
        <v>301</v>
      </c>
      <c r="E49" s="969"/>
      <c r="F49" s="969"/>
      <c r="G49" s="969"/>
      <c r="H49" s="274" t="s">
        <v>5007</v>
      </c>
      <c r="I49" s="274" t="s">
        <v>301</v>
      </c>
      <c r="J49" s="835"/>
      <c r="K49" s="274" t="s">
        <v>5008</v>
      </c>
      <c r="L49" s="274" t="s">
        <v>1309</v>
      </c>
      <c r="M49" s="968" t="s">
        <v>1417</v>
      </c>
      <c r="N49" s="970" t="s">
        <v>5009</v>
      </c>
      <c r="O49" s="971"/>
      <c r="P49" s="274" t="s">
        <v>301</v>
      </c>
      <c r="Q49" s="274" t="s">
        <v>301</v>
      </c>
      <c r="R49" s="274" t="s">
        <v>301</v>
      </c>
      <c r="S49" s="274" t="s">
        <v>301</v>
      </c>
      <c r="T49" s="274" t="s">
        <v>124</v>
      </c>
      <c r="U49" s="971"/>
      <c r="V49" s="274" t="s">
        <v>301</v>
      </c>
      <c r="W49" s="274" t="s">
        <v>301</v>
      </c>
      <c r="X49" s="274" t="s">
        <v>301</v>
      </c>
      <c r="Y49" s="274" t="s">
        <v>301</v>
      </c>
      <c r="Z49" s="274"/>
    </row>
    <row r="50">
      <c r="B50" s="274">
        <v>6.0</v>
      </c>
      <c r="C50" s="956" t="s">
        <v>5011</v>
      </c>
      <c r="D50" s="956" t="s">
        <v>301</v>
      </c>
      <c r="E50" s="969"/>
      <c r="F50" s="969"/>
      <c r="G50" s="969"/>
      <c r="H50" s="274" t="s">
        <v>5007</v>
      </c>
      <c r="I50" s="274" t="s">
        <v>301</v>
      </c>
      <c r="J50" s="835"/>
      <c r="K50" s="274" t="s">
        <v>1308</v>
      </c>
      <c r="L50" s="274" t="s">
        <v>1309</v>
      </c>
      <c r="M50" s="973" t="s">
        <v>5012</v>
      </c>
      <c r="N50" s="973" t="s">
        <v>5009</v>
      </c>
      <c r="O50" s="971"/>
      <c r="P50" s="274" t="s">
        <v>301</v>
      </c>
      <c r="Q50" s="274" t="s">
        <v>301</v>
      </c>
      <c r="R50" s="274" t="s">
        <v>301</v>
      </c>
      <c r="S50" s="274" t="s">
        <v>301</v>
      </c>
      <c r="T50" s="274" t="s">
        <v>5013</v>
      </c>
      <c r="U50" s="971"/>
      <c r="V50" s="274" t="s">
        <v>271</v>
      </c>
      <c r="W50" s="274" t="s">
        <v>271</v>
      </c>
      <c r="X50" s="274" t="s">
        <v>271</v>
      </c>
      <c r="Y50" s="274" t="s">
        <v>271</v>
      </c>
      <c r="Z50" s="274"/>
    </row>
    <row r="51">
      <c r="B51" s="274">
        <v>7.0</v>
      </c>
      <c r="C51" s="956" t="s">
        <v>5011</v>
      </c>
      <c r="D51" s="956" t="s">
        <v>301</v>
      </c>
      <c r="E51" s="969"/>
      <c r="F51" s="969"/>
      <c r="G51" s="969"/>
      <c r="H51" s="274" t="s">
        <v>1317</v>
      </c>
      <c r="I51" s="274" t="s">
        <v>301</v>
      </c>
      <c r="J51" s="835"/>
      <c r="K51" s="274" t="s">
        <v>1319</v>
      </c>
      <c r="L51" s="274" t="s">
        <v>1320</v>
      </c>
      <c r="M51" s="968" t="s">
        <v>5014</v>
      </c>
      <c r="N51" s="968" t="s">
        <v>1324</v>
      </c>
      <c r="O51" s="971"/>
      <c r="P51" s="274" t="s">
        <v>301</v>
      </c>
      <c r="Q51" s="274" t="s">
        <v>301</v>
      </c>
      <c r="R51" s="274" t="s">
        <v>301</v>
      </c>
      <c r="S51" s="274" t="s">
        <v>301</v>
      </c>
      <c r="T51" s="274" t="s">
        <v>5015</v>
      </c>
      <c r="U51" s="971"/>
      <c r="V51" s="274" t="s">
        <v>301</v>
      </c>
      <c r="W51" s="274" t="s">
        <v>301</v>
      </c>
      <c r="X51" s="274" t="s">
        <v>301</v>
      </c>
      <c r="Y51" s="274" t="s">
        <v>301</v>
      </c>
      <c r="Z51" s="274"/>
    </row>
    <row r="52">
      <c r="B52" s="274">
        <v>8.0</v>
      </c>
      <c r="C52" s="956" t="s">
        <v>5011</v>
      </c>
      <c r="D52" s="956" t="s">
        <v>301</v>
      </c>
      <c r="E52" s="969"/>
      <c r="F52" s="969"/>
      <c r="G52" s="969"/>
      <c r="H52" s="274" t="s">
        <v>1317</v>
      </c>
      <c r="I52" s="274" t="s">
        <v>301</v>
      </c>
      <c r="J52" s="835"/>
      <c r="K52" s="274" t="s">
        <v>1319</v>
      </c>
      <c r="L52" s="274" t="s">
        <v>1320</v>
      </c>
      <c r="M52" s="968" t="s">
        <v>5016</v>
      </c>
      <c r="N52" s="968" t="s">
        <v>5017</v>
      </c>
      <c r="O52" s="971"/>
      <c r="P52" s="274" t="s">
        <v>301</v>
      </c>
      <c r="Q52" s="274" t="s">
        <v>301</v>
      </c>
      <c r="R52" s="274" t="s">
        <v>301</v>
      </c>
      <c r="S52" s="274" t="s">
        <v>301</v>
      </c>
      <c r="T52" s="274" t="s">
        <v>5015</v>
      </c>
      <c r="U52" s="971"/>
      <c r="V52" s="274" t="s">
        <v>301</v>
      </c>
      <c r="W52" s="274" t="s">
        <v>301</v>
      </c>
      <c r="X52" s="274" t="s">
        <v>301</v>
      </c>
      <c r="Y52" s="274" t="s">
        <v>301</v>
      </c>
      <c r="Z52" s="274" t="s">
        <v>5018</v>
      </c>
    </row>
    <row r="53">
      <c r="B53" s="274">
        <v>9.0</v>
      </c>
      <c r="C53" s="956" t="s">
        <v>5011</v>
      </c>
      <c r="D53" s="956" t="s">
        <v>301</v>
      </c>
      <c r="E53" s="969"/>
      <c r="F53" s="969"/>
      <c r="G53" s="969"/>
      <c r="H53" s="274" t="s">
        <v>1317</v>
      </c>
      <c r="I53" s="274" t="s">
        <v>301</v>
      </c>
      <c r="J53" s="835"/>
      <c r="K53" s="274" t="s">
        <v>1319</v>
      </c>
      <c r="L53" s="274" t="s">
        <v>1320</v>
      </c>
      <c r="M53" s="968" t="s">
        <v>1617</v>
      </c>
      <c r="N53" s="970" t="s">
        <v>5019</v>
      </c>
      <c r="O53" s="971"/>
      <c r="P53" s="274" t="s">
        <v>301</v>
      </c>
      <c r="Q53" s="274" t="s">
        <v>301</v>
      </c>
      <c r="R53" s="274" t="s">
        <v>301</v>
      </c>
      <c r="S53" s="274" t="s">
        <v>301</v>
      </c>
      <c r="T53" s="274" t="s">
        <v>124</v>
      </c>
      <c r="U53" s="971"/>
      <c r="V53" s="274" t="s">
        <v>271</v>
      </c>
      <c r="W53" s="274" t="s">
        <v>271</v>
      </c>
      <c r="X53" s="274" t="s">
        <v>301</v>
      </c>
      <c r="Y53" s="274" t="s">
        <v>271</v>
      </c>
      <c r="Z53" s="274" t="s">
        <v>5020</v>
      </c>
    </row>
    <row r="54">
      <c r="B54" s="274">
        <v>10.0</v>
      </c>
      <c r="C54" s="956" t="s">
        <v>5011</v>
      </c>
      <c r="D54" s="956" t="s">
        <v>301</v>
      </c>
      <c r="E54" s="969"/>
      <c r="F54" s="969"/>
      <c r="G54" s="969"/>
      <c r="H54" s="274" t="s">
        <v>1317</v>
      </c>
      <c r="I54" s="274" t="s">
        <v>301</v>
      </c>
      <c r="J54" s="835"/>
      <c r="K54" s="274" t="s">
        <v>1319</v>
      </c>
      <c r="L54" s="274" t="s">
        <v>1320</v>
      </c>
      <c r="M54" s="968" t="s">
        <v>5021</v>
      </c>
      <c r="N54" s="970" t="s">
        <v>5022</v>
      </c>
      <c r="O54" s="971"/>
      <c r="P54" s="274" t="s">
        <v>301</v>
      </c>
      <c r="Q54" s="274" t="s">
        <v>301</v>
      </c>
      <c r="R54" s="274" t="s">
        <v>301</v>
      </c>
      <c r="S54" s="274" t="s">
        <v>301</v>
      </c>
      <c r="T54" s="274" t="s">
        <v>124</v>
      </c>
      <c r="U54" s="971"/>
      <c r="V54" s="274" t="s">
        <v>271</v>
      </c>
      <c r="W54" s="274" t="s">
        <v>271</v>
      </c>
      <c r="X54" s="274" t="s">
        <v>301</v>
      </c>
      <c r="Y54" s="274" t="s">
        <v>301</v>
      </c>
      <c r="Z54" s="274" t="s">
        <v>5023</v>
      </c>
    </row>
    <row r="55">
      <c r="B55" s="274">
        <v>11.0</v>
      </c>
      <c r="C55" s="274" t="s">
        <v>5011</v>
      </c>
      <c r="D55" s="274" t="s">
        <v>301</v>
      </c>
      <c r="E55" s="974"/>
      <c r="F55" s="974"/>
      <c r="G55" s="974"/>
      <c r="H55" s="274" t="s">
        <v>1317</v>
      </c>
      <c r="I55" s="274" t="s">
        <v>301</v>
      </c>
      <c r="J55" s="974"/>
      <c r="K55" s="274" t="s">
        <v>1319</v>
      </c>
      <c r="L55" s="274" t="s">
        <v>1320</v>
      </c>
      <c r="M55" s="274" t="s">
        <v>1615</v>
      </c>
      <c r="N55" s="975" t="s">
        <v>5024</v>
      </c>
      <c r="O55" s="976"/>
      <c r="P55" s="274" t="s">
        <v>301</v>
      </c>
      <c r="Q55" s="274" t="s">
        <v>301</v>
      </c>
      <c r="R55" s="274" t="s">
        <v>301</v>
      </c>
      <c r="S55" s="274" t="s">
        <v>301</v>
      </c>
      <c r="T55" s="274" t="s">
        <v>124</v>
      </c>
      <c r="U55" s="971"/>
      <c r="V55" s="274" t="s">
        <v>271</v>
      </c>
      <c r="W55" s="274" t="s">
        <v>271</v>
      </c>
      <c r="X55" s="274" t="s">
        <v>301</v>
      </c>
      <c r="Y55" s="274" t="s">
        <v>301</v>
      </c>
      <c r="Z55" s="274" t="s">
        <v>5025</v>
      </c>
    </row>
    <row r="56">
      <c r="B56" s="274">
        <v>12.0</v>
      </c>
      <c r="C56" s="274" t="s">
        <v>5011</v>
      </c>
      <c r="D56" s="956" t="s">
        <v>301</v>
      </c>
      <c r="E56" s="972"/>
      <c r="F56" s="835"/>
      <c r="G56" s="972"/>
      <c r="H56" s="274" t="s">
        <v>1317</v>
      </c>
      <c r="I56" s="274" t="s">
        <v>301</v>
      </c>
      <c r="J56" s="835"/>
      <c r="K56" s="274" t="s">
        <v>1319</v>
      </c>
      <c r="L56" s="274" t="s">
        <v>1320</v>
      </c>
      <c r="M56" s="977" t="s">
        <v>5026</v>
      </c>
      <c r="N56" s="977" t="s">
        <v>5027</v>
      </c>
      <c r="O56" s="971"/>
      <c r="P56" s="274" t="s">
        <v>301</v>
      </c>
      <c r="Q56" s="274" t="s">
        <v>301</v>
      </c>
      <c r="R56" s="274" t="s">
        <v>301</v>
      </c>
      <c r="S56" s="274" t="s">
        <v>301</v>
      </c>
      <c r="T56" s="274" t="s">
        <v>124</v>
      </c>
      <c r="U56" s="978"/>
      <c r="V56" s="274" t="s">
        <v>271</v>
      </c>
      <c r="W56" s="274" t="s">
        <v>271</v>
      </c>
      <c r="X56" s="274" t="s">
        <v>301</v>
      </c>
      <c r="Y56" s="274" t="s">
        <v>301</v>
      </c>
      <c r="Z56" s="977" t="s">
        <v>5028</v>
      </c>
    </row>
    <row r="57">
      <c r="B57" s="274">
        <v>13.0</v>
      </c>
      <c r="C57" s="956" t="s">
        <v>5011</v>
      </c>
      <c r="D57" s="956" t="s">
        <v>301</v>
      </c>
      <c r="E57" s="972"/>
      <c r="F57" s="972"/>
      <c r="G57" s="972"/>
      <c r="H57" s="274" t="s">
        <v>1317</v>
      </c>
      <c r="I57" s="274" t="s">
        <v>301</v>
      </c>
      <c r="J57" s="835"/>
      <c r="K57" s="274" t="s">
        <v>1319</v>
      </c>
      <c r="L57" s="274" t="s">
        <v>1320</v>
      </c>
      <c r="M57" s="274" t="s">
        <v>1611</v>
      </c>
      <c r="N57" s="975" t="s">
        <v>5029</v>
      </c>
      <c r="O57" s="971"/>
      <c r="P57" s="274" t="s">
        <v>301</v>
      </c>
      <c r="Q57" s="274" t="s">
        <v>301</v>
      </c>
      <c r="R57" s="274" t="s">
        <v>301</v>
      </c>
      <c r="S57" s="274" t="s">
        <v>301</v>
      </c>
      <c r="T57" s="274" t="s">
        <v>124</v>
      </c>
      <c r="U57" s="978"/>
      <c r="V57" s="274" t="s">
        <v>271</v>
      </c>
      <c r="W57" s="274" t="s">
        <v>271</v>
      </c>
      <c r="X57" s="274" t="s">
        <v>301</v>
      </c>
      <c r="Y57" s="274" t="s">
        <v>301</v>
      </c>
      <c r="Z57" s="274" t="s">
        <v>5025</v>
      </c>
    </row>
    <row r="58">
      <c r="B58" s="274">
        <v>14.0</v>
      </c>
      <c r="C58" s="956" t="s">
        <v>5011</v>
      </c>
      <c r="D58" s="956" t="s">
        <v>301</v>
      </c>
      <c r="E58" s="972"/>
      <c r="F58" s="972"/>
      <c r="G58" s="972"/>
      <c r="H58" s="274" t="s">
        <v>1317</v>
      </c>
      <c r="I58" s="274" t="s">
        <v>301</v>
      </c>
      <c r="J58" s="835"/>
      <c r="K58" s="274" t="s">
        <v>1319</v>
      </c>
      <c r="L58" s="274" t="s">
        <v>1320</v>
      </c>
      <c r="M58" s="274" t="s">
        <v>5030</v>
      </c>
      <c r="N58" s="975" t="s">
        <v>5031</v>
      </c>
      <c r="O58" s="971"/>
      <c r="P58" s="274" t="s">
        <v>301</v>
      </c>
      <c r="Q58" s="274" t="s">
        <v>301</v>
      </c>
      <c r="R58" s="274" t="s">
        <v>301</v>
      </c>
      <c r="S58" s="274" t="s">
        <v>301</v>
      </c>
      <c r="T58" s="274" t="s">
        <v>124</v>
      </c>
      <c r="U58" s="978"/>
      <c r="V58" s="274" t="s">
        <v>271</v>
      </c>
      <c r="W58" s="274" t="s">
        <v>271</v>
      </c>
      <c r="X58" s="274" t="s">
        <v>301</v>
      </c>
      <c r="Y58" s="274" t="s">
        <v>301</v>
      </c>
      <c r="Z58" s="274" t="s">
        <v>5025</v>
      </c>
    </row>
    <row r="59">
      <c r="B59" s="274">
        <v>15.0</v>
      </c>
      <c r="C59" s="956" t="s">
        <v>5011</v>
      </c>
      <c r="D59" s="956" t="s">
        <v>301</v>
      </c>
      <c r="E59" s="835"/>
      <c r="F59" s="972"/>
      <c r="G59" s="972"/>
      <c r="H59" s="274" t="s">
        <v>1317</v>
      </c>
      <c r="I59" s="274" t="s">
        <v>301</v>
      </c>
      <c r="J59" s="835"/>
      <c r="K59" s="274" t="s">
        <v>1319</v>
      </c>
      <c r="L59" s="274" t="s">
        <v>1320</v>
      </c>
      <c r="M59" s="977" t="s">
        <v>5026</v>
      </c>
      <c r="N59" s="977" t="s">
        <v>5027</v>
      </c>
      <c r="O59" s="971"/>
      <c r="P59" s="274" t="s">
        <v>301</v>
      </c>
      <c r="Q59" s="274" t="s">
        <v>301</v>
      </c>
      <c r="R59" s="274" t="s">
        <v>301</v>
      </c>
      <c r="S59" s="274" t="s">
        <v>301</v>
      </c>
      <c r="T59" s="274" t="s">
        <v>124</v>
      </c>
      <c r="U59" s="978"/>
      <c r="V59" s="274" t="s">
        <v>271</v>
      </c>
      <c r="W59" s="274" t="s">
        <v>271</v>
      </c>
      <c r="X59" s="274" t="s">
        <v>301</v>
      </c>
      <c r="Y59" s="274" t="s">
        <v>301</v>
      </c>
      <c r="Z59" s="977" t="s">
        <v>5032</v>
      </c>
    </row>
    <row r="60">
      <c r="B60" s="274">
        <v>16.0</v>
      </c>
      <c r="C60" s="956" t="s">
        <v>5011</v>
      </c>
      <c r="D60" s="956" t="s">
        <v>301</v>
      </c>
      <c r="E60" s="972"/>
      <c r="F60" s="972"/>
      <c r="G60" s="972"/>
      <c r="H60" s="274" t="s">
        <v>1317</v>
      </c>
      <c r="I60" s="274" t="s">
        <v>301</v>
      </c>
      <c r="J60" s="835"/>
      <c r="K60" s="274" t="s">
        <v>1329</v>
      </c>
      <c r="L60" s="274" t="s">
        <v>1330</v>
      </c>
      <c r="M60" s="274" t="s">
        <v>1619</v>
      </c>
      <c r="N60" s="975" t="s">
        <v>1332</v>
      </c>
      <c r="O60" s="971"/>
      <c r="P60" s="274" t="s">
        <v>301</v>
      </c>
      <c r="Q60" s="274" t="s">
        <v>301</v>
      </c>
      <c r="R60" s="274" t="s">
        <v>301</v>
      </c>
      <c r="S60" s="274" t="s">
        <v>301</v>
      </c>
      <c r="T60" s="274" t="s">
        <v>124</v>
      </c>
      <c r="U60" s="978"/>
      <c r="V60" s="274" t="s">
        <v>271</v>
      </c>
      <c r="W60" s="274" t="s">
        <v>271</v>
      </c>
      <c r="X60" s="274" t="s">
        <v>301</v>
      </c>
      <c r="Y60" s="274" t="s">
        <v>271</v>
      </c>
      <c r="Z60" s="274" t="s">
        <v>5033</v>
      </c>
    </row>
    <row r="61">
      <c r="B61" s="274">
        <v>17.0</v>
      </c>
      <c r="C61" s="956" t="s">
        <v>5011</v>
      </c>
      <c r="D61" s="956" t="s">
        <v>301</v>
      </c>
      <c r="E61" s="972"/>
      <c r="F61" s="972"/>
      <c r="G61" s="972"/>
      <c r="H61" s="274" t="s">
        <v>1317</v>
      </c>
      <c r="I61" s="274" t="s">
        <v>301</v>
      </c>
      <c r="J61" s="835"/>
      <c r="K61" s="274" t="s">
        <v>1334</v>
      </c>
      <c r="L61" s="274" t="s">
        <v>1335</v>
      </c>
      <c r="M61" s="274" t="s">
        <v>1621</v>
      </c>
      <c r="N61" s="975" t="s">
        <v>1622</v>
      </c>
      <c r="O61" s="971"/>
      <c r="P61" s="274" t="s">
        <v>301</v>
      </c>
      <c r="Q61" s="274" t="s">
        <v>301</v>
      </c>
      <c r="R61" s="274" t="s">
        <v>301</v>
      </c>
      <c r="S61" s="274" t="s">
        <v>301</v>
      </c>
      <c r="T61" s="274" t="s">
        <v>124</v>
      </c>
      <c r="U61" s="978"/>
      <c r="V61" s="274" t="s">
        <v>271</v>
      </c>
      <c r="W61" s="274" t="s">
        <v>271</v>
      </c>
      <c r="X61" s="274" t="s">
        <v>301</v>
      </c>
      <c r="Y61" s="274" t="s">
        <v>271</v>
      </c>
      <c r="Z61" s="274" t="s">
        <v>5033</v>
      </c>
    </row>
    <row r="62">
      <c r="A62" s="347"/>
      <c r="B62" s="955" t="s">
        <v>5034</v>
      </c>
      <c r="C62" s="62"/>
      <c r="D62" s="62"/>
      <c r="E62" s="62"/>
      <c r="F62" s="62"/>
      <c r="G62" s="62"/>
      <c r="H62" s="62"/>
      <c r="I62" s="62"/>
      <c r="J62" s="62"/>
      <c r="K62" s="62"/>
      <c r="L62" s="62"/>
      <c r="M62" s="62"/>
      <c r="N62" s="62"/>
      <c r="O62" s="62"/>
      <c r="P62" s="62"/>
      <c r="Q62" s="62"/>
      <c r="R62" s="62"/>
      <c r="S62" s="62"/>
      <c r="T62" s="62"/>
      <c r="U62" s="62"/>
      <c r="V62" s="62"/>
      <c r="W62" s="62"/>
      <c r="X62" s="62"/>
      <c r="Y62" s="62"/>
      <c r="Z62" s="63"/>
      <c r="AA62" s="347"/>
    </row>
    <row r="63">
      <c r="B63" s="235">
        <v>1.0</v>
      </c>
      <c r="C63" s="956" t="s">
        <v>5011</v>
      </c>
      <c r="D63" s="956" t="s">
        <v>301</v>
      </c>
      <c r="E63" s="972"/>
      <c r="F63" s="835"/>
      <c r="G63" s="972"/>
      <c r="H63" s="274" t="s">
        <v>5035</v>
      </c>
      <c r="I63" s="274" t="s">
        <v>301</v>
      </c>
      <c r="J63" s="235">
        <v>1.0</v>
      </c>
      <c r="K63" s="835" t="s">
        <v>5036</v>
      </c>
      <c r="L63" s="835" t="s">
        <v>5037</v>
      </c>
      <c r="M63" s="235" t="s">
        <v>5038</v>
      </c>
      <c r="N63" s="835" t="s">
        <v>5039</v>
      </c>
      <c r="O63" s="971"/>
      <c r="P63" s="274" t="s">
        <v>301</v>
      </c>
      <c r="Q63" s="274" t="s">
        <v>301</v>
      </c>
      <c r="R63" s="274" t="s">
        <v>301</v>
      </c>
      <c r="S63" s="274" t="s">
        <v>301</v>
      </c>
      <c r="T63" s="835"/>
      <c r="U63" s="978"/>
      <c r="V63" s="274" t="s">
        <v>301</v>
      </c>
      <c r="W63" s="274" t="s">
        <v>301</v>
      </c>
      <c r="X63" s="274" t="s">
        <v>301</v>
      </c>
      <c r="Y63" s="274" t="s">
        <v>301</v>
      </c>
      <c r="Z63" s="274" t="s">
        <v>5040</v>
      </c>
    </row>
    <row r="64">
      <c r="B64" s="235">
        <v>2.0</v>
      </c>
      <c r="C64" s="956"/>
      <c r="D64" s="956"/>
      <c r="E64" s="972"/>
      <c r="F64" s="835"/>
      <c r="G64" s="972"/>
      <c r="H64" s="274"/>
      <c r="I64" s="274"/>
      <c r="J64" s="235">
        <v>2.0</v>
      </c>
      <c r="K64" s="835"/>
      <c r="L64" s="835"/>
      <c r="M64" s="235" t="s">
        <v>5041</v>
      </c>
      <c r="N64" s="835">
        <v>1.0</v>
      </c>
      <c r="O64" s="971"/>
      <c r="P64" s="274" t="s">
        <v>301</v>
      </c>
      <c r="Q64" s="274" t="s">
        <v>301</v>
      </c>
      <c r="R64" s="274" t="s">
        <v>301</v>
      </c>
      <c r="S64" s="274" t="s">
        <v>301</v>
      </c>
      <c r="T64" s="835"/>
      <c r="U64" s="978"/>
      <c r="V64" s="274" t="s">
        <v>301</v>
      </c>
      <c r="W64" s="780" t="s">
        <v>271</v>
      </c>
      <c r="X64" s="274" t="s">
        <v>301</v>
      </c>
      <c r="Y64" s="274" t="s">
        <v>301</v>
      </c>
      <c r="Z64" s="274"/>
    </row>
    <row r="65">
      <c r="B65" s="235">
        <v>3.0</v>
      </c>
      <c r="C65" s="956"/>
      <c r="D65" s="956"/>
      <c r="E65" s="972"/>
      <c r="F65" s="835"/>
      <c r="G65" s="972"/>
      <c r="H65" s="274"/>
      <c r="I65" s="274"/>
      <c r="J65" s="235">
        <v>3.0</v>
      </c>
      <c r="K65" s="835"/>
      <c r="L65" s="835" t="s">
        <v>5042</v>
      </c>
      <c r="M65" s="235" t="s">
        <v>5043</v>
      </c>
      <c r="N65" s="835" t="s">
        <v>5044</v>
      </c>
      <c r="O65" s="971"/>
      <c r="P65" s="274" t="s">
        <v>301</v>
      </c>
      <c r="Q65" s="274" t="s">
        <v>301</v>
      </c>
      <c r="R65" s="274" t="s">
        <v>301</v>
      </c>
      <c r="S65" s="274" t="s">
        <v>301</v>
      </c>
      <c r="T65" s="835"/>
      <c r="U65" s="978"/>
      <c r="V65" s="780" t="s">
        <v>271</v>
      </c>
      <c r="W65" s="274" t="s">
        <v>301</v>
      </c>
      <c r="X65" s="274" t="s">
        <v>301</v>
      </c>
      <c r="Y65" s="274" t="s">
        <v>301</v>
      </c>
      <c r="Z65" s="274" t="s">
        <v>5045</v>
      </c>
    </row>
    <row r="66">
      <c r="B66" s="235">
        <v>4.0</v>
      </c>
      <c r="C66" s="956"/>
      <c r="D66" s="956"/>
      <c r="E66" s="972"/>
      <c r="F66" s="835"/>
      <c r="G66" s="972"/>
      <c r="H66" s="274"/>
      <c r="I66" s="274"/>
      <c r="J66" s="235">
        <v>4.0</v>
      </c>
      <c r="K66" s="835"/>
      <c r="L66" s="835"/>
      <c r="M66" s="235" t="s">
        <v>5046</v>
      </c>
      <c r="N66" s="835">
        <v>2.0</v>
      </c>
      <c r="O66" s="971"/>
      <c r="P66" s="274" t="s">
        <v>301</v>
      </c>
      <c r="Q66" s="274" t="s">
        <v>301</v>
      </c>
      <c r="R66" s="274" t="s">
        <v>301</v>
      </c>
      <c r="S66" s="274" t="s">
        <v>301</v>
      </c>
      <c r="T66" s="835"/>
      <c r="U66" s="978"/>
      <c r="V66" s="274" t="s">
        <v>301</v>
      </c>
      <c r="W66" s="274" t="s">
        <v>301</v>
      </c>
      <c r="X66" s="274" t="s">
        <v>301</v>
      </c>
      <c r="Y66" s="274" t="s">
        <v>301</v>
      </c>
      <c r="Z66" s="274"/>
    </row>
    <row r="67">
      <c r="B67" s="235">
        <v>5.0</v>
      </c>
      <c r="C67" s="956"/>
      <c r="D67" s="956"/>
      <c r="E67" s="972"/>
      <c r="F67" s="835"/>
      <c r="G67" s="972"/>
      <c r="H67" s="274"/>
      <c r="I67" s="274"/>
      <c r="J67" s="235">
        <v>5.0</v>
      </c>
      <c r="K67" s="835"/>
      <c r="L67" s="835"/>
      <c r="M67" s="835" t="s">
        <v>5047</v>
      </c>
      <c r="N67" s="835">
        <v>2.0</v>
      </c>
      <c r="O67" s="971"/>
      <c r="P67" s="274" t="s">
        <v>301</v>
      </c>
      <c r="Q67" s="274" t="s">
        <v>301</v>
      </c>
      <c r="R67" s="274" t="s">
        <v>301</v>
      </c>
      <c r="S67" s="274" t="s">
        <v>301</v>
      </c>
      <c r="T67" s="835"/>
      <c r="U67" s="978"/>
      <c r="V67" s="274" t="s">
        <v>301</v>
      </c>
      <c r="W67" s="274" t="s">
        <v>301</v>
      </c>
      <c r="X67" s="274" t="s">
        <v>301</v>
      </c>
      <c r="Y67" s="274" t="s">
        <v>301</v>
      </c>
      <c r="Z67" s="274"/>
    </row>
    <row r="68">
      <c r="B68" s="235">
        <v>6.0</v>
      </c>
      <c r="C68" s="956"/>
      <c r="D68" s="956"/>
      <c r="E68" s="972"/>
      <c r="F68" s="835"/>
      <c r="G68" s="972"/>
      <c r="H68" s="274"/>
      <c r="I68" s="274"/>
      <c r="J68" s="235">
        <v>6.0</v>
      </c>
      <c r="K68" s="835"/>
      <c r="L68" s="835"/>
      <c r="M68" s="835" t="s">
        <v>5048</v>
      </c>
      <c r="N68" s="835">
        <v>2.0</v>
      </c>
      <c r="O68" s="971"/>
      <c r="P68" s="274" t="s">
        <v>301</v>
      </c>
      <c r="Q68" s="274" t="s">
        <v>301</v>
      </c>
      <c r="R68" s="274" t="s">
        <v>301</v>
      </c>
      <c r="S68" s="274" t="s">
        <v>301</v>
      </c>
      <c r="T68" s="835"/>
      <c r="U68" s="978"/>
      <c r="V68" s="780" t="s">
        <v>271</v>
      </c>
      <c r="W68" s="274" t="s">
        <v>301</v>
      </c>
      <c r="X68" s="274" t="s">
        <v>301</v>
      </c>
      <c r="Y68" s="274" t="s">
        <v>301</v>
      </c>
      <c r="Z68" s="274"/>
    </row>
    <row r="69">
      <c r="B69" s="235">
        <v>7.0</v>
      </c>
      <c r="C69" s="956"/>
      <c r="D69" s="956"/>
      <c r="E69" s="972"/>
      <c r="F69" s="835"/>
      <c r="G69" s="972"/>
      <c r="H69" s="274"/>
      <c r="I69" s="274"/>
      <c r="J69" s="235">
        <v>7.0</v>
      </c>
      <c r="K69" s="835"/>
      <c r="L69" s="835"/>
      <c r="M69" s="835" t="s">
        <v>5049</v>
      </c>
      <c r="N69" s="835">
        <v>3.0</v>
      </c>
      <c r="O69" s="971"/>
      <c r="P69" s="274" t="s">
        <v>301</v>
      </c>
      <c r="Q69" s="274" t="s">
        <v>301</v>
      </c>
      <c r="R69" s="274" t="s">
        <v>301</v>
      </c>
      <c r="S69" s="274" t="s">
        <v>301</v>
      </c>
      <c r="T69" s="835"/>
      <c r="U69" s="978"/>
      <c r="V69" s="274" t="s">
        <v>301</v>
      </c>
      <c r="W69" s="274" t="s">
        <v>301</v>
      </c>
      <c r="X69" s="274" t="s">
        <v>301</v>
      </c>
      <c r="Y69" s="274" t="s">
        <v>301</v>
      </c>
      <c r="Z69" s="274"/>
    </row>
    <row r="70">
      <c r="B70" s="235">
        <v>8.0</v>
      </c>
      <c r="C70" s="956"/>
      <c r="D70" s="956"/>
      <c r="E70" s="972"/>
      <c r="F70" s="835"/>
      <c r="G70" s="972"/>
      <c r="H70" s="274"/>
      <c r="I70" s="274"/>
      <c r="J70" s="235">
        <v>8.0</v>
      </c>
      <c r="K70" s="835"/>
      <c r="L70" s="835"/>
      <c r="M70" s="835" t="s">
        <v>5050</v>
      </c>
      <c r="N70" s="835">
        <v>1.0</v>
      </c>
      <c r="O70" s="971"/>
      <c r="P70" s="274" t="s">
        <v>301</v>
      </c>
      <c r="Q70" s="274" t="s">
        <v>301</v>
      </c>
      <c r="R70" s="274" t="s">
        <v>301</v>
      </c>
      <c r="S70" s="274" t="s">
        <v>301</v>
      </c>
      <c r="T70" s="835"/>
      <c r="U70" s="978"/>
      <c r="V70" s="274" t="s">
        <v>301</v>
      </c>
      <c r="W70" s="274" t="s">
        <v>301</v>
      </c>
      <c r="X70" s="274" t="s">
        <v>301</v>
      </c>
      <c r="Y70" s="274" t="s">
        <v>301</v>
      </c>
      <c r="Z70" s="274"/>
    </row>
    <row r="71">
      <c r="B71" s="235">
        <v>9.0</v>
      </c>
      <c r="C71" s="956"/>
      <c r="D71" s="956"/>
      <c r="E71" s="972"/>
      <c r="F71" s="835"/>
      <c r="G71" s="972"/>
      <c r="H71" s="274"/>
      <c r="I71" s="274"/>
      <c r="J71" s="235">
        <v>9.0</v>
      </c>
      <c r="K71" s="835"/>
      <c r="L71" s="835" t="s">
        <v>5051</v>
      </c>
      <c r="M71" s="835" t="s">
        <v>5052</v>
      </c>
      <c r="N71" s="835">
        <v>1.0</v>
      </c>
      <c r="O71" s="971"/>
      <c r="P71" s="274" t="s">
        <v>301</v>
      </c>
      <c r="Q71" s="274" t="s">
        <v>301</v>
      </c>
      <c r="R71" s="274" t="s">
        <v>301</v>
      </c>
      <c r="S71" s="274" t="s">
        <v>301</v>
      </c>
      <c r="T71" s="835"/>
      <c r="U71" s="978"/>
      <c r="V71" s="274" t="s">
        <v>301</v>
      </c>
      <c r="W71" s="780" t="s">
        <v>271</v>
      </c>
      <c r="X71" s="274" t="s">
        <v>301</v>
      </c>
      <c r="Y71" s="274" t="s">
        <v>301</v>
      </c>
      <c r="Z71" s="274"/>
    </row>
    <row r="72">
      <c r="B72" s="235">
        <v>10.0</v>
      </c>
      <c r="C72" s="956"/>
      <c r="D72" s="956"/>
      <c r="E72" s="972"/>
      <c r="F72" s="835"/>
      <c r="G72" s="972"/>
      <c r="H72" s="274"/>
      <c r="I72" s="274"/>
      <c r="J72" s="235">
        <v>10.0</v>
      </c>
      <c r="K72" s="835"/>
      <c r="L72" s="835" t="s">
        <v>5053</v>
      </c>
      <c r="M72" s="835" t="s">
        <v>5054</v>
      </c>
      <c r="N72" s="835">
        <v>1.0</v>
      </c>
      <c r="O72" s="971"/>
      <c r="P72" s="274" t="s">
        <v>301</v>
      </c>
      <c r="Q72" s="274" t="s">
        <v>301</v>
      </c>
      <c r="R72" s="274" t="s">
        <v>301</v>
      </c>
      <c r="S72" s="274" t="s">
        <v>301</v>
      </c>
      <c r="T72" s="835"/>
      <c r="U72" s="978"/>
      <c r="V72" s="780" t="s">
        <v>271</v>
      </c>
      <c r="W72" s="780" t="s">
        <v>271</v>
      </c>
      <c r="X72" s="274" t="s">
        <v>301</v>
      </c>
      <c r="Y72" s="274" t="s">
        <v>301</v>
      </c>
      <c r="Z72" s="274"/>
    </row>
    <row r="73">
      <c r="B73" s="235">
        <v>11.0</v>
      </c>
      <c r="C73" s="956"/>
      <c r="D73" s="956"/>
      <c r="E73" s="972"/>
      <c r="F73" s="835"/>
      <c r="G73" s="972"/>
      <c r="H73" s="274"/>
      <c r="I73" s="274"/>
      <c r="J73" s="235">
        <v>11.0</v>
      </c>
      <c r="K73" s="835"/>
      <c r="L73" s="835"/>
      <c r="M73" s="835" t="s">
        <v>5055</v>
      </c>
      <c r="N73" s="835">
        <v>2.0</v>
      </c>
      <c r="O73" s="971"/>
      <c r="P73" s="274" t="s">
        <v>301</v>
      </c>
      <c r="Q73" s="274" t="s">
        <v>301</v>
      </c>
      <c r="R73" s="274" t="s">
        <v>301</v>
      </c>
      <c r="S73" s="274" t="s">
        <v>301</v>
      </c>
      <c r="T73" s="835"/>
      <c r="U73" s="978"/>
      <c r="V73" s="274" t="s">
        <v>301</v>
      </c>
      <c r="W73" s="780" t="s">
        <v>271</v>
      </c>
      <c r="X73" s="274" t="s">
        <v>301</v>
      </c>
      <c r="Y73" s="274" t="s">
        <v>301</v>
      </c>
      <c r="Z73" s="274"/>
    </row>
    <row r="74">
      <c r="B74" s="235">
        <v>12.0</v>
      </c>
      <c r="C74" s="956"/>
      <c r="D74" s="956"/>
      <c r="E74" s="972"/>
      <c r="F74" s="835"/>
      <c r="G74" s="972"/>
      <c r="H74" s="274"/>
      <c r="I74" s="274"/>
      <c r="J74" s="235">
        <v>12.0</v>
      </c>
      <c r="K74" s="835"/>
      <c r="L74" s="835"/>
      <c r="M74" s="835" t="s">
        <v>5056</v>
      </c>
      <c r="N74" s="835">
        <v>1.0</v>
      </c>
      <c r="O74" s="971"/>
      <c r="P74" s="274" t="s">
        <v>301</v>
      </c>
      <c r="Q74" s="274" t="s">
        <v>301</v>
      </c>
      <c r="R74" s="274" t="s">
        <v>301</v>
      </c>
      <c r="S74" s="274" t="s">
        <v>301</v>
      </c>
      <c r="T74" s="835"/>
      <c r="U74" s="978"/>
      <c r="V74" s="780" t="s">
        <v>271</v>
      </c>
      <c r="W74" s="780" t="s">
        <v>271</v>
      </c>
      <c r="X74" s="274" t="s">
        <v>301</v>
      </c>
      <c r="Y74" s="274" t="s">
        <v>301</v>
      </c>
      <c r="Z74" s="274"/>
    </row>
    <row r="75">
      <c r="B75" s="235">
        <v>13.0</v>
      </c>
      <c r="C75" s="956"/>
      <c r="D75" s="956"/>
      <c r="E75" s="972"/>
      <c r="F75" s="835"/>
      <c r="G75" s="972"/>
      <c r="H75" s="274"/>
      <c r="I75" s="274"/>
      <c r="J75" s="235">
        <v>13.0</v>
      </c>
      <c r="K75" s="835"/>
      <c r="L75" s="835"/>
      <c r="M75" s="835" t="s">
        <v>5057</v>
      </c>
      <c r="N75" s="835">
        <v>3.0</v>
      </c>
      <c r="O75" s="971"/>
      <c r="P75" s="274" t="s">
        <v>301</v>
      </c>
      <c r="Q75" s="274" t="s">
        <v>301</v>
      </c>
      <c r="R75" s="274" t="s">
        <v>301</v>
      </c>
      <c r="S75" s="274" t="s">
        <v>301</v>
      </c>
      <c r="T75" s="835"/>
      <c r="U75" s="978"/>
      <c r="V75" s="780" t="s">
        <v>271</v>
      </c>
      <c r="W75" s="274" t="s">
        <v>301</v>
      </c>
      <c r="X75" s="274" t="s">
        <v>301</v>
      </c>
      <c r="Y75" s="274" t="s">
        <v>301</v>
      </c>
      <c r="Z75" s="274"/>
    </row>
    <row r="76">
      <c r="B76" s="235">
        <v>14.0</v>
      </c>
      <c r="C76" s="956"/>
      <c r="D76" s="956"/>
      <c r="E76" s="972"/>
      <c r="F76" s="835"/>
      <c r="G76" s="972"/>
      <c r="H76" s="274"/>
      <c r="I76" s="274"/>
      <c r="J76" s="235">
        <v>14.0</v>
      </c>
      <c r="K76" s="835"/>
      <c r="L76" s="835"/>
      <c r="M76" s="235" t="s">
        <v>5058</v>
      </c>
      <c r="N76" s="835">
        <v>10.0</v>
      </c>
      <c r="O76" s="971"/>
      <c r="P76" s="274" t="s">
        <v>301</v>
      </c>
      <c r="Q76" s="274" t="s">
        <v>301</v>
      </c>
      <c r="R76" s="274" t="s">
        <v>301</v>
      </c>
      <c r="S76" s="274" t="s">
        <v>301</v>
      </c>
      <c r="T76" s="835"/>
      <c r="U76" s="978"/>
      <c r="V76" s="780" t="s">
        <v>271</v>
      </c>
      <c r="W76" s="274" t="s">
        <v>301</v>
      </c>
      <c r="X76" s="274" t="s">
        <v>301</v>
      </c>
      <c r="Y76" s="274" t="s">
        <v>301</v>
      </c>
      <c r="Z76" s="274"/>
    </row>
    <row r="77">
      <c r="B77" s="235">
        <v>15.0</v>
      </c>
      <c r="C77" s="956" t="s">
        <v>5059</v>
      </c>
      <c r="D77" s="956" t="s">
        <v>301</v>
      </c>
      <c r="E77" s="972"/>
      <c r="F77" s="835"/>
      <c r="G77" s="972"/>
      <c r="H77" s="274" t="s">
        <v>5059</v>
      </c>
      <c r="I77" s="274" t="s">
        <v>301</v>
      </c>
      <c r="J77" s="235">
        <v>15.0</v>
      </c>
      <c r="K77" s="835" t="s">
        <v>5060</v>
      </c>
      <c r="L77" s="835" t="s">
        <v>5061</v>
      </c>
      <c r="M77" s="835" t="s">
        <v>5062</v>
      </c>
      <c r="N77" s="835">
        <v>50.0</v>
      </c>
      <c r="O77" s="971"/>
      <c r="P77" s="274" t="s">
        <v>301</v>
      </c>
      <c r="Q77" s="274" t="s">
        <v>301</v>
      </c>
      <c r="R77" s="274" t="s">
        <v>301</v>
      </c>
      <c r="S77" s="274" t="s">
        <v>301</v>
      </c>
      <c r="T77" s="835"/>
      <c r="U77" s="978"/>
      <c r="V77" s="274" t="s">
        <v>301</v>
      </c>
      <c r="W77" s="274" t="s">
        <v>301</v>
      </c>
      <c r="X77" s="780" t="s">
        <v>271</v>
      </c>
      <c r="Y77" s="780" t="s">
        <v>271</v>
      </c>
      <c r="Z77" s="274"/>
    </row>
    <row r="78">
      <c r="B78" s="235">
        <v>16.0</v>
      </c>
      <c r="C78" s="956"/>
      <c r="D78" s="956"/>
      <c r="E78" s="972"/>
      <c r="F78" s="835"/>
      <c r="G78" s="972"/>
      <c r="H78" s="274"/>
      <c r="I78" s="274"/>
      <c r="J78" s="235">
        <v>16.0</v>
      </c>
      <c r="K78" s="835"/>
      <c r="L78" s="835"/>
      <c r="M78" s="235" t="s">
        <v>5063</v>
      </c>
      <c r="N78" s="835">
        <v>80.0</v>
      </c>
      <c r="O78" s="971"/>
      <c r="P78" s="274" t="s">
        <v>301</v>
      </c>
      <c r="Q78" s="274" t="s">
        <v>301</v>
      </c>
      <c r="R78" s="274" t="s">
        <v>301</v>
      </c>
      <c r="S78" s="274" t="s">
        <v>301</v>
      </c>
      <c r="T78" s="835"/>
      <c r="U78" s="978"/>
      <c r="V78" s="274" t="s">
        <v>301</v>
      </c>
      <c r="W78" s="274" t="s">
        <v>301</v>
      </c>
      <c r="X78" s="274" t="s">
        <v>301</v>
      </c>
      <c r="Y78" s="274" t="s">
        <v>301</v>
      </c>
      <c r="Z78" s="274"/>
    </row>
    <row r="79">
      <c r="B79" s="235">
        <v>17.0</v>
      </c>
      <c r="C79" s="956"/>
      <c r="D79" s="956"/>
      <c r="E79" s="972"/>
      <c r="F79" s="835"/>
      <c r="G79" s="972"/>
      <c r="H79" s="274"/>
      <c r="I79" s="274"/>
      <c r="J79" s="235">
        <v>17.0</v>
      </c>
      <c r="K79" s="835"/>
      <c r="L79" s="835" t="s">
        <v>5064</v>
      </c>
      <c r="M79" s="835" t="s">
        <v>5065</v>
      </c>
      <c r="N79" s="835">
        <v>3.0</v>
      </c>
      <c r="O79" s="971"/>
      <c r="P79" s="835" t="s">
        <v>301</v>
      </c>
      <c r="Q79" s="274" t="s">
        <v>301</v>
      </c>
      <c r="R79" s="274" t="s">
        <v>301</v>
      </c>
      <c r="S79" s="274" t="s">
        <v>301</v>
      </c>
      <c r="T79" s="835"/>
      <c r="U79" s="978"/>
      <c r="V79" s="274" t="s">
        <v>301</v>
      </c>
      <c r="W79" s="274" t="s">
        <v>301</v>
      </c>
      <c r="X79" s="274" t="s">
        <v>301</v>
      </c>
      <c r="Y79" s="274" t="s">
        <v>301</v>
      </c>
      <c r="Z79" s="274"/>
    </row>
    <row r="80">
      <c r="B80" s="235">
        <v>18.0</v>
      </c>
      <c r="C80" s="956" t="s">
        <v>5066</v>
      </c>
      <c r="D80" s="956" t="s">
        <v>301</v>
      </c>
      <c r="E80" s="972"/>
      <c r="F80" s="835"/>
      <c r="G80" s="972"/>
      <c r="H80" s="274" t="s">
        <v>5067</v>
      </c>
      <c r="I80" s="274" t="s">
        <v>301</v>
      </c>
      <c r="J80" s="235">
        <v>18.0</v>
      </c>
      <c r="K80" s="835" t="s">
        <v>5068</v>
      </c>
      <c r="L80" s="835" t="s">
        <v>5069</v>
      </c>
      <c r="M80" s="235" t="s">
        <v>5070</v>
      </c>
      <c r="N80" s="835">
        <v>1.0</v>
      </c>
      <c r="O80" s="971"/>
      <c r="P80" s="835" t="s">
        <v>301</v>
      </c>
      <c r="Q80" s="274" t="s">
        <v>301</v>
      </c>
      <c r="R80" s="274" t="s">
        <v>301</v>
      </c>
      <c r="S80" s="274" t="s">
        <v>301</v>
      </c>
      <c r="T80" s="835"/>
      <c r="U80" s="978"/>
      <c r="V80" s="274" t="s">
        <v>301</v>
      </c>
      <c r="W80" s="274" t="s">
        <v>301</v>
      </c>
      <c r="X80" s="274" t="s">
        <v>301</v>
      </c>
      <c r="Y80" s="780" t="s">
        <v>271</v>
      </c>
      <c r="Z80" s="274"/>
    </row>
    <row r="81">
      <c r="B81" s="235">
        <v>19.0</v>
      </c>
      <c r="C81" s="956"/>
      <c r="D81" s="956"/>
      <c r="E81" s="972"/>
      <c r="F81" s="835"/>
      <c r="G81" s="972"/>
      <c r="H81" s="274"/>
      <c r="I81" s="274"/>
      <c r="J81" s="235">
        <v>19.0</v>
      </c>
      <c r="K81" s="835"/>
      <c r="L81" s="835"/>
      <c r="M81" s="835" t="s">
        <v>5071</v>
      </c>
      <c r="N81" s="835">
        <v>2.0</v>
      </c>
      <c r="O81" s="971"/>
      <c r="P81" s="835" t="s">
        <v>301</v>
      </c>
      <c r="Q81" s="274" t="s">
        <v>301</v>
      </c>
      <c r="R81" s="274" t="s">
        <v>301</v>
      </c>
      <c r="S81" s="274" t="s">
        <v>301</v>
      </c>
      <c r="T81" s="835"/>
      <c r="U81" s="978"/>
      <c r="V81" s="274" t="s">
        <v>301</v>
      </c>
      <c r="W81" s="274" t="s">
        <v>301</v>
      </c>
      <c r="X81" s="274" t="s">
        <v>301</v>
      </c>
      <c r="Y81" s="274" t="s">
        <v>301</v>
      </c>
      <c r="Z81" s="274"/>
    </row>
    <row r="82">
      <c r="B82" s="235">
        <v>20.0</v>
      </c>
      <c r="C82" s="274"/>
      <c r="D82" s="956"/>
      <c r="E82" s="972"/>
      <c r="F82" s="835"/>
      <c r="G82" s="972"/>
      <c r="H82" s="274"/>
      <c r="I82" s="274"/>
      <c r="J82" s="235">
        <v>20.0</v>
      </c>
      <c r="K82" s="835"/>
      <c r="L82" s="835"/>
      <c r="M82" s="835" t="s">
        <v>5072</v>
      </c>
      <c r="N82" s="835">
        <v>70.0</v>
      </c>
      <c r="O82" s="971"/>
      <c r="P82" s="835" t="s">
        <v>301</v>
      </c>
      <c r="Q82" s="274" t="s">
        <v>301</v>
      </c>
      <c r="R82" s="274" t="s">
        <v>301</v>
      </c>
      <c r="S82" s="274" t="s">
        <v>301</v>
      </c>
      <c r="T82" s="835"/>
      <c r="U82" s="978"/>
      <c r="V82" s="274" t="s">
        <v>301</v>
      </c>
      <c r="W82" s="274" t="s">
        <v>301</v>
      </c>
      <c r="X82" s="274" t="s">
        <v>301</v>
      </c>
      <c r="Y82" s="274" t="s">
        <v>301</v>
      </c>
      <c r="Z82" s="274"/>
    </row>
    <row r="83">
      <c r="B83" s="235">
        <v>21.0</v>
      </c>
      <c r="C83" s="956"/>
      <c r="D83" s="956"/>
      <c r="E83" s="972"/>
      <c r="F83" s="835"/>
      <c r="G83" s="972"/>
      <c r="H83" s="274"/>
      <c r="I83" s="274"/>
      <c r="J83" s="235">
        <v>21.0</v>
      </c>
      <c r="K83" s="835"/>
      <c r="L83" s="835" t="s">
        <v>5073</v>
      </c>
      <c r="M83" s="835" t="s">
        <v>5074</v>
      </c>
      <c r="N83" s="835">
        <v>12.0</v>
      </c>
      <c r="O83" s="971"/>
      <c r="P83" s="835" t="s">
        <v>301</v>
      </c>
      <c r="Q83" s="274" t="s">
        <v>301</v>
      </c>
      <c r="R83" s="274" t="s">
        <v>301</v>
      </c>
      <c r="S83" s="274" t="s">
        <v>301</v>
      </c>
      <c r="T83" s="835"/>
      <c r="U83" s="978"/>
      <c r="V83" s="780" t="s">
        <v>271</v>
      </c>
      <c r="W83" s="274" t="s">
        <v>301</v>
      </c>
      <c r="X83" s="274" t="s">
        <v>301</v>
      </c>
      <c r="Y83" s="274" t="s">
        <v>301</v>
      </c>
      <c r="Z83" s="274"/>
    </row>
    <row r="84">
      <c r="B84" s="235">
        <v>22.0</v>
      </c>
      <c r="C84" s="956"/>
      <c r="D84" s="956"/>
      <c r="E84" s="972"/>
      <c r="F84" s="835"/>
      <c r="G84" s="972"/>
      <c r="H84" s="274"/>
      <c r="I84" s="274"/>
      <c r="J84" s="235">
        <v>22.0</v>
      </c>
      <c r="K84" s="835"/>
      <c r="L84" s="835"/>
      <c r="M84" s="835" t="s">
        <v>5075</v>
      </c>
      <c r="N84" s="835">
        <v>3.0</v>
      </c>
      <c r="O84" s="971"/>
      <c r="P84" s="835" t="s">
        <v>301</v>
      </c>
      <c r="Q84" s="274" t="s">
        <v>301</v>
      </c>
      <c r="R84" s="274" t="s">
        <v>301</v>
      </c>
      <c r="S84" s="274" t="s">
        <v>301</v>
      </c>
      <c r="T84" s="835"/>
      <c r="U84" s="978"/>
      <c r="V84" s="274" t="s">
        <v>301</v>
      </c>
      <c r="W84" s="274" t="s">
        <v>301</v>
      </c>
      <c r="X84" s="274" t="s">
        <v>301</v>
      </c>
      <c r="Y84" s="274" t="s">
        <v>301</v>
      </c>
      <c r="Z84" s="274"/>
    </row>
    <row r="85">
      <c r="B85" s="235">
        <v>23.0</v>
      </c>
      <c r="C85" s="956" t="s">
        <v>5076</v>
      </c>
      <c r="D85" s="956" t="s">
        <v>301</v>
      </c>
      <c r="E85" s="972"/>
      <c r="F85" s="835"/>
      <c r="G85" s="972"/>
      <c r="H85" s="274" t="s">
        <v>5077</v>
      </c>
      <c r="I85" s="274" t="s">
        <v>301</v>
      </c>
      <c r="J85" s="235">
        <v>23.0</v>
      </c>
      <c r="K85" s="835" t="s">
        <v>5078</v>
      </c>
      <c r="L85" s="835" t="s">
        <v>5079</v>
      </c>
      <c r="M85" s="835" t="s">
        <v>5080</v>
      </c>
      <c r="N85" s="835">
        <v>1.0</v>
      </c>
      <c r="O85" s="971"/>
      <c r="P85" s="835" t="s">
        <v>301</v>
      </c>
      <c r="Q85" s="274" t="s">
        <v>301</v>
      </c>
      <c r="R85" s="274" t="s">
        <v>301</v>
      </c>
      <c r="S85" s="274" t="s">
        <v>301</v>
      </c>
      <c r="T85" s="835"/>
      <c r="U85" s="978"/>
      <c r="V85" s="780" t="s">
        <v>271</v>
      </c>
      <c r="W85" s="274" t="s">
        <v>301</v>
      </c>
      <c r="X85" s="274" t="s">
        <v>301</v>
      </c>
      <c r="Y85" s="274" t="s">
        <v>301</v>
      </c>
      <c r="Z85" s="274"/>
    </row>
    <row r="86">
      <c r="B86" s="235">
        <v>24.0</v>
      </c>
      <c r="C86" s="956"/>
      <c r="D86" s="956"/>
      <c r="E86" s="972"/>
      <c r="F86" s="835"/>
      <c r="G86" s="972"/>
      <c r="H86" s="274"/>
      <c r="I86" s="274"/>
      <c r="J86" s="235">
        <v>24.0</v>
      </c>
      <c r="K86" s="835"/>
      <c r="L86" s="835"/>
      <c r="M86" s="835" t="s">
        <v>5081</v>
      </c>
      <c r="N86" s="835">
        <v>4.0</v>
      </c>
      <c r="O86" s="971"/>
      <c r="P86" s="835" t="s">
        <v>301</v>
      </c>
      <c r="Q86" s="274" t="s">
        <v>301</v>
      </c>
      <c r="R86" s="274" t="s">
        <v>301</v>
      </c>
      <c r="S86" s="274" t="s">
        <v>301</v>
      </c>
      <c r="T86" s="835"/>
      <c r="U86" s="978"/>
      <c r="V86" s="274" t="s">
        <v>301</v>
      </c>
      <c r="W86" s="780" t="s">
        <v>271</v>
      </c>
      <c r="X86" s="274" t="s">
        <v>301</v>
      </c>
      <c r="Y86" s="274" t="s">
        <v>301</v>
      </c>
      <c r="Z86" s="274"/>
    </row>
    <row r="87">
      <c r="B87" s="235">
        <v>25.0</v>
      </c>
      <c r="C87" s="956"/>
      <c r="D87" s="956"/>
      <c r="E87" s="972"/>
      <c r="F87" s="835"/>
      <c r="G87" s="972"/>
      <c r="H87" s="274"/>
      <c r="I87" s="274"/>
      <c r="J87" s="235">
        <v>25.0</v>
      </c>
      <c r="K87" s="835"/>
      <c r="L87" s="835"/>
      <c r="M87" s="835" t="s">
        <v>5082</v>
      </c>
      <c r="N87" s="835">
        <v>5.0</v>
      </c>
      <c r="O87" s="971"/>
      <c r="P87" s="835" t="s">
        <v>301</v>
      </c>
      <c r="Q87" s="274" t="s">
        <v>301</v>
      </c>
      <c r="R87" s="274" t="s">
        <v>301</v>
      </c>
      <c r="S87" s="274" t="s">
        <v>301</v>
      </c>
      <c r="T87" s="835"/>
      <c r="U87" s="978"/>
      <c r="V87" s="274" t="s">
        <v>301</v>
      </c>
      <c r="W87" s="274" t="s">
        <v>301</v>
      </c>
      <c r="X87" s="274" t="s">
        <v>301</v>
      </c>
      <c r="Y87" s="274" t="s">
        <v>301</v>
      </c>
      <c r="Z87" s="274"/>
    </row>
    <row r="88">
      <c r="B88" s="235">
        <v>26.0</v>
      </c>
      <c r="C88" s="956" t="s">
        <v>5083</v>
      </c>
      <c r="D88" s="956" t="s">
        <v>301</v>
      </c>
      <c r="E88" s="972"/>
      <c r="F88" s="835"/>
      <c r="G88" s="972"/>
      <c r="H88" s="274" t="s">
        <v>5084</v>
      </c>
      <c r="I88" s="274" t="s">
        <v>301</v>
      </c>
      <c r="J88" s="235">
        <v>26.0</v>
      </c>
      <c r="K88" s="835" t="s">
        <v>5085</v>
      </c>
      <c r="L88" s="835" t="s">
        <v>5086</v>
      </c>
      <c r="M88" s="235" t="s">
        <v>5087</v>
      </c>
      <c r="N88" s="835" t="s">
        <v>5088</v>
      </c>
      <c r="O88" s="979"/>
      <c r="P88" s="835"/>
      <c r="Q88" s="274"/>
      <c r="R88" s="274"/>
      <c r="S88" s="274"/>
      <c r="T88" s="835"/>
      <c r="U88" s="978"/>
      <c r="V88" s="274" t="s">
        <v>301</v>
      </c>
      <c r="W88" s="274" t="s">
        <v>301</v>
      </c>
      <c r="X88" s="274" t="s">
        <v>301</v>
      </c>
      <c r="Y88" s="274" t="s">
        <v>301</v>
      </c>
      <c r="Z88" s="274" t="s">
        <v>5045</v>
      </c>
    </row>
    <row r="89">
      <c r="B89" s="235">
        <v>27.0</v>
      </c>
      <c r="C89" s="956"/>
      <c r="D89" s="956"/>
      <c r="E89" s="972"/>
      <c r="F89" s="835"/>
      <c r="G89" s="972"/>
      <c r="H89" s="274"/>
      <c r="I89" s="274"/>
      <c r="J89" s="235">
        <v>27.0</v>
      </c>
      <c r="K89" s="835"/>
      <c r="L89" s="835" t="s">
        <v>5089</v>
      </c>
      <c r="M89" s="235" t="s">
        <v>5090</v>
      </c>
      <c r="N89" s="835">
        <v>100.0</v>
      </c>
      <c r="O89" s="971"/>
      <c r="P89" s="835"/>
      <c r="Q89" s="274"/>
      <c r="R89" s="274"/>
      <c r="S89" s="274"/>
      <c r="T89" s="835"/>
      <c r="U89" s="978"/>
      <c r="V89" s="274" t="s">
        <v>301</v>
      </c>
      <c r="W89" s="274" t="s">
        <v>301</v>
      </c>
      <c r="X89" s="274" t="s">
        <v>301</v>
      </c>
      <c r="Y89" s="274" t="s">
        <v>301</v>
      </c>
      <c r="Z89" s="274" t="s">
        <v>5040</v>
      </c>
    </row>
    <row r="90">
      <c r="B90" s="235">
        <v>28.0</v>
      </c>
      <c r="C90" s="274"/>
      <c r="D90" s="274"/>
      <c r="E90" s="974"/>
      <c r="F90" s="974"/>
      <c r="G90" s="974"/>
      <c r="H90" s="274"/>
      <c r="I90" s="274"/>
      <c r="J90" s="235">
        <v>28.0</v>
      </c>
      <c r="K90" s="974"/>
      <c r="L90" s="974"/>
      <c r="M90" s="974" t="s">
        <v>5091</v>
      </c>
      <c r="N90" s="974">
        <v>100.0</v>
      </c>
      <c r="O90" s="976"/>
      <c r="P90" s="974" t="s">
        <v>301</v>
      </c>
      <c r="Q90" s="274" t="s">
        <v>301</v>
      </c>
      <c r="R90" s="274" t="s">
        <v>301</v>
      </c>
      <c r="S90" s="274" t="s">
        <v>301</v>
      </c>
      <c r="T90" s="835"/>
      <c r="U90" s="971"/>
      <c r="V90" s="274" t="s">
        <v>301</v>
      </c>
      <c r="W90" s="274" t="s">
        <v>301</v>
      </c>
      <c r="X90" s="274" t="s">
        <v>301</v>
      </c>
      <c r="Y90" s="274" t="s">
        <v>301</v>
      </c>
      <c r="Z90" s="274"/>
    </row>
    <row r="91">
      <c r="B91" s="235">
        <v>29.0</v>
      </c>
      <c r="C91" s="274"/>
      <c r="D91" s="956"/>
      <c r="E91" s="972"/>
      <c r="F91" s="235"/>
      <c r="G91" s="972"/>
      <c r="H91" s="274"/>
      <c r="I91" s="274"/>
      <c r="J91" s="235">
        <v>29.0</v>
      </c>
      <c r="K91" s="235"/>
      <c r="L91" s="980"/>
      <c r="M91" s="981" t="s">
        <v>5092</v>
      </c>
      <c r="N91" s="235">
        <v>100.0</v>
      </c>
      <c r="O91" s="982"/>
      <c r="P91" s="235" t="s">
        <v>301</v>
      </c>
      <c r="Q91" s="274" t="s">
        <v>301</v>
      </c>
      <c r="R91" s="274" t="s">
        <v>301</v>
      </c>
      <c r="S91" s="274" t="s">
        <v>301</v>
      </c>
      <c r="T91" s="835"/>
      <c r="U91" s="978"/>
      <c r="V91" s="274" t="s">
        <v>301</v>
      </c>
      <c r="W91" s="274" t="s">
        <v>301</v>
      </c>
      <c r="X91" s="274" t="s">
        <v>301</v>
      </c>
      <c r="Y91" s="274" t="s">
        <v>301</v>
      </c>
      <c r="Z91" s="274"/>
    </row>
    <row r="92">
      <c r="B92" s="235">
        <v>30.0</v>
      </c>
      <c r="C92" s="956" t="s">
        <v>5093</v>
      </c>
      <c r="D92" s="956" t="s">
        <v>301</v>
      </c>
      <c r="E92" s="969"/>
      <c r="F92" s="983"/>
      <c r="G92" s="969"/>
      <c r="H92" s="274" t="s">
        <v>5094</v>
      </c>
      <c r="I92" s="274" t="s">
        <v>301</v>
      </c>
      <c r="J92" s="235">
        <v>30.0</v>
      </c>
      <c r="K92" s="835" t="s">
        <v>5095</v>
      </c>
      <c r="L92" s="835" t="s">
        <v>5096</v>
      </c>
      <c r="M92" s="235" t="s">
        <v>5097</v>
      </c>
      <c r="N92" s="235">
        <v>3.0</v>
      </c>
      <c r="O92" s="978"/>
      <c r="P92" s="235" t="s">
        <v>301</v>
      </c>
      <c r="Q92" s="274" t="s">
        <v>301</v>
      </c>
      <c r="R92" s="274" t="s">
        <v>301</v>
      </c>
      <c r="S92" s="274" t="s">
        <v>301</v>
      </c>
      <c r="T92" s="835"/>
      <c r="U92" s="971"/>
      <c r="V92" s="274" t="s">
        <v>301</v>
      </c>
      <c r="W92" s="274" t="s">
        <v>301</v>
      </c>
      <c r="X92" s="274" t="s">
        <v>301</v>
      </c>
      <c r="Y92" s="274" t="s">
        <v>301</v>
      </c>
      <c r="Z92" s="274"/>
    </row>
    <row r="93">
      <c r="B93" s="235">
        <v>31.0</v>
      </c>
      <c r="C93" s="956"/>
      <c r="D93" s="956"/>
      <c r="E93" s="969"/>
      <c r="F93" s="969"/>
      <c r="G93" s="969"/>
      <c r="H93" s="274"/>
      <c r="I93" s="274"/>
      <c r="J93" s="235">
        <v>31.0</v>
      </c>
      <c r="K93" s="835"/>
      <c r="L93" s="235"/>
      <c r="M93" s="981" t="s">
        <v>5098</v>
      </c>
      <c r="N93" s="235">
        <v>26.0</v>
      </c>
      <c r="O93" s="978"/>
      <c r="P93" s="235" t="s">
        <v>301</v>
      </c>
      <c r="Q93" s="274" t="s">
        <v>301</v>
      </c>
      <c r="R93" s="274" t="s">
        <v>301</v>
      </c>
      <c r="S93" s="274" t="s">
        <v>301</v>
      </c>
      <c r="T93" s="835"/>
      <c r="U93" s="971"/>
      <c r="V93" s="274" t="s">
        <v>301</v>
      </c>
      <c r="W93" s="274" t="s">
        <v>301</v>
      </c>
      <c r="X93" s="274" t="s">
        <v>301</v>
      </c>
      <c r="Y93" s="274" t="s">
        <v>301</v>
      </c>
      <c r="Z93" s="274"/>
    </row>
    <row r="94">
      <c r="B94" s="235">
        <v>32.0</v>
      </c>
      <c r="C94" s="956"/>
      <c r="D94" s="956"/>
      <c r="E94" s="969"/>
      <c r="F94" s="969"/>
      <c r="G94" s="969"/>
      <c r="H94" s="274"/>
      <c r="I94" s="274"/>
      <c r="J94" s="235">
        <v>32.0</v>
      </c>
      <c r="K94" s="835"/>
      <c r="L94" s="835"/>
      <c r="M94" s="984" t="s">
        <v>5099</v>
      </c>
      <c r="N94" s="235">
        <v>514.0</v>
      </c>
      <c r="O94" s="978"/>
      <c r="P94" s="235" t="s">
        <v>301</v>
      </c>
      <c r="Q94" s="274" t="s">
        <v>301</v>
      </c>
      <c r="R94" s="274" t="s">
        <v>301</v>
      </c>
      <c r="S94" s="274" t="s">
        <v>301</v>
      </c>
      <c r="T94" s="835"/>
      <c r="U94" s="971"/>
      <c r="V94" s="274" t="s">
        <v>301</v>
      </c>
      <c r="W94" s="274" t="s">
        <v>301</v>
      </c>
      <c r="X94" s="274" t="s">
        <v>301</v>
      </c>
      <c r="Y94" s="274" t="s">
        <v>301</v>
      </c>
      <c r="Z94" s="274"/>
    </row>
    <row r="95">
      <c r="B95" s="235">
        <v>33.0</v>
      </c>
      <c r="C95" s="956"/>
      <c r="D95" s="956"/>
      <c r="E95" s="969"/>
      <c r="F95" s="969"/>
      <c r="G95" s="969"/>
      <c r="H95" s="274"/>
      <c r="I95" s="274"/>
      <c r="J95" s="235">
        <v>33.0</v>
      </c>
      <c r="K95" s="835"/>
      <c r="L95" s="235"/>
      <c r="M95" s="235" t="s">
        <v>5100</v>
      </c>
      <c r="N95" s="235">
        <v>1.0</v>
      </c>
      <c r="O95" s="978"/>
      <c r="P95" s="235" t="s">
        <v>301</v>
      </c>
      <c r="Q95" s="274" t="s">
        <v>301</v>
      </c>
      <c r="R95" s="274" t="s">
        <v>301</v>
      </c>
      <c r="S95" s="274" t="s">
        <v>301</v>
      </c>
      <c r="T95" s="835"/>
      <c r="U95" s="971"/>
      <c r="V95" s="274" t="s">
        <v>301</v>
      </c>
      <c r="W95" s="274" t="s">
        <v>301</v>
      </c>
      <c r="X95" s="274" t="s">
        <v>301</v>
      </c>
      <c r="Y95" s="274" t="s">
        <v>301</v>
      </c>
      <c r="Z95" s="274"/>
    </row>
    <row r="96">
      <c r="B96" s="235">
        <v>34.0</v>
      </c>
      <c r="C96" s="956" t="s">
        <v>5101</v>
      </c>
      <c r="D96" s="956" t="s">
        <v>301</v>
      </c>
      <c r="E96" s="969"/>
      <c r="F96" s="969"/>
      <c r="G96" s="969"/>
      <c r="H96" s="274" t="s">
        <v>5102</v>
      </c>
      <c r="I96" s="274" t="s">
        <v>301</v>
      </c>
      <c r="J96" s="235">
        <v>34.0</v>
      </c>
      <c r="K96" s="835" t="s">
        <v>5103</v>
      </c>
      <c r="L96" s="835" t="s">
        <v>5104</v>
      </c>
      <c r="M96" s="235" t="s">
        <v>5105</v>
      </c>
      <c r="N96" s="235" t="s">
        <v>5106</v>
      </c>
      <c r="O96" s="978"/>
      <c r="P96" s="235" t="s">
        <v>301</v>
      </c>
      <c r="Q96" s="274" t="s">
        <v>301</v>
      </c>
      <c r="R96" s="274" t="s">
        <v>301</v>
      </c>
      <c r="S96" s="274" t="s">
        <v>301</v>
      </c>
      <c r="T96" s="835"/>
      <c r="U96" s="971"/>
      <c r="V96" s="274" t="s">
        <v>301</v>
      </c>
      <c r="W96" s="274" t="s">
        <v>301</v>
      </c>
      <c r="X96" s="274" t="s">
        <v>301</v>
      </c>
      <c r="Y96" s="274" t="s">
        <v>301</v>
      </c>
      <c r="Z96" s="274" t="s">
        <v>5107</v>
      </c>
    </row>
    <row r="97">
      <c r="B97" s="235">
        <v>35.0</v>
      </c>
      <c r="C97" s="956"/>
      <c r="D97" s="956"/>
      <c r="E97" s="969"/>
      <c r="F97" s="969"/>
      <c r="G97" s="969"/>
      <c r="H97" s="274"/>
      <c r="I97" s="274"/>
      <c r="J97" s="235">
        <v>35.0</v>
      </c>
      <c r="K97" s="835"/>
      <c r="L97" s="235"/>
      <c r="M97" s="235" t="s">
        <v>5108</v>
      </c>
      <c r="N97" s="235" t="s">
        <v>1507</v>
      </c>
      <c r="O97" s="978"/>
      <c r="P97" s="235" t="s">
        <v>301</v>
      </c>
      <c r="Q97" s="274" t="s">
        <v>301</v>
      </c>
      <c r="R97" s="274" t="s">
        <v>301</v>
      </c>
      <c r="S97" s="274" t="s">
        <v>301</v>
      </c>
      <c r="T97" s="835"/>
      <c r="U97" s="971"/>
      <c r="V97" s="274" t="s">
        <v>301</v>
      </c>
      <c r="W97" s="780" t="s">
        <v>271</v>
      </c>
      <c r="X97" s="274" t="s">
        <v>301</v>
      </c>
      <c r="Y97" s="780" t="s">
        <v>271</v>
      </c>
      <c r="Z97" s="274" t="s">
        <v>5107</v>
      </c>
    </row>
    <row r="98">
      <c r="B98" s="235">
        <v>36.0</v>
      </c>
      <c r="C98" s="956"/>
      <c r="D98" s="956"/>
      <c r="E98" s="969"/>
      <c r="F98" s="969"/>
      <c r="G98" s="969"/>
      <c r="H98" s="274"/>
      <c r="I98" s="274"/>
      <c r="J98" s="235">
        <v>36.0</v>
      </c>
      <c r="K98" s="835"/>
      <c r="L98" s="835"/>
      <c r="M98" s="981" t="s">
        <v>5109</v>
      </c>
      <c r="N98" s="235" t="s">
        <v>1507</v>
      </c>
      <c r="O98" s="978"/>
      <c r="P98" s="235" t="s">
        <v>301</v>
      </c>
      <c r="Q98" s="274" t="s">
        <v>301</v>
      </c>
      <c r="R98" s="274" t="s">
        <v>301</v>
      </c>
      <c r="S98" s="274" t="s">
        <v>301</v>
      </c>
      <c r="T98" s="835"/>
      <c r="U98" s="978"/>
      <c r="V98" s="274" t="s">
        <v>301</v>
      </c>
      <c r="W98" s="274" t="s">
        <v>301</v>
      </c>
      <c r="X98" s="274" t="s">
        <v>301</v>
      </c>
      <c r="Y98" s="274" t="s">
        <v>301</v>
      </c>
      <c r="Z98" s="274" t="s">
        <v>5107</v>
      </c>
    </row>
    <row r="99">
      <c r="B99" s="235">
        <v>37.0</v>
      </c>
      <c r="C99" s="956"/>
      <c r="D99" s="956"/>
      <c r="E99" s="969"/>
      <c r="F99" s="969"/>
      <c r="G99" s="969"/>
      <c r="H99" s="274"/>
      <c r="I99" s="274"/>
      <c r="J99" s="235">
        <v>37.0</v>
      </c>
      <c r="K99" s="835"/>
      <c r="L99" s="835"/>
      <c r="M99" s="235" t="s">
        <v>5110</v>
      </c>
      <c r="N99" s="235" t="s">
        <v>1507</v>
      </c>
      <c r="O99" s="978"/>
      <c r="P99" s="235" t="s">
        <v>301</v>
      </c>
      <c r="Q99" s="274" t="s">
        <v>301</v>
      </c>
      <c r="R99" s="274" t="s">
        <v>301</v>
      </c>
      <c r="S99" s="274" t="s">
        <v>301</v>
      </c>
      <c r="T99" s="835"/>
      <c r="U99" s="978"/>
      <c r="V99" s="274" t="s">
        <v>301</v>
      </c>
      <c r="W99" s="274" t="s">
        <v>301</v>
      </c>
      <c r="X99" s="274" t="s">
        <v>301</v>
      </c>
      <c r="Y99" s="274" t="s">
        <v>301</v>
      </c>
      <c r="Z99" s="274" t="s">
        <v>5107</v>
      </c>
    </row>
    <row r="100">
      <c r="B100" s="235">
        <v>38.0</v>
      </c>
      <c r="C100" s="956"/>
      <c r="D100" s="956"/>
      <c r="E100" s="969"/>
      <c r="F100" s="969"/>
      <c r="G100" s="969"/>
      <c r="H100" s="274"/>
      <c r="I100" s="274"/>
      <c r="J100" s="235">
        <v>38.0</v>
      </c>
      <c r="K100" s="835"/>
      <c r="L100" s="235"/>
      <c r="M100" s="235" t="s">
        <v>5109</v>
      </c>
      <c r="N100" s="235" t="s">
        <v>1507</v>
      </c>
      <c r="O100" s="978"/>
      <c r="P100" s="235" t="s">
        <v>301</v>
      </c>
      <c r="Q100" s="274" t="s">
        <v>301</v>
      </c>
      <c r="R100" s="274" t="s">
        <v>301</v>
      </c>
      <c r="S100" s="274" t="s">
        <v>301</v>
      </c>
      <c r="T100" s="835"/>
      <c r="U100" s="978"/>
      <c r="V100" s="274" t="s">
        <v>301</v>
      </c>
      <c r="W100" s="274" t="s">
        <v>301</v>
      </c>
      <c r="X100" s="274" t="s">
        <v>301</v>
      </c>
      <c r="Y100" s="274" t="s">
        <v>301</v>
      </c>
      <c r="Z100" s="274" t="s">
        <v>5107</v>
      </c>
    </row>
    <row r="101">
      <c r="B101" s="235">
        <v>39.0</v>
      </c>
      <c r="C101" s="956"/>
      <c r="D101" s="956"/>
      <c r="E101" s="969"/>
      <c r="F101" s="969"/>
      <c r="G101" s="969"/>
      <c r="H101" s="274"/>
      <c r="I101" s="274"/>
      <c r="J101" s="235">
        <v>39.0</v>
      </c>
      <c r="K101" s="835"/>
      <c r="L101" s="835"/>
      <c r="M101" s="235" t="s">
        <v>5111</v>
      </c>
      <c r="N101" s="235" t="s">
        <v>5112</v>
      </c>
      <c r="O101" s="978"/>
      <c r="P101" s="235" t="s">
        <v>301</v>
      </c>
      <c r="Q101" s="274" t="s">
        <v>301</v>
      </c>
      <c r="R101" s="274" t="s">
        <v>301</v>
      </c>
      <c r="S101" s="274" t="s">
        <v>301</v>
      </c>
      <c r="T101" s="835"/>
      <c r="U101" s="971"/>
      <c r="V101" s="274" t="s">
        <v>301</v>
      </c>
      <c r="W101" s="274" t="s">
        <v>301</v>
      </c>
      <c r="X101" s="274" t="s">
        <v>301</v>
      </c>
      <c r="Y101" s="274" t="s">
        <v>301</v>
      </c>
      <c r="Z101" s="274" t="s">
        <v>5107</v>
      </c>
    </row>
    <row r="102">
      <c r="B102" s="235">
        <v>40.0</v>
      </c>
      <c r="C102" s="956"/>
      <c r="D102" s="956"/>
      <c r="E102" s="969"/>
      <c r="F102" s="969"/>
      <c r="G102" s="969"/>
      <c r="H102" s="274"/>
      <c r="I102" s="274"/>
      <c r="J102" s="235">
        <v>40.0</v>
      </c>
      <c r="K102" s="835"/>
      <c r="L102" s="835"/>
      <c r="M102" s="235" t="s">
        <v>5111</v>
      </c>
      <c r="N102" s="235" t="s">
        <v>5113</v>
      </c>
      <c r="O102" s="978"/>
      <c r="P102" s="235" t="s">
        <v>301</v>
      </c>
      <c r="Q102" s="274" t="s">
        <v>301</v>
      </c>
      <c r="R102" s="274" t="s">
        <v>301</v>
      </c>
      <c r="S102" s="274" t="s">
        <v>301</v>
      </c>
      <c r="T102" s="835"/>
      <c r="U102" s="971"/>
      <c r="V102" s="274" t="s">
        <v>301</v>
      </c>
      <c r="W102" s="274" t="s">
        <v>301</v>
      </c>
      <c r="X102" s="274" t="s">
        <v>301</v>
      </c>
      <c r="Y102" s="274" t="s">
        <v>301</v>
      </c>
      <c r="Z102" s="274" t="s">
        <v>5107</v>
      </c>
    </row>
    <row r="103">
      <c r="B103" s="235">
        <v>41.0</v>
      </c>
      <c r="C103" s="956"/>
      <c r="D103" s="956"/>
      <c r="E103" s="969"/>
      <c r="F103" s="969"/>
      <c r="G103" s="969"/>
      <c r="H103" s="274"/>
      <c r="I103" s="274"/>
      <c r="J103" s="235">
        <v>41.0</v>
      </c>
      <c r="K103" s="835"/>
      <c r="L103" s="835"/>
      <c r="M103" s="235" t="s">
        <v>5114</v>
      </c>
      <c r="N103" s="235" t="s">
        <v>1507</v>
      </c>
      <c r="O103" s="978"/>
      <c r="P103" s="235" t="s">
        <v>301</v>
      </c>
      <c r="Q103" s="274" t="s">
        <v>301</v>
      </c>
      <c r="R103" s="274" t="s">
        <v>301</v>
      </c>
      <c r="S103" s="274" t="s">
        <v>301</v>
      </c>
      <c r="T103" s="835"/>
      <c r="U103" s="971"/>
      <c r="V103" s="274" t="s">
        <v>301</v>
      </c>
      <c r="W103" s="274" t="s">
        <v>301</v>
      </c>
      <c r="X103" s="274" t="s">
        <v>301</v>
      </c>
      <c r="Y103" s="274" t="s">
        <v>301</v>
      </c>
      <c r="Z103" s="274" t="s">
        <v>5107</v>
      </c>
    </row>
    <row r="104">
      <c r="B104" s="235">
        <v>42.0</v>
      </c>
      <c r="C104" s="956"/>
      <c r="D104" s="956"/>
      <c r="E104" s="969"/>
      <c r="F104" s="969"/>
      <c r="G104" s="969"/>
      <c r="H104" s="274"/>
      <c r="I104" s="274"/>
      <c r="J104" s="235">
        <v>42.0</v>
      </c>
      <c r="K104" s="835"/>
      <c r="L104" s="835"/>
      <c r="M104" s="235" t="s">
        <v>5115</v>
      </c>
      <c r="N104" s="235" t="s">
        <v>5116</v>
      </c>
      <c r="O104" s="978"/>
      <c r="P104" s="235" t="s">
        <v>301</v>
      </c>
      <c r="Q104" s="274" t="s">
        <v>301</v>
      </c>
      <c r="R104" s="274" t="s">
        <v>301</v>
      </c>
      <c r="S104" s="274" t="s">
        <v>301</v>
      </c>
      <c r="T104" s="835"/>
      <c r="U104" s="971"/>
      <c r="V104" s="274" t="s">
        <v>301</v>
      </c>
      <c r="W104" s="274" t="s">
        <v>301</v>
      </c>
      <c r="X104" s="274" t="s">
        <v>301</v>
      </c>
      <c r="Y104" s="274" t="s">
        <v>301</v>
      </c>
      <c r="Z104" s="274" t="s">
        <v>5107</v>
      </c>
    </row>
    <row r="105">
      <c r="B105" s="235">
        <v>43.0</v>
      </c>
      <c r="C105" s="956"/>
      <c r="D105" s="956"/>
      <c r="E105" s="969"/>
      <c r="F105" s="969"/>
      <c r="G105" s="969"/>
      <c r="H105" s="274"/>
      <c r="I105" s="274"/>
      <c r="J105" s="235">
        <v>43.0</v>
      </c>
      <c r="K105" s="835"/>
      <c r="L105" s="835"/>
      <c r="M105" s="235" t="s">
        <v>5117</v>
      </c>
      <c r="N105" s="235" t="s">
        <v>5118</v>
      </c>
      <c r="O105" s="978"/>
      <c r="P105" s="235" t="s">
        <v>301</v>
      </c>
      <c r="Q105" s="274" t="s">
        <v>301</v>
      </c>
      <c r="R105" s="274" t="s">
        <v>301</v>
      </c>
      <c r="S105" s="274" t="s">
        <v>301</v>
      </c>
      <c r="T105" s="835"/>
      <c r="U105" s="971"/>
      <c r="V105" s="274" t="s">
        <v>301</v>
      </c>
      <c r="W105" s="274" t="s">
        <v>271</v>
      </c>
      <c r="X105" s="274" t="s">
        <v>301</v>
      </c>
      <c r="Y105" s="274" t="s">
        <v>301</v>
      </c>
      <c r="Z105" s="274" t="s">
        <v>5107</v>
      </c>
    </row>
    <row r="106">
      <c r="B106" s="235">
        <v>44.0</v>
      </c>
      <c r="C106" s="956"/>
      <c r="D106" s="956"/>
      <c r="E106" s="969"/>
      <c r="F106" s="969"/>
      <c r="G106" s="969"/>
      <c r="H106" s="274"/>
      <c r="I106" s="274"/>
      <c r="J106" s="835"/>
      <c r="K106" s="835"/>
      <c r="L106" s="835"/>
      <c r="M106" s="235" t="s">
        <v>5119</v>
      </c>
      <c r="N106" s="235" t="s">
        <v>5116</v>
      </c>
      <c r="O106" s="978"/>
      <c r="P106" s="235" t="s">
        <v>301</v>
      </c>
      <c r="Q106" s="274" t="s">
        <v>301</v>
      </c>
      <c r="R106" s="274" t="s">
        <v>301</v>
      </c>
      <c r="S106" s="274" t="s">
        <v>301</v>
      </c>
      <c r="T106" s="835"/>
      <c r="U106" s="971"/>
      <c r="V106" s="274" t="s">
        <v>301</v>
      </c>
      <c r="W106" s="274" t="s">
        <v>301</v>
      </c>
      <c r="X106" s="274" t="s">
        <v>301</v>
      </c>
      <c r="Y106" s="274" t="s">
        <v>301</v>
      </c>
      <c r="Z106" s="274" t="s">
        <v>5107</v>
      </c>
    </row>
    <row r="107">
      <c r="B107" s="985"/>
      <c r="C107" s="985"/>
      <c r="D107" s="985"/>
      <c r="E107" s="985"/>
      <c r="F107" s="985"/>
      <c r="G107" s="985"/>
      <c r="H107" s="985"/>
      <c r="I107" s="985"/>
      <c r="J107" s="985"/>
      <c r="K107" s="985"/>
      <c r="L107" s="985"/>
      <c r="M107" s="985"/>
      <c r="N107" s="985"/>
      <c r="O107" s="986">
        <f t="shared" ref="O107:S107" si="2">COUNTIF(O7:O106,"Y")</f>
        <v>0</v>
      </c>
      <c r="P107" s="986">
        <f t="shared" si="2"/>
        <v>92</v>
      </c>
      <c r="Q107" s="986">
        <f t="shared" si="2"/>
        <v>95</v>
      </c>
      <c r="R107" s="986">
        <f t="shared" si="2"/>
        <v>95</v>
      </c>
      <c r="S107" s="986">
        <f t="shared" si="2"/>
        <v>96</v>
      </c>
      <c r="T107" s="835"/>
      <c r="U107" s="986">
        <f t="shared" ref="U107:Y107" si="3">COUNTIF(U7:U106,"Y")</f>
        <v>0</v>
      </c>
      <c r="V107" s="986">
        <f t="shared" si="3"/>
        <v>76</v>
      </c>
      <c r="W107" s="986">
        <f t="shared" si="3"/>
        <v>76</v>
      </c>
      <c r="X107" s="986">
        <f t="shared" si="3"/>
        <v>93</v>
      </c>
      <c r="Y107" s="986">
        <f t="shared" si="3"/>
        <v>91</v>
      </c>
      <c r="Z107" s="985"/>
    </row>
    <row r="108">
      <c r="B108" s="985"/>
      <c r="C108" s="985"/>
      <c r="D108" s="985"/>
      <c r="E108" s="985"/>
      <c r="F108" s="985"/>
      <c r="G108" s="985"/>
      <c r="H108" s="985"/>
      <c r="I108" s="985"/>
      <c r="J108" s="985"/>
      <c r="K108" s="985"/>
      <c r="L108" s="985"/>
      <c r="M108" s="985"/>
      <c r="N108" s="985"/>
      <c r="O108" s="986">
        <f t="shared" ref="O108:S108" si="4">COUNTA(O7:O106)</f>
        <v>0</v>
      </c>
      <c r="P108" s="986">
        <f t="shared" si="4"/>
        <v>96</v>
      </c>
      <c r="Q108" s="986">
        <f t="shared" si="4"/>
        <v>96</v>
      </c>
      <c r="R108" s="986">
        <f t="shared" si="4"/>
        <v>96</v>
      </c>
      <c r="S108" s="986">
        <f t="shared" si="4"/>
        <v>96</v>
      </c>
      <c r="T108" s="835"/>
      <c r="U108" s="986">
        <f t="shared" ref="U108:Y108" si="5">COUNTA(U7:U106)</f>
        <v>0</v>
      </c>
      <c r="V108" s="986">
        <f t="shared" si="5"/>
        <v>98</v>
      </c>
      <c r="W108" s="986">
        <f t="shared" si="5"/>
        <v>98</v>
      </c>
      <c r="X108" s="986">
        <f t="shared" si="5"/>
        <v>98</v>
      </c>
      <c r="Y108" s="986">
        <f t="shared" si="5"/>
        <v>98</v>
      </c>
      <c r="Z108" s="985"/>
    </row>
    <row r="109">
      <c r="B109" s="985"/>
      <c r="C109" s="985"/>
      <c r="D109" s="985"/>
      <c r="E109" s="985"/>
      <c r="F109" s="985"/>
      <c r="G109" s="985"/>
      <c r="H109" s="987"/>
      <c r="I109" s="987"/>
      <c r="J109" s="987"/>
      <c r="K109" s="987"/>
      <c r="L109" s="987"/>
      <c r="M109" s="987"/>
      <c r="N109" s="987"/>
      <c r="O109" s="988" t="str">
        <f t="shared" ref="O109:S109" si="6">O107/O108</f>
        <v>#DIV/0!</v>
      </c>
      <c r="P109" s="988">
        <f t="shared" si="6"/>
        <v>0.9583333333</v>
      </c>
      <c r="Q109" s="988">
        <f t="shared" si="6"/>
        <v>0.9895833333</v>
      </c>
      <c r="R109" s="988">
        <f t="shared" si="6"/>
        <v>0.9895833333</v>
      </c>
      <c r="S109" s="988">
        <f t="shared" si="6"/>
        <v>1</v>
      </c>
      <c r="T109" s="835"/>
      <c r="U109" s="988" t="str">
        <f t="shared" ref="U109:Y109" si="7">U107/U108</f>
        <v>#DIV/0!</v>
      </c>
      <c r="V109" s="988">
        <f t="shared" si="7"/>
        <v>0.7755102041</v>
      </c>
      <c r="W109" s="988">
        <f t="shared" si="7"/>
        <v>0.7755102041</v>
      </c>
      <c r="X109" s="988">
        <f t="shared" si="7"/>
        <v>0.9489795918</v>
      </c>
      <c r="Y109" s="988">
        <f t="shared" si="7"/>
        <v>0.9285714286</v>
      </c>
      <c r="Z109" s="987"/>
    </row>
    <row r="133">
      <c r="K133" s="185">
        <v>44.0</v>
      </c>
      <c r="L133" s="185">
        <v>17.0</v>
      </c>
      <c r="M133" s="185">
        <v>37.0</v>
      </c>
      <c r="N133" s="185">
        <f>SUM(K133:M133)</f>
        <v>98</v>
      </c>
    </row>
  </sheetData>
  <mergeCells count="17">
    <mergeCell ref="L3:L4"/>
    <mergeCell ref="M3:M4"/>
    <mergeCell ref="N3:N4"/>
    <mergeCell ref="O3:S3"/>
    <mergeCell ref="T3:T4"/>
    <mergeCell ref="U3:Y3"/>
    <mergeCell ref="E3:G3"/>
    <mergeCell ref="B6:Z6"/>
    <mergeCell ref="B44:Z44"/>
    <mergeCell ref="B62:Z62"/>
    <mergeCell ref="B1:Z1"/>
    <mergeCell ref="B3:B4"/>
    <mergeCell ref="C3:D3"/>
    <mergeCell ref="H3:I3"/>
    <mergeCell ref="J3:J4"/>
    <mergeCell ref="K3:K4"/>
    <mergeCell ref="Z3:Z4"/>
  </mergeCells>
  <conditionalFormatting sqref="U7:Y13">
    <cfRule type="containsText" dxfId="5" priority="1" operator="containsText" text="T">
      <formula>NOT(ISERROR(SEARCH(("T"),(U7))))</formula>
    </cfRule>
  </conditionalFormatting>
  <conditionalFormatting sqref="U7:Y13">
    <cfRule type="expression" dxfId="6" priority="2">
      <formula>$D7="T"</formula>
    </cfRule>
  </conditionalFormatting>
  <conditionalFormatting sqref="U7:Y13">
    <cfRule type="expression" dxfId="6" priority="3">
      <formula>$G7="T"</formula>
    </cfRule>
  </conditionalFormatting>
  <conditionalFormatting sqref="U7:Y13">
    <cfRule type="expression" dxfId="6" priority="4">
      <formula>$I7="T"</formula>
    </cfRule>
  </conditionalFormatting>
  <conditionalFormatting sqref="P7:S43 P45:S61 P63:S106 V7:Y43 V45:Y61 V63:Y106">
    <cfRule type="cellIs" dxfId="4" priority="5" operator="equal">
      <formula>"Y"</formula>
    </cfRule>
  </conditionalFormatting>
  <conditionalFormatting sqref="P7:S43 P45:S61 P63:S106 V7:Y43 V45:Y61 V63:Y106">
    <cfRule type="cellIs" dxfId="1" priority="6" operator="equal">
      <formula>"T"</formula>
    </cfRule>
  </conditionalFormatting>
  <dataValidations>
    <dataValidation type="list" allowBlank="1" showErrorMessage="1" sqref="P7:S43 V7:Y43 P45:S61 V45:Y61 P63:S106 V63:Y106">
      <formula1>"T,Y"</formula1>
    </dataValidation>
  </dataValidations>
  <printOptions horizontalCentered="1"/>
  <pageMargins bottom="0.3937007874015748" footer="0.0" header="0.0" left="0.3937007874015748" right="0.3937007874015748" top="0.3937007874015748"/>
  <pageSetup fitToHeight="0" paperSize="9" orientation="landscape"/>
  <headerFooter>
    <oddHeader>&amp;RLampiran 2</oddHead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2" max="2" width="55.44"/>
  </cols>
  <sheetData>
    <row r="1">
      <c r="A1" s="989" t="s">
        <v>1626</v>
      </c>
      <c r="B1" s="990" t="s">
        <v>5120</v>
      </c>
      <c r="C1" s="63"/>
      <c r="D1" s="990" t="s">
        <v>5121</v>
      </c>
      <c r="E1" s="63"/>
      <c r="F1" s="990" t="s">
        <v>5122</v>
      </c>
      <c r="G1" s="991"/>
      <c r="H1" s="990" t="s">
        <v>5123</v>
      </c>
      <c r="I1" s="63"/>
      <c r="J1" s="990" t="s">
        <v>5124</v>
      </c>
      <c r="K1" s="63"/>
      <c r="L1" s="990" t="s">
        <v>5125</v>
      </c>
      <c r="M1" s="63"/>
      <c r="N1" s="990" t="s">
        <v>5126</v>
      </c>
      <c r="O1" s="63"/>
      <c r="P1" s="990" t="s">
        <v>5005</v>
      </c>
      <c r="Q1" s="63"/>
      <c r="R1" s="992" t="s">
        <v>2021</v>
      </c>
    </row>
    <row r="2">
      <c r="A2" s="993"/>
      <c r="B2" s="994" t="s">
        <v>1633</v>
      </c>
      <c r="C2" s="994" t="s">
        <v>1634</v>
      </c>
      <c r="D2" s="994" t="s">
        <v>1633</v>
      </c>
      <c r="E2" s="994" t="s">
        <v>1634</v>
      </c>
      <c r="F2" s="994" t="s">
        <v>1633</v>
      </c>
      <c r="G2" s="995" t="s">
        <v>1634</v>
      </c>
      <c r="H2" s="994" t="s">
        <v>1633</v>
      </c>
      <c r="I2" s="994" t="s">
        <v>1634</v>
      </c>
      <c r="J2" s="994" t="s">
        <v>1633</v>
      </c>
      <c r="K2" s="994" t="s">
        <v>1634</v>
      </c>
      <c r="L2" s="994" t="s">
        <v>1633</v>
      </c>
      <c r="M2" s="994" t="s">
        <v>1634</v>
      </c>
      <c r="N2" s="994" t="s">
        <v>1633</v>
      </c>
      <c r="O2" s="994" t="s">
        <v>1634</v>
      </c>
      <c r="P2" s="994" t="s">
        <v>1633</v>
      </c>
      <c r="Q2" s="994" t="s">
        <v>1634</v>
      </c>
      <c r="R2" s="440"/>
    </row>
    <row r="3">
      <c r="A3" s="541"/>
      <c r="B3" s="996"/>
      <c r="C3" s="996"/>
      <c r="D3" s="996"/>
      <c r="E3" s="996"/>
      <c r="F3" s="996"/>
      <c r="G3" s="997"/>
      <c r="H3" s="996"/>
      <c r="I3" s="996"/>
      <c r="J3" s="996"/>
      <c r="K3" s="996"/>
      <c r="L3" s="996"/>
      <c r="M3" s="996"/>
      <c r="N3" s="996"/>
      <c r="O3" s="996"/>
      <c r="P3" s="996"/>
      <c r="Q3" s="996"/>
      <c r="R3" s="998">
        <f>R4</f>
        <v>5</v>
      </c>
    </row>
    <row r="4">
      <c r="A4" s="999" t="s">
        <v>1638</v>
      </c>
      <c r="B4" s="1000" t="s">
        <v>5127</v>
      </c>
      <c r="C4" s="633">
        <v>5.0</v>
      </c>
      <c r="D4" s="1001" t="s">
        <v>5128</v>
      </c>
      <c r="E4" s="633">
        <v>5.0</v>
      </c>
      <c r="F4" s="1002" t="s">
        <v>5129</v>
      </c>
      <c r="G4" s="1003">
        <v>5.0</v>
      </c>
      <c r="H4" s="1001" t="s">
        <v>5130</v>
      </c>
      <c r="I4" s="633">
        <v>5.0</v>
      </c>
      <c r="J4" s="1001" t="s">
        <v>5131</v>
      </c>
      <c r="K4" s="633">
        <v>5.0</v>
      </c>
      <c r="L4" s="1001" t="s">
        <v>5132</v>
      </c>
      <c r="M4" s="633">
        <v>4.0</v>
      </c>
      <c r="N4" s="1001" t="s">
        <v>5133</v>
      </c>
      <c r="O4" s="633">
        <v>3.0</v>
      </c>
      <c r="P4" s="1004" t="s">
        <v>5134</v>
      </c>
      <c r="Q4" s="633">
        <v>4.0</v>
      </c>
      <c r="R4" s="633">
        <f>_xlfn.MODE.SNGL(B4:Q8)</f>
        <v>5</v>
      </c>
    </row>
    <row r="5">
      <c r="A5" s="536"/>
      <c r="B5" s="539"/>
      <c r="C5" s="538"/>
      <c r="D5" s="538"/>
      <c r="E5" s="538"/>
      <c r="F5" s="539"/>
      <c r="G5" s="422"/>
      <c r="H5" s="538"/>
      <c r="I5" s="538"/>
      <c r="J5" s="538"/>
      <c r="K5" s="538"/>
      <c r="L5" s="538"/>
      <c r="M5" s="538"/>
      <c r="N5" s="538"/>
      <c r="O5" s="538"/>
      <c r="P5" s="538"/>
      <c r="Q5" s="538"/>
      <c r="R5" s="538"/>
    </row>
    <row r="6">
      <c r="A6" s="536"/>
      <c r="B6" s="539"/>
      <c r="C6" s="538"/>
      <c r="D6" s="538"/>
      <c r="E6" s="538"/>
      <c r="F6" s="539"/>
      <c r="G6" s="422"/>
      <c r="H6" s="538"/>
      <c r="I6" s="538"/>
      <c r="J6" s="538"/>
      <c r="K6" s="538"/>
      <c r="L6" s="538"/>
      <c r="M6" s="538"/>
      <c r="N6" s="538"/>
      <c r="O6" s="538"/>
      <c r="P6" s="538"/>
      <c r="Q6" s="538"/>
      <c r="R6" s="538"/>
    </row>
    <row r="7">
      <c r="A7" s="536"/>
      <c r="B7" s="539"/>
      <c r="C7" s="538"/>
      <c r="D7" s="538"/>
      <c r="E7" s="538"/>
      <c r="F7" s="539"/>
      <c r="G7" s="422"/>
      <c r="H7" s="538"/>
      <c r="I7" s="538"/>
      <c r="J7" s="538"/>
      <c r="K7" s="538"/>
      <c r="L7" s="538"/>
      <c r="M7" s="538"/>
      <c r="N7" s="538"/>
      <c r="O7" s="538"/>
      <c r="P7" s="538"/>
      <c r="Q7" s="538"/>
      <c r="R7" s="538"/>
    </row>
    <row r="8" ht="87.0" customHeight="1">
      <c r="A8" s="210"/>
      <c r="B8" s="440"/>
      <c r="C8" s="213"/>
      <c r="D8" s="213"/>
      <c r="E8" s="213"/>
      <c r="F8" s="440"/>
      <c r="G8" s="1005"/>
      <c r="H8" s="213"/>
      <c r="I8" s="213"/>
      <c r="J8" s="213"/>
      <c r="K8" s="213"/>
      <c r="L8" s="213"/>
      <c r="M8" s="213"/>
      <c r="N8" s="213"/>
      <c r="O8" s="213"/>
      <c r="P8" s="213"/>
      <c r="Q8" s="213"/>
      <c r="R8" s="213"/>
    </row>
    <row r="9">
      <c r="A9" s="541"/>
      <c r="B9" s="1006"/>
      <c r="C9" s="996"/>
      <c r="D9" s="996"/>
      <c r="E9" s="996"/>
      <c r="F9" s="996"/>
      <c r="G9" s="997"/>
      <c r="H9" s="996"/>
      <c r="I9" s="996"/>
      <c r="J9" s="996"/>
      <c r="K9" s="996"/>
      <c r="L9" s="996"/>
      <c r="M9" s="996"/>
      <c r="N9" s="996"/>
      <c r="O9" s="996"/>
      <c r="P9" s="996"/>
      <c r="Q9" s="996"/>
      <c r="R9" s="998">
        <f>R10</f>
        <v>5</v>
      </c>
    </row>
    <row r="10">
      <c r="A10" s="999" t="s">
        <v>1638</v>
      </c>
      <c r="B10" s="1007" t="s">
        <v>5135</v>
      </c>
      <c r="C10" s="633">
        <v>5.0</v>
      </c>
      <c r="D10" s="1001" t="s">
        <v>5136</v>
      </c>
      <c r="E10" s="633">
        <v>4.0</v>
      </c>
      <c r="F10" s="1001" t="s">
        <v>5137</v>
      </c>
      <c r="G10" s="1003">
        <v>5.0</v>
      </c>
      <c r="H10" s="1001" t="s">
        <v>5138</v>
      </c>
      <c r="I10" s="633">
        <v>5.0</v>
      </c>
      <c r="J10" s="1001" t="s">
        <v>5139</v>
      </c>
      <c r="K10" s="633">
        <v>5.0</v>
      </c>
      <c r="L10" s="1004" t="s">
        <v>5140</v>
      </c>
      <c r="M10" s="633">
        <v>3.0</v>
      </c>
      <c r="N10" s="1001" t="s">
        <v>5141</v>
      </c>
      <c r="O10" s="633">
        <v>3.0</v>
      </c>
      <c r="P10" s="1004" t="s">
        <v>5142</v>
      </c>
      <c r="Q10" s="633">
        <v>3.0</v>
      </c>
      <c r="R10" s="633">
        <f>_xlfn.MODE.SNGL(B10:Q14)</f>
        <v>5</v>
      </c>
    </row>
    <row r="11">
      <c r="A11" s="536"/>
      <c r="B11" s="539"/>
      <c r="C11" s="538"/>
      <c r="D11" s="538"/>
      <c r="E11" s="538"/>
      <c r="F11" s="538"/>
      <c r="G11" s="422"/>
      <c r="H11" s="538"/>
      <c r="I11" s="538"/>
      <c r="J11" s="538"/>
      <c r="K11" s="538"/>
      <c r="L11" s="538"/>
      <c r="M11" s="538"/>
      <c r="N11" s="538"/>
      <c r="O11" s="538"/>
      <c r="P11" s="538"/>
      <c r="Q11" s="538"/>
      <c r="R11" s="538"/>
    </row>
    <row r="12">
      <c r="A12" s="536"/>
      <c r="B12" s="539"/>
      <c r="C12" s="538"/>
      <c r="D12" s="538"/>
      <c r="E12" s="538"/>
      <c r="F12" s="538"/>
      <c r="G12" s="422"/>
      <c r="H12" s="538"/>
      <c r="I12" s="538"/>
      <c r="J12" s="538"/>
      <c r="K12" s="538"/>
      <c r="L12" s="538"/>
      <c r="M12" s="538"/>
      <c r="N12" s="538"/>
      <c r="O12" s="538"/>
      <c r="P12" s="538"/>
      <c r="Q12" s="538"/>
      <c r="R12" s="538"/>
    </row>
    <row r="13">
      <c r="A13" s="536"/>
      <c r="B13" s="539"/>
      <c r="C13" s="538"/>
      <c r="D13" s="538"/>
      <c r="E13" s="538"/>
      <c r="F13" s="538"/>
      <c r="G13" s="422"/>
      <c r="H13" s="538"/>
      <c r="I13" s="538"/>
      <c r="J13" s="538"/>
      <c r="K13" s="538"/>
      <c r="L13" s="538"/>
      <c r="M13" s="538"/>
      <c r="N13" s="538"/>
      <c r="O13" s="538"/>
      <c r="P13" s="538"/>
      <c r="Q13" s="538"/>
      <c r="R13" s="538"/>
    </row>
    <row r="14">
      <c r="A14" s="210"/>
      <c r="B14" s="440"/>
      <c r="C14" s="213"/>
      <c r="D14" s="213"/>
      <c r="E14" s="213"/>
      <c r="F14" s="213"/>
      <c r="G14" s="1005"/>
      <c r="H14" s="213"/>
      <c r="I14" s="213"/>
      <c r="J14" s="213"/>
      <c r="K14" s="213"/>
      <c r="L14" s="213"/>
      <c r="M14" s="213"/>
      <c r="N14" s="213"/>
      <c r="O14" s="213"/>
      <c r="P14" s="213"/>
      <c r="Q14" s="213"/>
      <c r="R14" s="213"/>
    </row>
    <row r="15">
      <c r="A15" s="541"/>
      <c r="B15" s="996"/>
      <c r="C15" s="996"/>
      <c r="D15" s="996"/>
      <c r="E15" s="996"/>
      <c r="F15" s="996"/>
      <c r="G15" s="997"/>
      <c r="H15" s="996"/>
      <c r="I15" s="996"/>
      <c r="J15" s="996"/>
      <c r="K15" s="996"/>
      <c r="L15" s="996"/>
      <c r="M15" s="996"/>
      <c r="N15" s="996"/>
      <c r="O15" s="996"/>
      <c r="P15" s="996"/>
      <c r="Q15" s="996"/>
      <c r="R15" s="998">
        <f>AVERAGE(R16:R35)</f>
        <v>3</v>
      </c>
    </row>
    <row r="16">
      <c r="A16" s="999" t="s">
        <v>1638</v>
      </c>
      <c r="B16" s="1008" t="s">
        <v>5143</v>
      </c>
      <c r="C16" s="633">
        <v>3.0</v>
      </c>
      <c r="D16" s="1001" t="s">
        <v>5144</v>
      </c>
      <c r="E16" s="633">
        <v>4.0</v>
      </c>
      <c r="F16" s="1001" t="s">
        <v>5145</v>
      </c>
      <c r="G16" s="1003">
        <v>4.0</v>
      </c>
      <c r="H16" s="1001" t="s">
        <v>5146</v>
      </c>
      <c r="I16" s="633">
        <v>5.0</v>
      </c>
      <c r="J16" s="594" t="s">
        <v>5147</v>
      </c>
      <c r="K16" s="633">
        <v>4.0</v>
      </c>
      <c r="L16" s="1001" t="s">
        <v>5148</v>
      </c>
      <c r="M16" s="633">
        <v>3.0</v>
      </c>
      <c r="N16" s="1001" t="s">
        <v>5149</v>
      </c>
      <c r="O16" s="633">
        <v>2.0</v>
      </c>
      <c r="P16" s="1004" t="s">
        <v>5150</v>
      </c>
      <c r="Q16" s="633">
        <v>3.0</v>
      </c>
      <c r="R16" s="633">
        <f>_xlfn.MODE.SNGL(B16:Q20)</f>
        <v>3</v>
      </c>
    </row>
    <row r="17">
      <c r="A17" s="536"/>
      <c r="B17" s="539"/>
      <c r="C17" s="538"/>
      <c r="D17" s="538"/>
      <c r="E17" s="538"/>
      <c r="F17" s="538"/>
      <c r="G17" s="422"/>
      <c r="H17" s="538"/>
      <c r="I17" s="538"/>
      <c r="J17" s="538"/>
      <c r="K17" s="538"/>
      <c r="L17" s="538"/>
      <c r="M17" s="538"/>
      <c r="N17" s="538"/>
      <c r="O17" s="538"/>
      <c r="P17" s="538"/>
      <c r="Q17" s="538"/>
      <c r="R17" s="538"/>
    </row>
    <row r="18">
      <c r="A18" s="536"/>
      <c r="B18" s="539"/>
      <c r="C18" s="538"/>
      <c r="D18" s="538"/>
      <c r="E18" s="538"/>
      <c r="F18" s="538"/>
      <c r="G18" s="422"/>
      <c r="H18" s="538"/>
      <c r="I18" s="538"/>
      <c r="J18" s="538"/>
      <c r="K18" s="538"/>
      <c r="L18" s="538"/>
      <c r="M18" s="538"/>
      <c r="N18" s="538"/>
      <c r="O18" s="538"/>
      <c r="P18" s="538"/>
      <c r="Q18" s="538"/>
      <c r="R18" s="538"/>
    </row>
    <row r="19">
      <c r="A19" s="536"/>
      <c r="B19" s="539"/>
      <c r="C19" s="538"/>
      <c r="D19" s="538"/>
      <c r="E19" s="538"/>
      <c r="F19" s="538"/>
      <c r="G19" s="422"/>
      <c r="H19" s="538"/>
      <c r="I19" s="538"/>
      <c r="J19" s="538"/>
      <c r="K19" s="538"/>
      <c r="L19" s="538"/>
      <c r="M19" s="538"/>
      <c r="N19" s="538"/>
      <c r="O19" s="538"/>
      <c r="P19" s="538"/>
      <c r="Q19" s="538"/>
      <c r="R19" s="538"/>
    </row>
    <row r="20">
      <c r="A20" s="210"/>
      <c r="B20" s="440"/>
      <c r="C20" s="213"/>
      <c r="D20" s="213"/>
      <c r="E20" s="213"/>
      <c r="F20" s="213"/>
      <c r="G20" s="1005"/>
      <c r="H20" s="213"/>
      <c r="I20" s="213"/>
      <c r="J20" s="213"/>
      <c r="K20" s="213"/>
      <c r="L20" s="213"/>
      <c r="M20" s="213"/>
      <c r="N20" s="213"/>
      <c r="O20" s="213"/>
      <c r="P20" s="213"/>
      <c r="Q20" s="213"/>
      <c r="R20" s="213"/>
    </row>
    <row r="21">
      <c r="A21" s="999" t="s">
        <v>1638</v>
      </c>
      <c r="B21" s="1009" t="s">
        <v>5151</v>
      </c>
      <c r="C21" s="633">
        <v>3.0</v>
      </c>
      <c r="D21" s="1001" t="s">
        <v>5152</v>
      </c>
      <c r="E21" s="633">
        <v>3.0</v>
      </c>
      <c r="F21" s="594" t="s">
        <v>5153</v>
      </c>
      <c r="G21" s="1003">
        <v>3.0</v>
      </c>
      <c r="H21" s="1001" t="s">
        <v>5154</v>
      </c>
      <c r="I21" s="633">
        <v>2.0</v>
      </c>
      <c r="J21" s="1001" t="s">
        <v>5152</v>
      </c>
      <c r="K21" s="1010">
        <v>3.0</v>
      </c>
      <c r="L21" s="1002" t="s">
        <v>5152</v>
      </c>
      <c r="M21" s="1010">
        <v>3.0</v>
      </c>
      <c r="N21" s="1001" t="s">
        <v>5152</v>
      </c>
      <c r="O21" s="1010">
        <v>3.0</v>
      </c>
      <c r="P21" s="1011" t="s">
        <v>5155</v>
      </c>
      <c r="Q21" s="1010">
        <v>3.0</v>
      </c>
      <c r="R21" s="633">
        <f>_xlfn.MODE.SNGL(B21:Q25)</f>
        <v>3</v>
      </c>
    </row>
    <row r="22">
      <c r="A22" s="536"/>
      <c r="B22" s="539"/>
      <c r="C22" s="538"/>
      <c r="D22" s="538"/>
      <c r="E22" s="538"/>
      <c r="F22" s="538"/>
      <c r="G22" s="422"/>
      <c r="H22" s="538"/>
      <c r="I22" s="538"/>
      <c r="J22" s="538"/>
      <c r="K22" s="539"/>
      <c r="L22" s="539"/>
      <c r="M22" s="539"/>
      <c r="N22" s="538"/>
      <c r="O22" s="539"/>
      <c r="P22" s="539"/>
      <c r="Q22" s="539"/>
      <c r="R22" s="538"/>
    </row>
    <row r="23">
      <c r="A23" s="536"/>
      <c r="B23" s="539"/>
      <c r="C23" s="538"/>
      <c r="D23" s="538"/>
      <c r="E23" s="538"/>
      <c r="F23" s="538"/>
      <c r="G23" s="422"/>
      <c r="H23" s="538"/>
      <c r="I23" s="538"/>
      <c r="J23" s="538"/>
      <c r="K23" s="539"/>
      <c r="L23" s="539"/>
      <c r="M23" s="539"/>
      <c r="N23" s="538"/>
      <c r="O23" s="539"/>
      <c r="P23" s="539"/>
      <c r="Q23" s="539"/>
      <c r="R23" s="538"/>
    </row>
    <row r="24">
      <c r="A24" s="536"/>
      <c r="B24" s="539"/>
      <c r="C24" s="538"/>
      <c r="D24" s="538"/>
      <c r="E24" s="538"/>
      <c r="F24" s="538"/>
      <c r="G24" s="422"/>
      <c r="H24" s="538"/>
      <c r="I24" s="538"/>
      <c r="J24" s="538"/>
      <c r="K24" s="539"/>
      <c r="L24" s="539"/>
      <c r="M24" s="539"/>
      <c r="N24" s="538"/>
      <c r="O24" s="539"/>
      <c r="P24" s="539"/>
      <c r="Q24" s="539"/>
      <c r="R24" s="538"/>
    </row>
    <row r="25">
      <c r="A25" s="210"/>
      <c r="B25" s="440"/>
      <c r="C25" s="213"/>
      <c r="D25" s="213"/>
      <c r="E25" s="213"/>
      <c r="F25" s="213"/>
      <c r="G25" s="1005"/>
      <c r="H25" s="213"/>
      <c r="I25" s="213"/>
      <c r="J25" s="213"/>
      <c r="K25" s="440"/>
      <c r="L25" s="440"/>
      <c r="M25" s="440"/>
      <c r="N25" s="213"/>
      <c r="O25" s="440"/>
      <c r="P25" s="440"/>
      <c r="Q25" s="440"/>
      <c r="R25" s="213"/>
    </row>
    <row r="26">
      <c r="A26" s="999" t="s">
        <v>1638</v>
      </c>
      <c r="B26" s="1012" t="s">
        <v>5156</v>
      </c>
      <c r="C26" s="633">
        <v>3.0</v>
      </c>
      <c r="D26" s="1001" t="s">
        <v>5157</v>
      </c>
      <c r="E26" s="633">
        <v>2.0</v>
      </c>
      <c r="F26" s="594" t="s">
        <v>5158</v>
      </c>
      <c r="G26" s="1003">
        <v>2.0</v>
      </c>
      <c r="H26" s="1001" t="s">
        <v>5159</v>
      </c>
      <c r="I26" s="633">
        <v>3.0</v>
      </c>
      <c r="J26" s="1001" t="s">
        <v>5160</v>
      </c>
      <c r="K26" s="1010">
        <v>3.0</v>
      </c>
      <c r="L26" s="1002" t="s">
        <v>5160</v>
      </c>
      <c r="M26" s="1010">
        <v>2.0</v>
      </c>
      <c r="N26" s="1001" t="s">
        <v>5161</v>
      </c>
      <c r="O26" s="1010">
        <v>1.0</v>
      </c>
      <c r="P26" s="1011" t="s">
        <v>5160</v>
      </c>
      <c r="Q26" s="1010">
        <v>1.0</v>
      </c>
      <c r="R26" s="633">
        <f>_xlfn.MODE.SNGL(B26:Q30)</f>
        <v>3</v>
      </c>
    </row>
    <row r="27">
      <c r="A27" s="536"/>
      <c r="B27" s="539"/>
      <c r="C27" s="538"/>
      <c r="D27" s="538"/>
      <c r="E27" s="538"/>
      <c r="F27" s="538"/>
      <c r="G27" s="422"/>
      <c r="H27" s="538"/>
      <c r="I27" s="538"/>
      <c r="J27" s="538"/>
      <c r="K27" s="539"/>
      <c r="L27" s="539"/>
      <c r="M27" s="539"/>
      <c r="N27" s="538"/>
      <c r="O27" s="539"/>
      <c r="P27" s="539"/>
      <c r="Q27" s="539"/>
      <c r="R27" s="538"/>
    </row>
    <row r="28">
      <c r="A28" s="536"/>
      <c r="B28" s="539"/>
      <c r="C28" s="538"/>
      <c r="D28" s="538"/>
      <c r="E28" s="538"/>
      <c r="F28" s="538"/>
      <c r="G28" s="422"/>
      <c r="H28" s="538"/>
      <c r="I28" s="538"/>
      <c r="J28" s="538"/>
      <c r="K28" s="539"/>
      <c r="L28" s="539"/>
      <c r="M28" s="539"/>
      <c r="N28" s="538"/>
      <c r="O28" s="539"/>
      <c r="P28" s="539"/>
      <c r="Q28" s="539"/>
      <c r="R28" s="538"/>
    </row>
    <row r="29">
      <c r="A29" s="536"/>
      <c r="B29" s="539"/>
      <c r="C29" s="538"/>
      <c r="D29" s="538"/>
      <c r="E29" s="538"/>
      <c r="F29" s="538"/>
      <c r="G29" s="422"/>
      <c r="H29" s="538"/>
      <c r="I29" s="538"/>
      <c r="J29" s="538"/>
      <c r="K29" s="539"/>
      <c r="L29" s="539"/>
      <c r="M29" s="539"/>
      <c r="N29" s="538"/>
      <c r="O29" s="539"/>
      <c r="P29" s="539"/>
      <c r="Q29" s="539"/>
      <c r="R29" s="538"/>
    </row>
    <row r="30">
      <c r="A30" s="210"/>
      <c r="B30" s="440"/>
      <c r="C30" s="213"/>
      <c r="D30" s="213"/>
      <c r="E30" s="213"/>
      <c r="F30" s="213"/>
      <c r="G30" s="1005"/>
      <c r="H30" s="213"/>
      <c r="I30" s="213"/>
      <c r="J30" s="213"/>
      <c r="K30" s="440"/>
      <c r="L30" s="440"/>
      <c r="M30" s="440"/>
      <c r="N30" s="213"/>
      <c r="O30" s="440"/>
      <c r="P30" s="440"/>
      <c r="Q30" s="440"/>
      <c r="R30" s="213"/>
    </row>
    <row r="31">
      <c r="A31" s="999" t="s">
        <v>1638</v>
      </c>
      <c r="B31" s="1009" t="s">
        <v>5162</v>
      </c>
      <c r="C31" s="633">
        <v>3.0</v>
      </c>
      <c r="D31" s="1001" t="s">
        <v>5163</v>
      </c>
      <c r="E31" s="633">
        <v>2.0</v>
      </c>
      <c r="F31" s="594" t="s">
        <v>5164</v>
      </c>
      <c r="G31" s="1003">
        <v>2.0</v>
      </c>
      <c r="H31" s="1001" t="s">
        <v>5165</v>
      </c>
      <c r="I31" s="633">
        <v>3.0</v>
      </c>
      <c r="J31" s="1001" t="s">
        <v>5166</v>
      </c>
      <c r="K31" s="1010">
        <v>3.0</v>
      </c>
      <c r="L31" s="1002" t="s">
        <v>5166</v>
      </c>
      <c r="M31" s="1010">
        <v>2.0</v>
      </c>
      <c r="N31" s="1001" t="s">
        <v>5166</v>
      </c>
      <c r="O31" s="1010">
        <v>1.0</v>
      </c>
      <c r="P31" s="1011" t="s">
        <v>5166</v>
      </c>
      <c r="Q31" s="1010">
        <v>1.0</v>
      </c>
      <c r="R31" s="633">
        <f>_xlfn.MODE.SNGL(B31:Q35)</f>
        <v>3</v>
      </c>
    </row>
    <row r="32">
      <c r="A32" s="536"/>
      <c r="B32" s="539"/>
      <c r="C32" s="538"/>
      <c r="D32" s="538"/>
      <c r="E32" s="538"/>
      <c r="F32" s="538"/>
      <c r="G32" s="422"/>
      <c r="H32" s="538"/>
      <c r="I32" s="538"/>
      <c r="J32" s="538"/>
      <c r="K32" s="539"/>
      <c r="L32" s="539"/>
      <c r="M32" s="539"/>
      <c r="N32" s="538"/>
      <c r="O32" s="539"/>
      <c r="P32" s="539"/>
      <c r="Q32" s="539"/>
      <c r="R32" s="538"/>
    </row>
    <row r="33">
      <c r="A33" s="536"/>
      <c r="B33" s="539"/>
      <c r="C33" s="538"/>
      <c r="D33" s="538"/>
      <c r="E33" s="538"/>
      <c r="F33" s="538"/>
      <c r="G33" s="422"/>
      <c r="H33" s="538"/>
      <c r="I33" s="538"/>
      <c r="J33" s="538"/>
      <c r="K33" s="539"/>
      <c r="L33" s="539"/>
      <c r="M33" s="539"/>
      <c r="N33" s="538"/>
      <c r="O33" s="539"/>
      <c r="P33" s="539"/>
      <c r="Q33" s="539"/>
      <c r="R33" s="538"/>
    </row>
    <row r="34">
      <c r="A34" s="536"/>
      <c r="B34" s="539"/>
      <c r="C34" s="538"/>
      <c r="D34" s="538"/>
      <c r="E34" s="538"/>
      <c r="F34" s="538"/>
      <c r="G34" s="422"/>
      <c r="H34" s="538"/>
      <c r="I34" s="538"/>
      <c r="J34" s="538"/>
      <c r="K34" s="539"/>
      <c r="L34" s="539"/>
      <c r="M34" s="539"/>
      <c r="N34" s="538"/>
      <c r="O34" s="539"/>
      <c r="P34" s="539"/>
      <c r="Q34" s="539"/>
      <c r="R34" s="538"/>
    </row>
    <row r="35">
      <c r="A35" s="210"/>
      <c r="B35" s="440"/>
      <c r="C35" s="213"/>
      <c r="D35" s="213"/>
      <c r="E35" s="213"/>
      <c r="F35" s="213"/>
      <c r="G35" s="1005"/>
      <c r="H35" s="213"/>
      <c r="I35" s="213"/>
      <c r="J35" s="213"/>
      <c r="K35" s="440"/>
      <c r="L35" s="440"/>
      <c r="M35" s="440"/>
      <c r="N35" s="213"/>
      <c r="O35" s="440"/>
      <c r="P35" s="440"/>
      <c r="Q35" s="440"/>
      <c r="R35" s="213"/>
    </row>
    <row r="36">
      <c r="A36" s="541"/>
      <c r="B36" s="996"/>
      <c r="C36" s="996"/>
      <c r="D36" s="996"/>
      <c r="E36" s="996"/>
      <c r="F36" s="996"/>
      <c r="G36" s="997"/>
      <c r="H36" s="996"/>
      <c r="I36" s="996"/>
      <c r="J36" s="996"/>
      <c r="K36" s="996"/>
      <c r="L36" s="996"/>
      <c r="M36" s="996"/>
      <c r="N36" s="996"/>
      <c r="O36" s="996"/>
      <c r="P36" s="996"/>
      <c r="Q36" s="996"/>
      <c r="R36" s="998">
        <f>R37</f>
        <v>3</v>
      </c>
    </row>
    <row r="37">
      <c r="A37" s="999" t="s">
        <v>1638</v>
      </c>
      <c r="B37" s="1000" t="s">
        <v>5167</v>
      </c>
      <c r="C37" s="633">
        <v>3.0</v>
      </c>
      <c r="D37" s="1001" t="s">
        <v>5168</v>
      </c>
      <c r="E37" s="633">
        <v>3.0</v>
      </c>
      <c r="F37" s="1001" t="s">
        <v>5169</v>
      </c>
      <c r="G37" s="1003">
        <v>4.0</v>
      </c>
      <c r="H37" s="1001" t="s">
        <v>5170</v>
      </c>
      <c r="I37" s="633">
        <v>3.0</v>
      </c>
      <c r="J37" s="1001" t="s">
        <v>5171</v>
      </c>
      <c r="K37" s="1010">
        <v>3.0</v>
      </c>
      <c r="L37" s="1002" t="s">
        <v>5171</v>
      </c>
      <c r="M37" s="1010">
        <v>3.0</v>
      </c>
      <c r="N37" s="1001" t="s">
        <v>5171</v>
      </c>
      <c r="O37" s="1010">
        <v>3.0</v>
      </c>
      <c r="P37" s="1001" t="s">
        <v>5171</v>
      </c>
      <c r="Q37" s="1010">
        <v>3.0</v>
      </c>
      <c r="R37" s="633">
        <f>_xlfn.MODE.SNGL(B37:Q41)</f>
        <v>3</v>
      </c>
    </row>
    <row r="38">
      <c r="A38" s="536"/>
      <c r="B38" s="539"/>
      <c r="C38" s="538"/>
      <c r="D38" s="538"/>
      <c r="E38" s="538"/>
      <c r="F38" s="538"/>
      <c r="G38" s="422"/>
      <c r="H38" s="538"/>
      <c r="I38" s="538"/>
      <c r="J38" s="538"/>
      <c r="K38" s="539"/>
      <c r="L38" s="539"/>
      <c r="M38" s="539"/>
      <c r="N38" s="538"/>
      <c r="O38" s="539"/>
      <c r="P38" s="538"/>
      <c r="Q38" s="539"/>
      <c r="R38" s="538"/>
    </row>
    <row r="39">
      <c r="A39" s="536"/>
      <c r="B39" s="539"/>
      <c r="C39" s="538"/>
      <c r="D39" s="538"/>
      <c r="E39" s="538"/>
      <c r="F39" s="538"/>
      <c r="G39" s="422"/>
      <c r="H39" s="538"/>
      <c r="I39" s="538"/>
      <c r="J39" s="538"/>
      <c r="K39" s="539"/>
      <c r="L39" s="539"/>
      <c r="M39" s="539"/>
      <c r="N39" s="538"/>
      <c r="O39" s="539"/>
      <c r="P39" s="538"/>
      <c r="Q39" s="539"/>
      <c r="R39" s="538"/>
    </row>
    <row r="40">
      <c r="A40" s="536"/>
      <c r="B40" s="539"/>
      <c r="C40" s="538"/>
      <c r="D40" s="538"/>
      <c r="E40" s="538"/>
      <c r="F40" s="538"/>
      <c r="G40" s="422"/>
      <c r="H40" s="538"/>
      <c r="I40" s="538"/>
      <c r="J40" s="538"/>
      <c r="K40" s="539"/>
      <c r="L40" s="539"/>
      <c r="M40" s="539"/>
      <c r="N40" s="538"/>
      <c r="O40" s="539"/>
      <c r="P40" s="538"/>
      <c r="Q40" s="539"/>
      <c r="R40" s="538"/>
    </row>
    <row r="41">
      <c r="A41" s="210"/>
      <c r="B41" s="440"/>
      <c r="C41" s="213"/>
      <c r="D41" s="213"/>
      <c r="E41" s="213"/>
      <c r="F41" s="213"/>
      <c r="G41" s="1005"/>
      <c r="H41" s="213"/>
      <c r="I41" s="213"/>
      <c r="J41" s="213"/>
      <c r="K41" s="440"/>
      <c r="L41" s="440"/>
      <c r="M41" s="440"/>
      <c r="N41" s="213"/>
      <c r="O41" s="440"/>
      <c r="P41" s="213"/>
      <c r="Q41" s="440"/>
      <c r="R41" s="213"/>
    </row>
    <row r="42">
      <c r="A42" s="541"/>
      <c r="B42" s="996"/>
      <c r="C42" s="996"/>
      <c r="D42" s="996"/>
      <c r="E42" s="996"/>
      <c r="F42" s="996"/>
      <c r="G42" s="997"/>
      <c r="H42" s="996"/>
      <c r="I42" s="996"/>
      <c r="J42" s="996"/>
      <c r="K42" s="996"/>
      <c r="L42" s="996"/>
      <c r="M42" s="996"/>
      <c r="N42" s="996"/>
      <c r="O42" s="996"/>
      <c r="P42" s="996"/>
      <c r="Q42" s="996"/>
      <c r="R42" s="998">
        <f>R43</f>
        <v>5</v>
      </c>
    </row>
    <row r="43">
      <c r="A43" s="999" t="s">
        <v>1638</v>
      </c>
      <c r="B43" s="1000" t="s">
        <v>5172</v>
      </c>
      <c r="C43" s="633">
        <v>5.0</v>
      </c>
      <c r="D43" s="1001" t="s">
        <v>5173</v>
      </c>
      <c r="E43" s="633">
        <v>4.0</v>
      </c>
      <c r="F43" s="1001" t="s">
        <v>5174</v>
      </c>
      <c r="G43" s="1003">
        <v>5.0</v>
      </c>
      <c r="H43" s="1001" t="s">
        <v>5175</v>
      </c>
      <c r="I43" s="633">
        <v>5.0</v>
      </c>
      <c r="J43" s="1001" t="s">
        <v>5176</v>
      </c>
      <c r="K43" s="633">
        <v>5.0</v>
      </c>
      <c r="L43" s="1001" t="s">
        <v>5177</v>
      </c>
      <c r="M43" s="633">
        <v>4.0</v>
      </c>
      <c r="N43" s="1001" t="s">
        <v>5178</v>
      </c>
      <c r="O43" s="633">
        <v>3.0</v>
      </c>
      <c r="P43" s="1004" t="s">
        <v>5179</v>
      </c>
      <c r="Q43" s="633">
        <v>3.0</v>
      </c>
      <c r="R43" s="633">
        <f>_xlfn.MODE.SNGL(B43:Q47)</f>
        <v>5</v>
      </c>
    </row>
    <row r="44">
      <c r="A44" s="536"/>
      <c r="B44" s="539"/>
      <c r="C44" s="538"/>
      <c r="D44" s="538"/>
      <c r="E44" s="538"/>
      <c r="F44" s="538"/>
      <c r="G44" s="422"/>
      <c r="H44" s="538"/>
      <c r="I44" s="538"/>
      <c r="J44" s="538"/>
      <c r="K44" s="538"/>
      <c r="L44" s="538"/>
      <c r="M44" s="538"/>
      <c r="N44" s="538"/>
      <c r="O44" s="538"/>
      <c r="P44" s="538"/>
      <c r="Q44" s="538"/>
      <c r="R44" s="538"/>
    </row>
    <row r="45">
      <c r="A45" s="536"/>
      <c r="B45" s="539"/>
      <c r="C45" s="538"/>
      <c r="D45" s="538"/>
      <c r="E45" s="538"/>
      <c r="F45" s="538"/>
      <c r="G45" s="422"/>
      <c r="H45" s="538"/>
      <c r="I45" s="538"/>
      <c r="J45" s="538"/>
      <c r="K45" s="538"/>
      <c r="L45" s="538"/>
      <c r="M45" s="538"/>
      <c r="N45" s="538"/>
      <c r="O45" s="538"/>
      <c r="P45" s="538"/>
      <c r="Q45" s="538"/>
      <c r="R45" s="538"/>
    </row>
    <row r="46">
      <c r="A46" s="536"/>
      <c r="B46" s="539"/>
      <c r="C46" s="538"/>
      <c r="D46" s="538"/>
      <c r="E46" s="538"/>
      <c r="F46" s="538"/>
      <c r="G46" s="422"/>
      <c r="H46" s="538"/>
      <c r="I46" s="538"/>
      <c r="J46" s="538"/>
      <c r="K46" s="538"/>
      <c r="L46" s="538"/>
      <c r="M46" s="538"/>
      <c r="N46" s="538"/>
      <c r="O46" s="538"/>
      <c r="P46" s="538"/>
      <c r="Q46" s="538"/>
      <c r="R46" s="538"/>
    </row>
    <row r="47">
      <c r="A47" s="210"/>
      <c r="B47" s="440"/>
      <c r="C47" s="213"/>
      <c r="D47" s="213"/>
      <c r="E47" s="213"/>
      <c r="F47" s="213"/>
      <c r="G47" s="1005"/>
      <c r="H47" s="213"/>
      <c r="I47" s="213"/>
      <c r="J47" s="213"/>
      <c r="K47" s="213"/>
      <c r="L47" s="213"/>
      <c r="M47" s="213"/>
      <c r="N47" s="213"/>
      <c r="O47" s="213"/>
      <c r="P47" s="213"/>
      <c r="Q47" s="213"/>
      <c r="R47" s="213"/>
    </row>
    <row r="48">
      <c r="A48" s="541"/>
      <c r="B48" s="996"/>
      <c r="C48" s="996"/>
      <c r="D48" s="996"/>
      <c r="E48" s="996"/>
      <c r="F48" s="996"/>
      <c r="G48" s="997"/>
      <c r="H48" s="996"/>
      <c r="I48" s="996"/>
      <c r="J48" s="996"/>
      <c r="K48" s="996"/>
      <c r="L48" s="996"/>
      <c r="M48" s="996"/>
      <c r="N48" s="996"/>
      <c r="O48" s="996"/>
      <c r="P48" s="996"/>
      <c r="Q48" s="996"/>
      <c r="R48" s="998">
        <f>AVERAGE(R49:R63)</f>
        <v>3.666666667</v>
      </c>
    </row>
    <row r="49">
      <c r="A49" s="999" t="s">
        <v>1638</v>
      </c>
      <c r="B49" s="1000" t="s">
        <v>5180</v>
      </c>
      <c r="C49" s="633">
        <v>5.0</v>
      </c>
      <c r="D49" s="1001" t="s">
        <v>5181</v>
      </c>
      <c r="E49" s="633">
        <v>4.0</v>
      </c>
      <c r="F49" s="1001" t="s">
        <v>5182</v>
      </c>
      <c r="G49" s="1003">
        <v>4.0</v>
      </c>
      <c r="H49" s="1001" t="s">
        <v>5183</v>
      </c>
      <c r="I49" s="633">
        <v>5.0</v>
      </c>
      <c r="J49" s="594" t="s">
        <v>5184</v>
      </c>
      <c r="K49" s="633">
        <v>5.0</v>
      </c>
      <c r="L49" s="1001" t="s">
        <v>5185</v>
      </c>
      <c r="M49" s="633">
        <v>3.0</v>
      </c>
      <c r="N49" s="1001" t="s">
        <v>5186</v>
      </c>
      <c r="O49" s="633">
        <v>3.0</v>
      </c>
      <c r="P49" s="1001" t="s">
        <v>5187</v>
      </c>
      <c r="Q49" s="633">
        <v>3.0</v>
      </c>
      <c r="R49" s="633">
        <f>_xlfn.MODE.SNGL(B49:Q53)</f>
        <v>5</v>
      </c>
    </row>
    <row r="50">
      <c r="A50" s="536"/>
      <c r="B50" s="539"/>
      <c r="C50" s="538"/>
      <c r="D50" s="538"/>
      <c r="E50" s="538"/>
      <c r="F50" s="538"/>
      <c r="G50" s="422"/>
      <c r="H50" s="538"/>
      <c r="I50" s="538"/>
      <c r="J50" s="538"/>
      <c r="K50" s="538"/>
      <c r="L50" s="538"/>
      <c r="M50" s="538"/>
      <c r="N50" s="538"/>
      <c r="O50" s="538"/>
      <c r="P50" s="538"/>
      <c r="Q50" s="538"/>
      <c r="R50" s="538"/>
    </row>
    <row r="51">
      <c r="A51" s="536"/>
      <c r="B51" s="539"/>
      <c r="C51" s="538"/>
      <c r="D51" s="538"/>
      <c r="E51" s="538"/>
      <c r="F51" s="538"/>
      <c r="G51" s="422"/>
      <c r="H51" s="538"/>
      <c r="I51" s="538"/>
      <c r="J51" s="538"/>
      <c r="K51" s="538"/>
      <c r="L51" s="538"/>
      <c r="M51" s="538"/>
      <c r="N51" s="538"/>
      <c r="O51" s="538"/>
      <c r="P51" s="538"/>
      <c r="Q51" s="538"/>
      <c r="R51" s="538"/>
    </row>
    <row r="52">
      <c r="A52" s="536"/>
      <c r="B52" s="539"/>
      <c r="C52" s="538"/>
      <c r="D52" s="538"/>
      <c r="E52" s="538"/>
      <c r="F52" s="538"/>
      <c r="G52" s="422"/>
      <c r="H52" s="538"/>
      <c r="I52" s="538"/>
      <c r="J52" s="538"/>
      <c r="K52" s="538"/>
      <c r="L52" s="538"/>
      <c r="M52" s="538"/>
      <c r="N52" s="538"/>
      <c r="O52" s="538"/>
      <c r="P52" s="538"/>
      <c r="Q52" s="538"/>
      <c r="R52" s="538"/>
    </row>
    <row r="53">
      <c r="A53" s="210"/>
      <c r="B53" s="440"/>
      <c r="C53" s="213"/>
      <c r="D53" s="213"/>
      <c r="E53" s="213"/>
      <c r="F53" s="213"/>
      <c r="G53" s="1005"/>
      <c r="H53" s="213"/>
      <c r="I53" s="213"/>
      <c r="J53" s="213"/>
      <c r="K53" s="213"/>
      <c r="L53" s="213"/>
      <c r="M53" s="213"/>
      <c r="N53" s="213"/>
      <c r="O53" s="213"/>
      <c r="P53" s="213"/>
      <c r="Q53" s="213"/>
      <c r="R53" s="213"/>
    </row>
    <row r="54">
      <c r="A54" s="999" t="s">
        <v>1638</v>
      </c>
      <c r="B54" s="1007" t="s">
        <v>5188</v>
      </c>
      <c r="C54" s="1013">
        <v>3.0</v>
      </c>
      <c r="D54" s="1001" t="s">
        <v>5189</v>
      </c>
      <c r="E54" s="633">
        <v>3.0</v>
      </c>
      <c r="F54" s="1001" t="s">
        <v>5190</v>
      </c>
      <c r="G54" s="1003">
        <v>4.0</v>
      </c>
      <c r="H54" s="1001" t="s">
        <v>5191</v>
      </c>
      <c r="I54" s="633">
        <v>4.0</v>
      </c>
      <c r="J54" s="1001" t="s">
        <v>5192</v>
      </c>
      <c r="K54" s="633">
        <v>2.0</v>
      </c>
      <c r="L54" s="1002" t="s">
        <v>5193</v>
      </c>
      <c r="M54" s="633">
        <v>2.0</v>
      </c>
      <c r="N54" s="1001" t="s">
        <v>5194</v>
      </c>
      <c r="O54" s="633">
        <v>3.0</v>
      </c>
      <c r="P54" s="1011" t="s">
        <v>5195</v>
      </c>
      <c r="Q54" s="633">
        <v>3.0</v>
      </c>
      <c r="R54" s="633">
        <f>_xlfn.MODE.SNGL(B54:Q58)</f>
        <v>3</v>
      </c>
    </row>
    <row r="55">
      <c r="A55" s="536"/>
      <c r="B55" s="539"/>
      <c r="C55" s="539"/>
      <c r="D55" s="538"/>
      <c r="E55" s="538"/>
      <c r="F55" s="538"/>
      <c r="G55" s="422"/>
      <c r="H55" s="538"/>
      <c r="I55" s="538"/>
      <c r="J55" s="538"/>
      <c r="K55" s="538"/>
      <c r="L55" s="539"/>
      <c r="M55" s="538"/>
      <c r="N55" s="538"/>
      <c r="O55" s="538"/>
      <c r="P55" s="539"/>
      <c r="Q55" s="538"/>
      <c r="R55" s="538"/>
    </row>
    <row r="56">
      <c r="A56" s="536"/>
      <c r="B56" s="539"/>
      <c r="C56" s="539"/>
      <c r="D56" s="538"/>
      <c r="E56" s="538"/>
      <c r="F56" s="538"/>
      <c r="G56" s="422"/>
      <c r="H56" s="538"/>
      <c r="I56" s="538"/>
      <c r="J56" s="538"/>
      <c r="K56" s="538"/>
      <c r="L56" s="539"/>
      <c r="M56" s="538"/>
      <c r="N56" s="538"/>
      <c r="O56" s="538"/>
      <c r="P56" s="539"/>
      <c r="Q56" s="538"/>
      <c r="R56" s="538"/>
    </row>
    <row r="57">
      <c r="A57" s="536"/>
      <c r="B57" s="539"/>
      <c r="C57" s="539"/>
      <c r="D57" s="538"/>
      <c r="E57" s="538"/>
      <c r="F57" s="538"/>
      <c r="G57" s="422"/>
      <c r="H57" s="538"/>
      <c r="I57" s="538"/>
      <c r="J57" s="538"/>
      <c r="K57" s="538"/>
      <c r="L57" s="539"/>
      <c r="M57" s="538"/>
      <c r="N57" s="538"/>
      <c r="O57" s="538"/>
      <c r="P57" s="539"/>
      <c r="Q57" s="538"/>
      <c r="R57" s="538"/>
    </row>
    <row r="58">
      <c r="A58" s="210"/>
      <c r="B58" s="440"/>
      <c r="C58" s="440"/>
      <c r="D58" s="213"/>
      <c r="E58" s="213"/>
      <c r="F58" s="213"/>
      <c r="G58" s="1005"/>
      <c r="H58" s="213"/>
      <c r="I58" s="213"/>
      <c r="J58" s="213"/>
      <c r="K58" s="213"/>
      <c r="L58" s="440"/>
      <c r="M58" s="213"/>
      <c r="N58" s="213"/>
      <c r="O58" s="213"/>
      <c r="P58" s="440"/>
      <c r="Q58" s="213"/>
      <c r="R58" s="213"/>
    </row>
    <row r="59">
      <c r="A59" s="999" t="s">
        <v>1638</v>
      </c>
      <c r="B59" s="1014" t="s">
        <v>5196</v>
      </c>
      <c r="C59" s="633">
        <v>3.0</v>
      </c>
      <c r="D59" s="1001" t="s">
        <v>5197</v>
      </c>
      <c r="E59" s="633">
        <v>4.0</v>
      </c>
      <c r="F59" s="1001" t="s">
        <v>5198</v>
      </c>
      <c r="G59" s="1003">
        <v>4.0</v>
      </c>
      <c r="H59" s="1001" t="s">
        <v>5199</v>
      </c>
      <c r="I59" s="633">
        <v>4.0</v>
      </c>
      <c r="J59" s="1001" t="s">
        <v>5200</v>
      </c>
      <c r="K59" s="633">
        <v>2.0</v>
      </c>
      <c r="L59" s="1002" t="s">
        <v>5201</v>
      </c>
      <c r="M59" s="633">
        <v>2.0</v>
      </c>
      <c r="N59" s="1001" t="s">
        <v>5194</v>
      </c>
      <c r="O59" s="633">
        <v>3.0</v>
      </c>
      <c r="P59" s="1011" t="s">
        <v>5201</v>
      </c>
      <c r="Q59" s="633">
        <v>3.0</v>
      </c>
      <c r="R59" s="1015">
        <f>_xlfn.MODE.SNGL(B59:Q63)</f>
        <v>3</v>
      </c>
    </row>
    <row r="60">
      <c r="A60" s="536"/>
      <c r="B60" s="539"/>
      <c r="C60" s="538"/>
      <c r="D60" s="538"/>
      <c r="E60" s="538"/>
      <c r="F60" s="538"/>
      <c r="G60" s="422"/>
      <c r="H60" s="538"/>
      <c r="I60" s="538"/>
      <c r="J60" s="538"/>
      <c r="K60" s="538"/>
      <c r="L60" s="539"/>
      <c r="M60" s="538"/>
      <c r="N60" s="538"/>
      <c r="O60" s="538"/>
      <c r="P60" s="539"/>
      <c r="Q60" s="538"/>
      <c r="R60" s="539"/>
    </row>
    <row r="61">
      <c r="A61" s="536"/>
      <c r="B61" s="539"/>
      <c r="C61" s="538"/>
      <c r="D61" s="538"/>
      <c r="E61" s="538"/>
      <c r="F61" s="538"/>
      <c r="G61" s="422"/>
      <c r="H61" s="538"/>
      <c r="I61" s="538"/>
      <c r="J61" s="538"/>
      <c r="K61" s="538"/>
      <c r="L61" s="539"/>
      <c r="M61" s="538"/>
      <c r="N61" s="538"/>
      <c r="O61" s="538"/>
      <c r="P61" s="539"/>
      <c r="Q61" s="538"/>
      <c r="R61" s="539"/>
    </row>
    <row r="62">
      <c r="A62" s="536"/>
      <c r="B62" s="539"/>
      <c r="C62" s="538"/>
      <c r="D62" s="538"/>
      <c r="E62" s="538"/>
      <c r="F62" s="538"/>
      <c r="G62" s="422"/>
      <c r="H62" s="538"/>
      <c r="I62" s="538"/>
      <c r="J62" s="538"/>
      <c r="K62" s="538"/>
      <c r="L62" s="539"/>
      <c r="M62" s="538"/>
      <c r="N62" s="538"/>
      <c r="O62" s="538"/>
      <c r="P62" s="539"/>
      <c r="Q62" s="538"/>
      <c r="R62" s="539"/>
    </row>
    <row r="63">
      <c r="A63" s="210"/>
      <c r="B63" s="440"/>
      <c r="C63" s="213"/>
      <c r="D63" s="213"/>
      <c r="E63" s="213"/>
      <c r="F63" s="213"/>
      <c r="G63" s="1005"/>
      <c r="H63" s="213"/>
      <c r="I63" s="213"/>
      <c r="J63" s="213"/>
      <c r="K63" s="213"/>
      <c r="L63" s="440"/>
      <c r="M63" s="213"/>
      <c r="N63" s="213"/>
      <c r="O63" s="213"/>
      <c r="P63" s="440"/>
      <c r="Q63" s="213"/>
      <c r="R63" s="440"/>
    </row>
    <row r="64">
      <c r="A64" s="541"/>
      <c r="B64" s="996"/>
      <c r="C64" s="996"/>
      <c r="D64" s="996"/>
      <c r="E64" s="996"/>
      <c r="F64" s="996"/>
      <c r="G64" s="997"/>
      <c r="H64" s="996"/>
      <c r="I64" s="996"/>
      <c r="J64" s="996"/>
      <c r="K64" s="996"/>
      <c r="L64" s="996"/>
      <c r="M64" s="996"/>
      <c r="N64" s="996"/>
      <c r="O64" s="996"/>
      <c r="P64" s="996"/>
      <c r="Q64" s="996"/>
      <c r="R64" s="998">
        <f>R65</f>
        <v>3</v>
      </c>
    </row>
    <row r="65">
      <c r="A65" s="999" t="s">
        <v>1638</v>
      </c>
      <c r="B65" s="1000" t="s">
        <v>5202</v>
      </c>
      <c r="C65" s="633">
        <v>3.0</v>
      </c>
      <c r="D65" s="1001" t="s">
        <v>5203</v>
      </c>
      <c r="E65" s="633">
        <v>3.0</v>
      </c>
      <c r="F65" s="1001" t="s">
        <v>5203</v>
      </c>
      <c r="G65" s="1003">
        <v>3.0</v>
      </c>
      <c r="H65" s="1001" t="s">
        <v>5204</v>
      </c>
      <c r="I65" s="633">
        <v>3.0</v>
      </c>
      <c r="J65" s="1001" t="s">
        <v>5205</v>
      </c>
      <c r="K65" s="1010">
        <v>3.0</v>
      </c>
      <c r="L65" s="1002" t="s">
        <v>5206</v>
      </c>
      <c r="M65" s="1010">
        <v>3.0</v>
      </c>
      <c r="N65" s="1001" t="s">
        <v>5207</v>
      </c>
      <c r="O65" s="1010">
        <v>3.0</v>
      </c>
      <c r="P65" s="1001" t="s">
        <v>5206</v>
      </c>
      <c r="Q65" s="1010">
        <v>3.0</v>
      </c>
      <c r="R65" s="633">
        <f>_xlfn.MODE.SNGL(B65:Q69)</f>
        <v>3</v>
      </c>
    </row>
    <row r="66">
      <c r="A66" s="536"/>
      <c r="B66" s="539"/>
      <c r="C66" s="538"/>
      <c r="D66" s="538"/>
      <c r="E66" s="538"/>
      <c r="F66" s="538"/>
      <c r="G66" s="422"/>
      <c r="H66" s="538"/>
      <c r="I66" s="538"/>
      <c r="J66" s="538"/>
      <c r="K66" s="539"/>
      <c r="L66" s="539"/>
      <c r="M66" s="539"/>
      <c r="N66" s="538"/>
      <c r="O66" s="539"/>
      <c r="P66" s="538"/>
      <c r="Q66" s="539"/>
      <c r="R66" s="538"/>
    </row>
    <row r="67">
      <c r="A67" s="536"/>
      <c r="B67" s="539"/>
      <c r="C67" s="538"/>
      <c r="D67" s="538"/>
      <c r="E67" s="538"/>
      <c r="F67" s="538"/>
      <c r="G67" s="422"/>
      <c r="H67" s="538"/>
      <c r="I67" s="538"/>
      <c r="J67" s="538"/>
      <c r="K67" s="539"/>
      <c r="L67" s="539"/>
      <c r="M67" s="539"/>
      <c r="N67" s="538"/>
      <c r="O67" s="539"/>
      <c r="P67" s="538"/>
      <c r="Q67" s="539"/>
      <c r="R67" s="538"/>
    </row>
    <row r="68">
      <c r="A68" s="536"/>
      <c r="B68" s="539"/>
      <c r="C68" s="538"/>
      <c r="D68" s="538"/>
      <c r="E68" s="538"/>
      <c r="F68" s="538"/>
      <c r="G68" s="422"/>
      <c r="H68" s="538"/>
      <c r="I68" s="538"/>
      <c r="J68" s="538"/>
      <c r="K68" s="539"/>
      <c r="L68" s="539"/>
      <c r="M68" s="539"/>
      <c r="N68" s="538"/>
      <c r="O68" s="539"/>
      <c r="P68" s="538"/>
      <c r="Q68" s="539"/>
      <c r="R68" s="538"/>
    </row>
    <row r="69">
      <c r="A69" s="210"/>
      <c r="B69" s="440"/>
      <c r="C69" s="213"/>
      <c r="D69" s="213"/>
      <c r="E69" s="213"/>
      <c r="F69" s="213"/>
      <c r="G69" s="1005"/>
      <c r="H69" s="213"/>
      <c r="I69" s="213"/>
      <c r="J69" s="213"/>
      <c r="K69" s="440"/>
      <c r="L69" s="440"/>
      <c r="M69" s="440"/>
      <c r="N69" s="213"/>
      <c r="O69" s="440"/>
      <c r="P69" s="213"/>
      <c r="Q69" s="440"/>
      <c r="R69" s="213"/>
    </row>
    <row r="70">
      <c r="A70" s="541"/>
      <c r="B70" s="996"/>
      <c r="C70" s="996"/>
      <c r="D70" s="996"/>
      <c r="E70" s="996"/>
      <c r="F70" s="996"/>
      <c r="G70" s="997"/>
      <c r="H70" s="996"/>
      <c r="I70" s="996"/>
      <c r="J70" s="996"/>
      <c r="K70" s="996"/>
      <c r="L70" s="996"/>
      <c r="M70" s="996"/>
      <c r="N70" s="996"/>
      <c r="O70" s="996"/>
      <c r="P70" s="996"/>
      <c r="Q70" s="996"/>
      <c r="R70" s="998">
        <f>AVERAGE(R71:R80)</f>
        <v>3</v>
      </c>
    </row>
    <row r="71">
      <c r="A71" s="999" t="s">
        <v>1638</v>
      </c>
      <c r="B71" s="1000" t="s">
        <v>5208</v>
      </c>
      <c r="C71" s="633">
        <v>5.0</v>
      </c>
      <c r="D71" s="1016" t="s">
        <v>5209</v>
      </c>
      <c r="E71" s="633">
        <v>4.0</v>
      </c>
      <c r="F71" s="1002" t="s">
        <v>5210</v>
      </c>
      <c r="G71" s="1003">
        <v>5.0</v>
      </c>
      <c r="H71" s="1001" t="s">
        <v>5211</v>
      </c>
      <c r="I71" s="633">
        <v>3.0</v>
      </c>
      <c r="J71" s="594" t="s">
        <v>5212</v>
      </c>
      <c r="K71" s="633">
        <v>5.0</v>
      </c>
      <c r="L71" s="1001" t="s">
        <v>5213</v>
      </c>
      <c r="M71" s="633">
        <v>3.0</v>
      </c>
      <c r="N71" s="1001" t="s">
        <v>5214</v>
      </c>
      <c r="O71" s="633">
        <v>3.0</v>
      </c>
      <c r="P71" s="1001" t="s">
        <v>5215</v>
      </c>
      <c r="Q71" s="633">
        <v>3.0</v>
      </c>
      <c r="R71" s="633">
        <f>_xlfn.MODE.SNGL(B71:Q75)</f>
        <v>3</v>
      </c>
    </row>
    <row r="72">
      <c r="A72" s="536"/>
      <c r="B72" s="539"/>
      <c r="C72" s="538"/>
      <c r="D72" s="539"/>
      <c r="E72" s="538"/>
      <c r="F72" s="539"/>
      <c r="G72" s="422"/>
      <c r="H72" s="538"/>
      <c r="I72" s="538"/>
      <c r="J72" s="538"/>
      <c r="K72" s="538"/>
      <c r="L72" s="538"/>
      <c r="M72" s="538"/>
      <c r="N72" s="538"/>
      <c r="O72" s="538"/>
      <c r="P72" s="538"/>
      <c r="Q72" s="538"/>
      <c r="R72" s="538"/>
    </row>
    <row r="73">
      <c r="A73" s="536"/>
      <c r="B73" s="539"/>
      <c r="C73" s="538"/>
      <c r="D73" s="539"/>
      <c r="E73" s="538"/>
      <c r="F73" s="539"/>
      <c r="G73" s="422"/>
      <c r="H73" s="538"/>
      <c r="I73" s="538"/>
      <c r="J73" s="538"/>
      <c r="K73" s="538"/>
      <c r="L73" s="538"/>
      <c r="M73" s="538"/>
      <c r="N73" s="538"/>
      <c r="O73" s="538"/>
      <c r="P73" s="538"/>
      <c r="Q73" s="538"/>
      <c r="R73" s="538"/>
    </row>
    <row r="74">
      <c r="A74" s="536"/>
      <c r="B74" s="539"/>
      <c r="C74" s="538"/>
      <c r="D74" s="539"/>
      <c r="E74" s="538"/>
      <c r="F74" s="539"/>
      <c r="G74" s="422"/>
      <c r="H74" s="538"/>
      <c r="I74" s="538"/>
      <c r="J74" s="538"/>
      <c r="K74" s="538"/>
      <c r="L74" s="538"/>
      <c r="M74" s="538"/>
      <c r="N74" s="538"/>
      <c r="O74" s="538"/>
      <c r="P74" s="538"/>
      <c r="Q74" s="538"/>
      <c r="R74" s="538"/>
    </row>
    <row r="75">
      <c r="A75" s="210"/>
      <c r="B75" s="440"/>
      <c r="C75" s="213"/>
      <c r="D75" s="440"/>
      <c r="E75" s="213"/>
      <c r="F75" s="440"/>
      <c r="G75" s="1005"/>
      <c r="H75" s="213"/>
      <c r="I75" s="213"/>
      <c r="J75" s="213"/>
      <c r="K75" s="213"/>
      <c r="L75" s="213"/>
      <c r="M75" s="213"/>
      <c r="N75" s="213"/>
      <c r="O75" s="213"/>
      <c r="P75" s="213"/>
      <c r="Q75" s="213"/>
      <c r="R75" s="213"/>
    </row>
    <row r="76">
      <c r="A76" s="999" t="s">
        <v>1638</v>
      </c>
      <c r="B76" s="1000" t="s">
        <v>5216</v>
      </c>
      <c r="C76" s="1013">
        <v>3.0</v>
      </c>
      <c r="D76" s="1001" t="s">
        <v>5217</v>
      </c>
      <c r="E76" s="633">
        <v>3.0</v>
      </c>
      <c r="F76" s="1001" t="s">
        <v>5218</v>
      </c>
      <c r="G76" s="1003">
        <v>4.0</v>
      </c>
      <c r="H76" s="1001" t="s">
        <v>5219</v>
      </c>
      <c r="I76" s="633">
        <v>3.0</v>
      </c>
      <c r="J76" s="594" t="s">
        <v>5220</v>
      </c>
      <c r="K76" s="633">
        <v>3.0</v>
      </c>
      <c r="L76" s="1001" t="s">
        <v>5221</v>
      </c>
      <c r="M76" s="633">
        <v>3.0</v>
      </c>
      <c r="N76" s="1001" t="s">
        <v>5222</v>
      </c>
      <c r="O76" s="633">
        <v>1.0</v>
      </c>
      <c r="P76" s="1011" t="s">
        <v>5223</v>
      </c>
      <c r="Q76" s="633">
        <v>3.0</v>
      </c>
      <c r="R76" s="633">
        <f>_xlfn.MODE.SNGL(B76:Q80)</f>
        <v>3</v>
      </c>
    </row>
    <row r="77">
      <c r="A77" s="536"/>
      <c r="B77" s="539"/>
      <c r="C77" s="539"/>
      <c r="D77" s="538"/>
      <c r="E77" s="538"/>
      <c r="F77" s="538"/>
      <c r="G77" s="422"/>
      <c r="H77" s="538"/>
      <c r="I77" s="538"/>
      <c r="J77" s="538"/>
      <c r="K77" s="538"/>
      <c r="L77" s="538"/>
      <c r="M77" s="538"/>
      <c r="N77" s="538"/>
      <c r="O77" s="538"/>
      <c r="P77" s="539"/>
      <c r="Q77" s="538"/>
      <c r="R77" s="538"/>
    </row>
    <row r="78">
      <c r="A78" s="536"/>
      <c r="B78" s="539"/>
      <c r="C78" s="539"/>
      <c r="D78" s="538"/>
      <c r="E78" s="538"/>
      <c r="F78" s="538"/>
      <c r="G78" s="422"/>
      <c r="H78" s="538"/>
      <c r="I78" s="538"/>
      <c r="J78" s="538"/>
      <c r="K78" s="538"/>
      <c r="L78" s="538"/>
      <c r="M78" s="538"/>
      <c r="N78" s="538"/>
      <c r="O78" s="538"/>
      <c r="P78" s="539"/>
      <c r="Q78" s="538"/>
      <c r="R78" s="538"/>
    </row>
    <row r="79">
      <c r="A79" s="536"/>
      <c r="B79" s="539"/>
      <c r="C79" s="539"/>
      <c r="D79" s="538"/>
      <c r="E79" s="538"/>
      <c r="F79" s="538"/>
      <c r="G79" s="422"/>
      <c r="H79" s="538"/>
      <c r="I79" s="538"/>
      <c r="J79" s="538"/>
      <c r="K79" s="538"/>
      <c r="L79" s="538"/>
      <c r="M79" s="538"/>
      <c r="N79" s="538"/>
      <c r="O79" s="538"/>
      <c r="P79" s="539"/>
      <c r="Q79" s="538"/>
      <c r="R79" s="538"/>
    </row>
    <row r="80">
      <c r="A80" s="210"/>
      <c r="B80" s="440"/>
      <c r="C80" s="440"/>
      <c r="D80" s="213"/>
      <c r="E80" s="213"/>
      <c r="F80" s="213"/>
      <c r="G80" s="1005"/>
      <c r="H80" s="213"/>
      <c r="I80" s="213"/>
      <c r="J80" s="213"/>
      <c r="K80" s="213"/>
      <c r="L80" s="213"/>
      <c r="M80" s="213"/>
      <c r="N80" s="213"/>
      <c r="O80" s="213"/>
      <c r="P80" s="440"/>
      <c r="Q80" s="213"/>
      <c r="R80" s="213"/>
    </row>
    <row r="81">
      <c r="A81" s="541"/>
      <c r="B81" s="996"/>
      <c r="C81" s="996"/>
      <c r="D81" s="996"/>
      <c r="E81" s="996"/>
      <c r="F81" s="996"/>
      <c r="G81" s="997"/>
      <c r="H81" s="996"/>
      <c r="I81" s="996"/>
      <c r="J81" s="996"/>
      <c r="K81" s="996"/>
      <c r="L81" s="996"/>
      <c r="M81" s="996"/>
      <c r="N81" s="996"/>
      <c r="O81" s="996"/>
      <c r="P81" s="996"/>
      <c r="Q81" s="996"/>
      <c r="R81" s="998">
        <f>AVERAGE(R82:R96)</f>
        <v>3</v>
      </c>
    </row>
    <row r="82">
      <c r="A82" s="999" t="s">
        <v>1638</v>
      </c>
      <c r="B82" s="1007" t="s">
        <v>5224</v>
      </c>
      <c r="C82" s="633">
        <v>3.0</v>
      </c>
      <c r="D82" s="1001" t="s">
        <v>5225</v>
      </c>
      <c r="E82" s="633">
        <v>3.0</v>
      </c>
      <c r="F82" s="1001" t="s">
        <v>5226</v>
      </c>
      <c r="G82" s="1003">
        <v>4.0</v>
      </c>
      <c r="H82" s="1001" t="s">
        <v>5227</v>
      </c>
      <c r="I82" s="633">
        <v>3.0</v>
      </c>
      <c r="J82" s="1001" t="s">
        <v>5228</v>
      </c>
      <c r="K82" s="1010">
        <v>3.0</v>
      </c>
      <c r="L82" s="1002" t="s">
        <v>5229</v>
      </c>
      <c r="M82" s="1010">
        <v>3.0</v>
      </c>
      <c r="N82" s="1001" t="s">
        <v>5228</v>
      </c>
      <c r="O82" s="1010">
        <v>1.0</v>
      </c>
      <c r="P82" s="1011" t="s">
        <v>5228</v>
      </c>
      <c r="Q82" s="1010">
        <v>3.0</v>
      </c>
      <c r="R82" s="633">
        <f>_xlfn.MODE.SNGL(B82:Q86)</f>
        <v>3</v>
      </c>
    </row>
    <row r="83">
      <c r="A83" s="536"/>
      <c r="B83" s="539"/>
      <c r="C83" s="538"/>
      <c r="D83" s="538"/>
      <c r="E83" s="538"/>
      <c r="F83" s="538"/>
      <c r="G83" s="422"/>
      <c r="H83" s="538"/>
      <c r="I83" s="538"/>
      <c r="J83" s="538"/>
      <c r="K83" s="539"/>
      <c r="L83" s="539"/>
      <c r="M83" s="539"/>
      <c r="N83" s="538"/>
      <c r="O83" s="539"/>
      <c r="P83" s="539"/>
      <c r="Q83" s="539"/>
      <c r="R83" s="538"/>
    </row>
    <row r="84">
      <c r="A84" s="536"/>
      <c r="B84" s="539"/>
      <c r="C84" s="538"/>
      <c r="D84" s="538"/>
      <c r="E84" s="538"/>
      <c r="F84" s="538"/>
      <c r="G84" s="422"/>
      <c r="H84" s="538"/>
      <c r="I84" s="538"/>
      <c r="J84" s="538"/>
      <c r="K84" s="539"/>
      <c r="L84" s="539"/>
      <c r="M84" s="539"/>
      <c r="N84" s="538"/>
      <c r="O84" s="539"/>
      <c r="P84" s="539"/>
      <c r="Q84" s="539"/>
      <c r="R84" s="538"/>
    </row>
    <row r="85">
      <c r="A85" s="536"/>
      <c r="B85" s="539"/>
      <c r="C85" s="538"/>
      <c r="D85" s="538"/>
      <c r="E85" s="538"/>
      <c r="F85" s="538"/>
      <c r="G85" s="422"/>
      <c r="H85" s="538"/>
      <c r="I85" s="538"/>
      <c r="J85" s="538"/>
      <c r="K85" s="539"/>
      <c r="L85" s="539"/>
      <c r="M85" s="539"/>
      <c r="N85" s="538"/>
      <c r="O85" s="539"/>
      <c r="P85" s="539"/>
      <c r="Q85" s="539"/>
      <c r="R85" s="538"/>
    </row>
    <row r="86">
      <c r="A86" s="210"/>
      <c r="B86" s="440"/>
      <c r="C86" s="213"/>
      <c r="D86" s="213"/>
      <c r="E86" s="213"/>
      <c r="F86" s="213"/>
      <c r="G86" s="1005"/>
      <c r="H86" s="213"/>
      <c r="I86" s="213"/>
      <c r="J86" s="213"/>
      <c r="K86" s="440"/>
      <c r="L86" s="440"/>
      <c r="M86" s="440"/>
      <c r="N86" s="213"/>
      <c r="O86" s="440"/>
      <c r="P86" s="440"/>
      <c r="Q86" s="440"/>
      <c r="R86" s="213"/>
    </row>
    <row r="87">
      <c r="A87" s="999" t="s">
        <v>1638</v>
      </c>
      <c r="B87" s="1009" t="s">
        <v>5230</v>
      </c>
      <c r="C87" s="1017">
        <v>3.0</v>
      </c>
      <c r="D87" s="1001" t="s">
        <v>5231</v>
      </c>
      <c r="E87" s="633">
        <v>3.0</v>
      </c>
      <c r="F87" s="594" t="s">
        <v>5232</v>
      </c>
      <c r="G87" s="1003">
        <v>4.0</v>
      </c>
      <c r="H87" s="1001" t="s">
        <v>5233</v>
      </c>
      <c r="I87" s="633">
        <v>3.0</v>
      </c>
      <c r="J87" s="1001" t="s">
        <v>5231</v>
      </c>
      <c r="K87" s="1010">
        <v>3.0</v>
      </c>
      <c r="L87" s="1002" t="s">
        <v>5231</v>
      </c>
      <c r="M87" s="1010">
        <v>3.0</v>
      </c>
      <c r="N87" s="1001" t="s">
        <v>5231</v>
      </c>
      <c r="O87" s="1010">
        <v>1.0</v>
      </c>
      <c r="P87" s="1011" t="s">
        <v>5231</v>
      </c>
      <c r="Q87" s="1010">
        <v>4.0</v>
      </c>
      <c r="R87" s="633">
        <f>_xlfn.MODE.SNGL(B87:Q91)</f>
        <v>3</v>
      </c>
    </row>
    <row r="88">
      <c r="A88" s="536"/>
      <c r="B88" s="539"/>
      <c r="C88" s="539"/>
      <c r="D88" s="538"/>
      <c r="E88" s="538"/>
      <c r="F88" s="538"/>
      <c r="G88" s="422"/>
      <c r="H88" s="538"/>
      <c r="I88" s="538"/>
      <c r="J88" s="538"/>
      <c r="K88" s="539"/>
      <c r="L88" s="539"/>
      <c r="M88" s="539"/>
      <c r="N88" s="538"/>
      <c r="O88" s="539"/>
      <c r="P88" s="539"/>
      <c r="Q88" s="539"/>
      <c r="R88" s="538"/>
    </row>
    <row r="89">
      <c r="A89" s="536"/>
      <c r="B89" s="539"/>
      <c r="C89" s="539"/>
      <c r="D89" s="538"/>
      <c r="E89" s="538"/>
      <c r="F89" s="538"/>
      <c r="G89" s="422"/>
      <c r="H89" s="538"/>
      <c r="I89" s="538"/>
      <c r="J89" s="538"/>
      <c r="K89" s="539"/>
      <c r="L89" s="539"/>
      <c r="M89" s="539"/>
      <c r="N89" s="538"/>
      <c r="O89" s="539"/>
      <c r="P89" s="539"/>
      <c r="Q89" s="539"/>
      <c r="R89" s="538"/>
    </row>
    <row r="90">
      <c r="A90" s="536"/>
      <c r="B90" s="539"/>
      <c r="C90" s="539"/>
      <c r="D90" s="538"/>
      <c r="E90" s="538"/>
      <c r="F90" s="538"/>
      <c r="G90" s="422"/>
      <c r="H90" s="538"/>
      <c r="I90" s="538"/>
      <c r="J90" s="538"/>
      <c r="K90" s="539"/>
      <c r="L90" s="539"/>
      <c r="M90" s="539"/>
      <c r="N90" s="538"/>
      <c r="O90" s="539"/>
      <c r="P90" s="539"/>
      <c r="Q90" s="539"/>
      <c r="R90" s="538"/>
    </row>
    <row r="91">
      <c r="A91" s="210"/>
      <c r="B91" s="440"/>
      <c r="C91" s="440"/>
      <c r="D91" s="213"/>
      <c r="E91" s="213"/>
      <c r="F91" s="213"/>
      <c r="G91" s="1005"/>
      <c r="H91" s="213"/>
      <c r="I91" s="213"/>
      <c r="J91" s="213"/>
      <c r="K91" s="440"/>
      <c r="L91" s="440"/>
      <c r="M91" s="440"/>
      <c r="N91" s="213"/>
      <c r="O91" s="440"/>
      <c r="P91" s="440"/>
      <c r="Q91" s="440"/>
      <c r="R91" s="213"/>
    </row>
    <row r="92">
      <c r="A92" s="999" t="s">
        <v>1638</v>
      </c>
      <c r="B92" s="1009" t="s">
        <v>5234</v>
      </c>
      <c r="C92" s="633">
        <v>3.0</v>
      </c>
      <c r="D92" s="1001" t="s">
        <v>5235</v>
      </c>
      <c r="E92" s="633">
        <v>3.0</v>
      </c>
      <c r="F92" s="594" t="s">
        <v>5236</v>
      </c>
      <c r="G92" s="1003">
        <v>3.0</v>
      </c>
      <c r="H92" s="1001" t="s">
        <v>5237</v>
      </c>
      <c r="I92" s="633">
        <v>3.0</v>
      </c>
      <c r="J92" s="1001" t="s">
        <v>5238</v>
      </c>
      <c r="K92" s="1010">
        <v>3.0</v>
      </c>
      <c r="L92" s="1002" t="s">
        <v>5238</v>
      </c>
      <c r="M92" s="1010">
        <v>1.0</v>
      </c>
      <c r="N92" s="1001" t="s">
        <v>5238</v>
      </c>
      <c r="O92" s="1010">
        <v>1.0</v>
      </c>
      <c r="P92" s="1011" t="s">
        <v>5238</v>
      </c>
      <c r="Q92" s="1010">
        <v>3.0</v>
      </c>
      <c r="R92" s="633">
        <f>_xlfn.MODE.SNGL(B92:Q96)</f>
        <v>3</v>
      </c>
    </row>
    <row r="93">
      <c r="A93" s="536"/>
      <c r="B93" s="539"/>
      <c r="C93" s="538"/>
      <c r="D93" s="538"/>
      <c r="E93" s="538"/>
      <c r="F93" s="538"/>
      <c r="G93" s="422"/>
      <c r="H93" s="538"/>
      <c r="I93" s="538"/>
      <c r="J93" s="538"/>
      <c r="K93" s="539"/>
      <c r="L93" s="539"/>
      <c r="M93" s="539"/>
      <c r="N93" s="538"/>
      <c r="O93" s="539"/>
      <c r="P93" s="539"/>
      <c r="Q93" s="539"/>
      <c r="R93" s="538"/>
    </row>
    <row r="94">
      <c r="A94" s="536"/>
      <c r="B94" s="539"/>
      <c r="C94" s="538"/>
      <c r="D94" s="538"/>
      <c r="E94" s="538"/>
      <c r="F94" s="538"/>
      <c r="G94" s="422"/>
      <c r="H94" s="538"/>
      <c r="I94" s="538"/>
      <c r="J94" s="538"/>
      <c r="K94" s="539"/>
      <c r="L94" s="539"/>
      <c r="M94" s="539"/>
      <c r="N94" s="538"/>
      <c r="O94" s="539"/>
      <c r="P94" s="539"/>
      <c r="Q94" s="539"/>
      <c r="R94" s="538"/>
    </row>
    <row r="95">
      <c r="A95" s="536"/>
      <c r="B95" s="539"/>
      <c r="C95" s="538"/>
      <c r="D95" s="538"/>
      <c r="E95" s="538"/>
      <c r="F95" s="538"/>
      <c r="G95" s="422"/>
      <c r="H95" s="538"/>
      <c r="I95" s="538"/>
      <c r="J95" s="538"/>
      <c r="K95" s="539"/>
      <c r="L95" s="539"/>
      <c r="M95" s="539"/>
      <c r="N95" s="538"/>
      <c r="O95" s="539"/>
      <c r="P95" s="539"/>
      <c r="Q95" s="539"/>
      <c r="R95" s="538"/>
    </row>
    <row r="96">
      <c r="A96" s="210"/>
      <c r="B96" s="440"/>
      <c r="C96" s="213"/>
      <c r="D96" s="213"/>
      <c r="E96" s="213"/>
      <c r="F96" s="213"/>
      <c r="G96" s="1005"/>
      <c r="H96" s="213"/>
      <c r="I96" s="213"/>
      <c r="J96" s="213"/>
      <c r="K96" s="440"/>
      <c r="L96" s="440"/>
      <c r="M96" s="440"/>
      <c r="N96" s="213"/>
      <c r="O96" s="440"/>
      <c r="P96" s="440"/>
      <c r="Q96" s="440"/>
      <c r="R96" s="213"/>
    </row>
    <row r="97">
      <c r="A97" s="541"/>
      <c r="B97" s="996"/>
      <c r="C97" s="996"/>
      <c r="D97" s="996"/>
      <c r="E97" s="996"/>
      <c r="F97" s="996"/>
      <c r="G97" s="997"/>
      <c r="H97" s="996"/>
      <c r="I97" s="996"/>
      <c r="J97" s="996"/>
      <c r="K97" s="996"/>
      <c r="L97" s="996"/>
      <c r="M97" s="996"/>
      <c r="N97" s="996"/>
      <c r="O97" s="996"/>
      <c r="P97" s="996"/>
      <c r="Q97" s="996"/>
      <c r="R97" s="998">
        <f>AVERAGE(R98:R122)</f>
        <v>2.8</v>
      </c>
    </row>
    <row r="98">
      <c r="A98" s="999" t="s">
        <v>1638</v>
      </c>
      <c r="B98" s="1018" t="s">
        <v>5239</v>
      </c>
      <c r="C98" s="1019">
        <v>3.0</v>
      </c>
      <c r="D98" s="1020" t="s">
        <v>5240</v>
      </c>
      <c r="E98" s="1019">
        <v>4.0</v>
      </c>
      <c r="F98" s="1021" t="s">
        <v>5241</v>
      </c>
      <c r="G98" s="1022">
        <v>3.0</v>
      </c>
      <c r="H98" s="1020" t="s">
        <v>5242</v>
      </c>
      <c r="I98" s="1019">
        <v>3.0</v>
      </c>
      <c r="J98" s="1020" t="s">
        <v>5243</v>
      </c>
      <c r="K98" s="1019">
        <v>4.0</v>
      </c>
      <c r="L98" s="1020" t="s">
        <v>5243</v>
      </c>
      <c r="M98" s="1019">
        <v>5.0</v>
      </c>
      <c r="N98" s="1020" t="s">
        <v>5244</v>
      </c>
      <c r="O98" s="1019">
        <v>1.0</v>
      </c>
      <c r="P98" s="1023" t="s">
        <v>5243</v>
      </c>
      <c r="Q98" s="1019">
        <v>4.0</v>
      </c>
      <c r="R98" s="1019">
        <f>_xlfn.MODE.SNGL(B98:Q102)</f>
        <v>3</v>
      </c>
    </row>
    <row r="99">
      <c r="A99" s="536"/>
      <c r="B99" s="539"/>
      <c r="C99" s="539"/>
      <c r="D99" s="539"/>
      <c r="E99" s="539"/>
      <c r="F99" s="539"/>
      <c r="G99" s="1024"/>
      <c r="H99" s="539"/>
      <c r="I99" s="539"/>
      <c r="J99" s="539"/>
      <c r="K99" s="539"/>
      <c r="L99" s="539"/>
      <c r="M99" s="539"/>
      <c r="N99" s="539"/>
      <c r="O99" s="539"/>
      <c r="P99" s="539"/>
      <c r="Q99" s="539"/>
      <c r="R99" s="539"/>
    </row>
    <row r="100">
      <c r="A100" s="536"/>
      <c r="B100" s="539"/>
      <c r="C100" s="539"/>
      <c r="D100" s="539"/>
      <c r="E100" s="539"/>
      <c r="F100" s="539"/>
      <c r="G100" s="1024"/>
      <c r="H100" s="539"/>
      <c r="I100" s="539"/>
      <c r="J100" s="539"/>
      <c r="K100" s="539"/>
      <c r="L100" s="539"/>
      <c r="M100" s="539"/>
      <c r="N100" s="539"/>
      <c r="O100" s="539"/>
      <c r="P100" s="539"/>
      <c r="Q100" s="539"/>
      <c r="R100" s="539"/>
    </row>
    <row r="101">
      <c r="A101" s="536"/>
      <c r="B101" s="539"/>
      <c r="C101" s="539"/>
      <c r="D101" s="539"/>
      <c r="E101" s="539"/>
      <c r="F101" s="539"/>
      <c r="G101" s="1024"/>
      <c r="H101" s="539"/>
      <c r="I101" s="539"/>
      <c r="J101" s="539"/>
      <c r="K101" s="539"/>
      <c r="L101" s="539"/>
      <c r="M101" s="539"/>
      <c r="N101" s="539"/>
      <c r="O101" s="539"/>
      <c r="P101" s="539"/>
      <c r="Q101" s="539"/>
      <c r="R101" s="539"/>
    </row>
    <row r="102">
      <c r="A102" s="210"/>
      <c r="B102" s="440"/>
      <c r="C102" s="440"/>
      <c r="D102" s="440"/>
      <c r="E102" s="440"/>
      <c r="F102" s="440"/>
      <c r="G102" s="446"/>
      <c r="H102" s="440"/>
      <c r="I102" s="440"/>
      <c r="J102" s="440"/>
      <c r="K102" s="440"/>
      <c r="L102" s="440"/>
      <c r="M102" s="440"/>
      <c r="N102" s="440"/>
      <c r="O102" s="440"/>
      <c r="P102" s="440"/>
      <c r="Q102" s="440"/>
      <c r="R102" s="440"/>
    </row>
    <row r="103">
      <c r="A103" s="999" t="s">
        <v>1638</v>
      </c>
      <c r="B103" s="1018" t="s">
        <v>5245</v>
      </c>
      <c r="C103" s="1019">
        <v>3.0</v>
      </c>
      <c r="D103" s="1020" t="s">
        <v>5246</v>
      </c>
      <c r="E103" s="1019">
        <v>4.0</v>
      </c>
      <c r="F103" s="1021" t="s">
        <v>5247</v>
      </c>
      <c r="G103" s="1022">
        <v>4.0</v>
      </c>
      <c r="H103" s="1020" t="s">
        <v>5248</v>
      </c>
      <c r="I103" s="1019">
        <v>3.0</v>
      </c>
      <c r="J103" s="1020" t="s">
        <v>5246</v>
      </c>
      <c r="K103" s="1019">
        <v>4.0</v>
      </c>
      <c r="L103" s="1020" t="s">
        <v>5246</v>
      </c>
      <c r="M103" s="1019">
        <v>5.0</v>
      </c>
      <c r="N103" s="1020" t="s">
        <v>5246</v>
      </c>
      <c r="O103" s="1019">
        <v>1.0</v>
      </c>
      <c r="P103" s="1023" t="s">
        <v>5246</v>
      </c>
      <c r="Q103" s="1019">
        <v>4.0</v>
      </c>
      <c r="R103" s="1019">
        <f>_xlfn.MODE.SNGL(B103:Q107)</f>
        <v>4</v>
      </c>
    </row>
    <row r="104">
      <c r="A104" s="536"/>
      <c r="B104" s="539"/>
      <c r="C104" s="539"/>
      <c r="D104" s="539"/>
      <c r="E104" s="539"/>
      <c r="F104" s="539"/>
      <c r="G104" s="1024"/>
      <c r="H104" s="539"/>
      <c r="I104" s="539"/>
      <c r="J104" s="539"/>
      <c r="K104" s="539"/>
      <c r="L104" s="539"/>
      <c r="M104" s="539"/>
      <c r="N104" s="539"/>
      <c r="O104" s="539"/>
      <c r="P104" s="539"/>
      <c r="Q104" s="539"/>
      <c r="R104" s="539"/>
    </row>
    <row r="105">
      <c r="A105" s="536"/>
      <c r="B105" s="539"/>
      <c r="C105" s="539"/>
      <c r="D105" s="539"/>
      <c r="E105" s="539"/>
      <c r="F105" s="539"/>
      <c r="G105" s="1024"/>
      <c r="H105" s="539"/>
      <c r="I105" s="539"/>
      <c r="J105" s="539"/>
      <c r="K105" s="539"/>
      <c r="L105" s="539"/>
      <c r="M105" s="539"/>
      <c r="N105" s="539"/>
      <c r="O105" s="539"/>
      <c r="P105" s="539"/>
      <c r="Q105" s="539"/>
      <c r="R105" s="539"/>
    </row>
    <row r="106">
      <c r="A106" s="536"/>
      <c r="B106" s="539"/>
      <c r="C106" s="539"/>
      <c r="D106" s="539"/>
      <c r="E106" s="539"/>
      <c r="F106" s="539"/>
      <c r="G106" s="1024"/>
      <c r="H106" s="539"/>
      <c r="I106" s="539"/>
      <c r="J106" s="539"/>
      <c r="K106" s="539"/>
      <c r="L106" s="539"/>
      <c r="M106" s="539"/>
      <c r="N106" s="539"/>
      <c r="O106" s="539"/>
      <c r="P106" s="539"/>
      <c r="Q106" s="539"/>
      <c r="R106" s="539"/>
    </row>
    <row r="107">
      <c r="A107" s="210"/>
      <c r="B107" s="440"/>
      <c r="C107" s="440"/>
      <c r="D107" s="440"/>
      <c r="E107" s="440"/>
      <c r="F107" s="440"/>
      <c r="G107" s="446"/>
      <c r="H107" s="440"/>
      <c r="I107" s="440"/>
      <c r="J107" s="440"/>
      <c r="K107" s="440"/>
      <c r="L107" s="440"/>
      <c r="M107" s="440"/>
      <c r="N107" s="440"/>
      <c r="O107" s="440"/>
      <c r="P107" s="440"/>
      <c r="Q107" s="440"/>
      <c r="R107" s="440"/>
    </row>
    <row r="108">
      <c r="A108" s="999" t="s">
        <v>1638</v>
      </c>
      <c r="B108" s="1018" t="s">
        <v>5249</v>
      </c>
      <c r="C108" s="1019">
        <v>3.0</v>
      </c>
      <c r="D108" s="1020" t="s">
        <v>5250</v>
      </c>
      <c r="E108" s="1019">
        <v>4.0</v>
      </c>
      <c r="F108" s="1021" t="s">
        <v>5251</v>
      </c>
      <c r="G108" s="1022">
        <v>4.0</v>
      </c>
      <c r="H108" s="1020" t="s">
        <v>5252</v>
      </c>
      <c r="I108" s="1019">
        <v>3.0</v>
      </c>
      <c r="J108" s="1020" t="s">
        <v>5250</v>
      </c>
      <c r="K108" s="1019">
        <v>4.0</v>
      </c>
      <c r="L108" s="1020" t="s">
        <v>5250</v>
      </c>
      <c r="M108" s="1019">
        <v>5.0</v>
      </c>
      <c r="N108" s="1020" t="s">
        <v>5253</v>
      </c>
      <c r="O108" s="1019">
        <v>1.0</v>
      </c>
      <c r="P108" s="1023" t="s">
        <v>5250</v>
      </c>
      <c r="Q108" s="1019">
        <v>4.0</v>
      </c>
      <c r="R108" s="1019">
        <f>_xlfn.MODE.SNGL(B108:Q112)</f>
        <v>4</v>
      </c>
    </row>
    <row r="109">
      <c r="A109" s="536"/>
      <c r="B109" s="539"/>
      <c r="C109" s="539"/>
      <c r="D109" s="539"/>
      <c r="E109" s="539"/>
      <c r="F109" s="539"/>
      <c r="G109" s="1024"/>
      <c r="H109" s="539"/>
      <c r="I109" s="539"/>
      <c r="J109" s="539"/>
      <c r="K109" s="539"/>
      <c r="L109" s="539"/>
      <c r="M109" s="539"/>
      <c r="N109" s="539"/>
      <c r="O109" s="539"/>
      <c r="P109" s="539"/>
      <c r="Q109" s="539"/>
      <c r="R109" s="539"/>
    </row>
    <row r="110">
      <c r="A110" s="536"/>
      <c r="B110" s="539"/>
      <c r="C110" s="539"/>
      <c r="D110" s="539"/>
      <c r="E110" s="539"/>
      <c r="F110" s="539"/>
      <c r="G110" s="1024"/>
      <c r="H110" s="539"/>
      <c r="I110" s="539"/>
      <c r="J110" s="539"/>
      <c r="K110" s="539"/>
      <c r="L110" s="539"/>
      <c r="M110" s="539"/>
      <c r="N110" s="539"/>
      <c r="O110" s="539"/>
      <c r="P110" s="539"/>
      <c r="Q110" s="539"/>
      <c r="R110" s="539"/>
    </row>
    <row r="111">
      <c r="A111" s="536"/>
      <c r="B111" s="539"/>
      <c r="C111" s="539"/>
      <c r="D111" s="539"/>
      <c r="E111" s="539"/>
      <c r="F111" s="539"/>
      <c r="G111" s="1024"/>
      <c r="H111" s="539"/>
      <c r="I111" s="539"/>
      <c r="J111" s="539"/>
      <c r="K111" s="539"/>
      <c r="L111" s="539"/>
      <c r="M111" s="539"/>
      <c r="N111" s="539"/>
      <c r="O111" s="539"/>
      <c r="P111" s="539"/>
      <c r="Q111" s="539"/>
      <c r="R111" s="539"/>
    </row>
    <row r="112">
      <c r="A112" s="210"/>
      <c r="B112" s="440"/>
      <c r="C112" s="440"/>
      <c r="D112" s="440"/>
      <c r="E112" s="440"/>
      <c r="F112" s="440"/>
      <c r="G112" s="446"/>
      <c r="H112" s="440"/>
      <c r="I112" s="440"/>
      <c r="J112" s="440"/>
      <c r="K112" s="440"/>
      <c r="L112" s="440"/>
      <c r="M112" s="440"/>
      <c r="N112" s="440"/>
      <c r="O112" s="440"/>
      <c r="P112" s="440"/>
      <c r="Q112" s="440"/>
      <c r="R112" s="440"/>
    </row>
    <row r="113">
      <c r="A113" s="999" t="s">
        <v>1638</v>
      </c>
      <c r="B113" s="1018" t="s">
        <v>5254</v>
      </c>
      <c r="C113" s="1019">
        <v>2.0</v>
      </c>
      <c r="D113" s="1020" t="s">
        <v>5255</v>
      </c>
      <c r="E113" s="1019">
        <v>3.0</v>
      </c>
      <c r="F113" s="1020" t="s">
        <v>5256</v>
      </c>
      <c r="G113" s="1022">
        <v>4.0</v>
      </c>
      <c r="H113" s="1020" t="s">
        <v>5257</v>
      </c>
      <c r="I113" s="1019">
        <v>2.0</v>
      </c>
      <c r="J113" s="1020" t="s">
        <v>5258</v>
      </c>
      <c r="K113" s="1019">
        <v>2.0</v>
      </c>
      <c r="L113" s="1020" t="s">
        <v>5259</v>
      </c>
      <c r="M113" s="1019">
        <v>3.0</v>
      </c>
      <c r="N113" s="1021" t="s">
        <v>5260</v>
      </c>
      <c r="O113" s="1019">
        <v>1.0</v>
      </c>
      <c r="P113" s="1023" t="s">
        <v>5258</v>
      </c>
      <c r="Q113" s="1019">
        <v>4.0</v>
      </c>
      <c r="R113" s="1019">
        <f>_xlfn.MODE.SNGL(B113:Q117)</f>
        <v>2</v>
      </c>
    </row>
    <row r="114">
      <c r="A114" s="536"/>
      <c r="B114" s="539"/>
      <c r="C114" s="539"/>
      <c r="D114" s="539"/>
      <c r="E114" s="539"/>
      <c r="F114" s="539"/>
      <c r="G114" s="1024"/>
      <c r="H114" s="539"/>
      <c r="I114" s="539"/>
      <c r="J114" s="539"/>
      <c r="K114" s="539"/>
      <c r="L114" s="539"/>
      <c r="M114" s="539"/>
      <c r="N114" s="539"/>
      <c r="O114" s="539"/>
      <c r="P114" s="539"/>
      <c r="Q114" s="539"/>
      <c r="R114" s="539"/>
    </row>
    <row r="115">
      <c r="A115" s="536"/>
      <c r="B115" s="539"/>
      <c r="C115" s="539"/>
      <c r="D115" s="539"/>
      <c r="E115" s="539"/>
      <c r="F115" s="539"/>
      <c r="G115" s="1024"/>
      <c r="H115" s="539"/>
      <c r="I115" s="539"/>
      <c r="J115" s="539"/>
      <c r="K115" s="539"/>
      <c r="L115" s="539"/>
      <c r="M115" s="539"/>
      <c r="N115" s="539"/>
      <c r="O115" s="539"/>
      <c r="P115" s="539"/>
      <c r="Q115" s="539"/>
      <c r="R115" s="539"/>
    </row>
    <row r="116">
      <c r="A116" s="536"/>
      <c r="B116" s="539"/>
      <c r="C116" s="539"/>
      <c r="D116" s="539"/>
      <c r="E116" s="539"/>
      <c r="F116" s="539"/>
      <c r="G116" s="1024"/>
      <c r="H116" s="539"/>
      <c r="I116" s="539"/>
      <c r="J116" s="539"/>
      <c r="K116" s="539"/>
      <c r="L116" s="539"/>
      <c r="M116" s="539"/>
      <c r="N116" s="539"/>
      <c r="O116" s="539"/>
      <c r="P116" s="539"/>
      <c r="Q116" s="539"/>
      <c r="R116" s="539"/>
    </row>
    <row r="117">
      <c r="A117" s="210"/>
      <c r="B117" s="440"/>
      <c r="C117" s="440"/>
      <c r="D117" s="440"/>
      <c r="E117" s="440"/>
      <c r="F117" s="440"/>
      <c r="G117" s="446"/>
      <c r="H117" s="440"/>
      <c r="I117" s="440"/>
      <c r="J117" s="440"/>
      <c r="K117" s="440"/>
      <c r="L117" s="440"/>
      <c r="M117" s="440"/>
      <c r="N117" s="440"/>
      <c r="O117" s="440"/>
      <c r="P117" s="440"/>
      <c r="Q117" s="440"/>
      <c r="R117" s="440"/>
    </row>
    <row r="118">
      <c r="A118" s="999" t="s">
        <v>1638</v>
      </c>
      <c r="B118" s="1018" t="s">
        <v>5261</v>
      </c>
      <c r="C118" s="1019">
        <v>1.0</v>
      </c>
      <c r="D118" s="1020" t="s">
        <v>5262</v>
      </c>
      <c r="E118" s="1019">
        <v>3.0</v>
      </c>
      <c r="F118" s="1020" t="s">
        <v>5263</v>
      </c>
      <c r="G118" s="1022">
        <v>3.0</v>
      </c>
      <c r="H118" s="1020" t="s">
        <v>5264</v>
      </c>
      <c r="I118" s="1019">
        <v>1.0</v>
      </c>
      <c r="J118" s="1020" t="s">
        <v>5265</v>
      </c>
      <c r="K118" s="1019">
        <v>2.0</v>
      </c>
      <c r="L118" s="1020" t="s">
        <v>5266</v>
      </c>
      <c r="M118" s="1019">
        <v>1.0</v>
      </c>
      <c r="N118" s="1021" t="s">
        <v>5267</v>
      </c>
      <c r="O118" s="1019">
        <v>1.0</v>
      </c>
      <c r="P118" s="1023" t="s">
        <v>5265</v>
      </c>
      <c r="Q118" s="1019">
        <v>3.0</v>
      </c>
      <c r="R118" s="1019">
        <f>_xlfn.MODE.SNGL(B118:Q122)</f>
        <v>1</v>
      </c>
    </row>
    <row r="119">
      <c r="A119" s="536"/>
      <c r="B119" s="539"/>
      <c r="C119" s="539"/>
      <c r="D119" s="539"/>
      <c r="E119" s="539"/>
      <c r="F119" s="539"/>
      <c r="G119" s="1024"/>
      <c r="H119" s="539"/>
      <c r="I119" s="539"/>
      <c r="J119" s="539"/>
      <c r="K119" s="539"/>
      <c r="L119" s="539"/>
      <c r="M119" s="539"/>
      <c r="N119" s="539"/>
      <c r="O119" s="539"/>
      <c r="P119" s="539"/>
      <c r="Q119" s="539"/>
      <c r="R119" s="539"/>
    </row>
    <row r="120">
      <c r="A120" s="536"/>
      <c r="B120" s="539"/>
      <c r="C120" s="539"/>
      <c r="D120" s="539"/>
      <c r="E120" s="539"/>
      <c r="F120" s="539"/>
      <c r="G120" s="1024"/>
      <c r="H120" s="539"/>
      <c r="I120" s="539"/>
      <c r="J120" s="539"/>
      <c r="K120" s="539"/>
      <c r="L120" s="539"/>
      <c r="M120" s="539"/>
      <c r="N120" s="539"/>
      <c r="O120" s="539"/>
      <c r="P120" s="539"/>
      <c r="Q120" s="539"/>
      <c r="R120" s="539"/>
    </row>
    <row r="121">
      <c r="A121" s="536"/>
      <c r="B121" s="539"/>
      <c r="C121" s="539"/>
      <c r="D121" s="539"/>
      <c r="E121" s="539"/>
      <c r="F121" s="539"/>
      <c r="G121" s="1024"/>
      <c r="H121" s="539"/>
      <c r="I121" s="539"/>
      <c r="J121" s="539"/>
      <c r="K121" s="539"/>
      <c r="L121" s="539"/>
      <c r="M121" s="539"/>
      <c r="N121" s="539"/>
      <c r="O121" s="539"/>
      <c r="P121" s="539"/>
      <c r="Q121" s="539"/>
      <c r="R121" s="539"/>
    </row>
    <row r="122">
      <c r="A122" s="210"/>
      <c r="B122" s="440"/>
      <c r="C122" s="440"/>
      <c r="D122" s="440"/>
      <c r="E122" s="440"/>
      <c r="F122" s="440"/>
      <c r="G122" s="446"/>
      <c r="H122" s="440"/>
      <c r="I122" s="440"/>
      <c r="J122" s="440"/>
      <c r="K122" s="440"/>
      <c r="L122" s="440"/>
      <c r="M122" s="440"/>
      <c r="N122" s="440"/>
      <c r="O122" s="440"/>
      <c r="P122" s="440"/>
      <c r="Q122" s="440"/>
      <c r="R122" s="440"/>
    </row>
    <row r="123">
      <c r="A123" s="1025"/>
      <c r="B123" s="1026"/>
      <c r="C123" s="1026"/>
      <c r="D123" s="1026"/>
      <c r="E123" s="1026"/>
      <c r="F123" s="1026"/>
      <c r="G123" s="1027"/>
      <c r="H123" s="1026"/>
      <c r="I123" s="1026"/>
      <c r="J123" s="1026"/>
      <c r="K123" s="1026"/>
      <c r="L123" s="1026"/>
      <c r="M123" s="1026"/>
      <c r="N123" s="1026"/>
      <c r="O123" s="1026"/>
      <c r="P123" s="1026"/>
      <c r="Q123" s="1026"/>
      <c r="R123" s="1028">
        <f>R124</f>
        <v>4</v>
      </c>
    </row>
    <row r="124">
      <c r="A124" s="999" t="s">
        <v>1638</v>
      </c>
      <c r="B124" s="1018" t="s">
        <v>5268</v>
      </c>
      <c r="C124" s="1019">
        <v>3.0</v>
      </c>
      <c r="D124" s="1020" t="s">
        <v>5269</v>
      </c>
      <c r="E124" s="1019">
        <v>4.0</v>
      </c>
      <c r="F124" s="1021" t="s">
        <v>5270</v>
      </c>
      <c r="G124" s="1022">
        <v>5.0</v>
      </c>
      <c r="H124" s="1020" t="s">
        <v>5271</v>
      </c>
      <c r="I124" s="1019">
        <v>3.0</v>
      </c>
      <c r="J124" s="1020" t="s">
        <v>5272</v>
      </c>
      <c r="K124" s="1019">
        <v>4.0</v>
      </c>
      <c r="L124" s="1020" t="s">
        <v>5269</v>
      </c>
      <c r="M124" s="1019">
        <v>2.0</v>
      </c>
      <c r="N124" s="1020" t="s">
        <v>5272</v>
      </c>
      <c r="O124" s="1019">
        <v>4.0</v>
      </c>
      <c r="P124" s="1020" t="s">
        <v>5272</v>
      </c>
      <c r="Q124" s="1019">
        <v>2.0</v>
      </c>
      <c r="R124" s="1019">
        <f>_xlfn.MODE.SNGL(B124:Q128)</f>
        <v>4</v>
      </c>
    </row>
    <row r="125">
      <c r="A125" s="536"/>
      <c r="B125" s="539"/>
      <c r="C125" s="539"/>
      <c r="D125" s="539"/>
      <c r="E125" s="539"/>
      <c r="F125" s="539"/>
      <c r="G125" s="1024"/>
      <c r="H125" s="539"/>
      <c r="I125" s="539"/>
      <c r="J125" s="539"/>
      <c r="K125" s="539"/>
      <c r="L125" s="539"/>
      <c r="M125" s="539"/>
      <c r="N125" s="539"/>
      <c r="O125" s="539"/>
      <c r="P125" s="539"/>
      <c r="Q125" s="539"/>
      <c r="R125" s="539"/>
    </row>
    <row r="126">
      <c r="A126" s="536"/>
      <c r="B126" s="539"/>
      <c r="C126" s="539"/>
      <c r="D126" s="539"/>
      <c r="E126" s="539"/>
      <c r="F126" s="539"/>
      <c r="G126" s="1024"/>
      <c r="H126" s="539"/>
      <c r="I126" s="539"/>
      <c r="J126" s="539"/>
      <c r="K126" s="539"/>
      <c r="L126" s="539"/>
      <c r="M126" s="539"/>
      <c r="N126" s="539"/>
      <c r="O126" s="539"/>
      <c r="P126" s="539"/>
      <c r="Q126" s="539"/>
      <c r="R126" s="539"/>
    </row>
    <row r="127">
      <c r="A127" s="536"/>
      <c r="B127" s="539"/>
      <c r="C127" s="539"/>
      <c r="D127" s="539"/>
      <c r="E127" s="539"/>
      <c r="F127" s="539"/>
      <c r="G127" s="1024"/>
      <c r="H127" s="539"/>
      <c r="I127" s="539"/>
      <c r="J127" s="539"/>
      <c r="K127" s="539"/>
      <c r="L127" s="539"/>
      <c r="M127" s="539"/>
      <c r="N127" s="539"/>
      <c r="O127" s="539"/>
      <c r="P127" s="539"/>
      <c r="Q127" s="539"/>
      <c r="R127" s="539"/>
    </row>
    <row r="128">
      <c r="A128" s="210"/>
      <c r="B128" s="440"/>
      <c r="C128" s="440"/>
      <c r="D128" s="440"/>
      <c r="E128" s="440"/>
      <c r="F128" s="440"/>
      <c r="G128" s="446"/>
      <c r="H128" s="440"/>
      <c r="I128" s="440"/>
      <c r="J128" s="440"/>
      <c r="K128" s="440"/>
      <c r="L128" s="440"/>
      <c r="M128" s="440"/>
      <c r="N128" s="440"/>
      <c r="O128" s="440"/>
      <c r="P128" s="440"/>
      <c r="Q128" s="440"/>
      <c r="R128" s="440"/>
    </row>
    <row r="129">
      <c r="A129" s="541"/>
      <c r="B129" s="996"/>
      <c r="C129" s="996"/>
      <c r="D129" s="996"/>
      <c r="E129" s="996"/>
      <c r="F129" s="996"/>
      <c r="G129" s="997"/>
      <c r="H129" s="996"/>
      <c r="I129" s="996"/>
      <c r="J129" s="996"/>
      <c r="K129" s="996"/>
      <c r="L129" s="996"/>
      <c r="M129" s="996"/>
      <c r="N129" s="996"/>
      <c r="O129" s="996"/>
      <c r="P129" s="996"/>
      <c r="Q129" s="996"/>
      <c r="R129" s="998">
        <f>R130</f>
        <v>3</v>
      </c>
    </row>
    <row r="130">
      <c r="A130" s="693" t="s">
        <v>1638</v>
      </c>
      <c r="B130" s="1000" t="s">
        <v>5273</v>
      </c>
      <c r="C130" s="633">
        <v>3.0</v>
      </c>
      <c r="D130" s="1001" t="s">
        <v>5274</v>
      </c>
      <c r="E130" s="633">
        <v>3.0</v>
      </c>
      <c r="F130" s="594" t="s">
        <v>5275</v>
      </c>
      <c r="G130" s="1003">
        <v>3.0</v>
      </c>
      <c r="H130" s="1001" t="s">
        <v>5276</v>
      </c>
      <c r="I130" s="633">
        <v>3.0</v>
      </c>
      <c r="J130" s="1001" t="s">
        <v>5277</v>
      </c>
      <c r="K130" s="1010">
        <v>4.0</v>
      </c>
      <c r="L130" s="1002" t="s">
        <v>5277</v>
      </c>
      <c r="M130" s="1010">
        <v>3.0</v>
      </c>
      <c r="N130" s="1001" t="s">
        <v>5278</v>
      </c>
      <c r="O130" s="1010">
        <v>3.0</v>
      </c>
      <c r="P130" s="1001" t="s">
        <v>5277</v>
      </c>
      <c r="Q130" s="1010">
        <v>2.0</v>
      </c>
      <c r="R130" s="633">
        <f>_xlfn.MODE.SNGL(B130:Q134)</f>
        <v>3</v>
      </c>
    </row>
    <row r="131">
      <c r="A131" s="536"/>
      <c r="B131" s="539"/>
      <c r="C131" s="538"/>
      <c r="D131" s="538"/>
      <c r="E131" s="538"/>
      <c r="F131" s="538"/>
      <c r="G131" s="422"/>
      <c r="H131" s="538"/>
      <c r="I131" s="538"/>
      <c r="J131" s="538"/>
      <c r="K131" s="539"/>
      <c r="L131" s="539"/>
      <c r="M131" s="539"/>
      <c r="N131" s="538"/>
      <c r="O131" s="539"/>
      <c r="P131" s="538"/>
      <c r="Q131" s="539"/>
      <c r="R131" s="538"/>
    </row>
    <row r="132">
      <c r="A132" s="536"/>
      <c r="B132" s="539"/>
      <c r="C132" s="538"/>
      <c r="D132" s="538"/>
      <c r="E132" s="538"/>
      <c r="F132" s="538"/>
      <c r="G132" s="422"/>
      <c r="H132" s="538"/>
      <c r="I132" s="538"/>
      <c r="J132" s="538"/>
      <c r="K132" s="539"/>
      <c r="L132" s="539"/>
      <c r="M132" s="539"/>
      <c r="N132" s="538"/>
      <c r="O132" s="539"/>
      <c r="P132" s="538"/>
      <c r="Q132" s="539"/>
      <c r="R132" s="538"/>
    </row>
    <row r="133">
      <c r="A133" s="536"/>
      <c r="B133" s="539"/>
      <c r="C133" s="538"/>
      <c r="D133" s="538"/>
      <c r="E133" s="538"/>
      <c r="F133" s="538"/>
      <c r="G133" s="422"/>
      <c r="H133" s="538"/>
      <c r="I133" s="538"/>
      <c r="J133" s="538"/>
      <c r="K133" s="539"/>
      <c r="L133" s="539"/>
      <c r="M133" s="539"/>
      <c r="N133" s="538"/>
      <c r="O133" s="539"/>
      <c r="P133" s="538"/>
      <c r="Q133" s="539"/>
      <c r="R133" s="538"/>
    </row>
    <row r="134">
      <c r="A134" s="210"/>
      <c r="B134" s="440"/>
      <c r="C134" s="213"/>
      <c r="D134" s="213"/>
      <c r="E134" s="213"/>
      <c r="F134" s="213"/>
      <c r="G134" s="1005"/>
      <c r="H134" s="213"/>
      <c r="I134" s="213"/>
      <c r="J134" s="213"/>
      <c r="K134" s="440"/>
      <c r="L134" s="440"/>
      <c r="M134" s="440"/>
      <c r="N134" s="213"/>
      <c r="O134" s="440"/>
      <c r="P134" s="213"/>
      <c r="Q134" s="440"/>
      <c r="R134" s="213"/>
    </row>
    <row r="135">
      <c r="A135" s="541"/>
      <c r="B135" s="996"/>
      <c r="C135" s="996"/>
      <c r="D135" s="996"/>
      <c r="E135" s="996"/>
      <c r="F135" s="996"/>
      <c r="G135" s="997"/>
      <c r="H135" s="996"/>
      <c r="I135" s="996"/>
      <c r="J135" s="996"/>
      <c r="K135" s="996"/>
      <c r="L135" s="996"/>
      <c r="M135" s="996"/>
      <c r="N135" s="996"/>
      <c r="O135" s="996"/>
      <c r="P135" s="996"/>
      <c r="Q135" s="996"/>
      <c r="R135" s="998">
        <f>R136</f>
        <v>2</v>
      </c>
    </row>
    <row r="136">
      <c r="A136" s="693" t="s">
        <v>1638</v>
      </c>
      <c r="B136" s="1000" t="s">
        <v>5279</v>
      </c>
      <c r="C136" s="633">
        <v>3.0</v>
      </c>
      <c r="D136" s="1029" t="s">
        <v>5280</v>
      </c>
      <c r="E136" s="633">
        <v>3.0</v>
      </c>
      <c r="F136" s="594" t="s">
        <v>5281</v>
      </c>
      <c r="G136" s="1003">
        <v>5.0</v>
      </c>
      <c r="H136" s="1001" t="s">
        <v>5282</v>
      </c>
      <c r="I136" s="633">
        <v>3.0</v>
      </c>
      <c r="J136" s="1001" t="s">
        <v>5283</v>
      </c>
      <c r="K136" s="1010">
        <v>3.0</v>
      </c>
      <c r="L136" s="1002" t="s">
        <v>5283</v>
      </c>
      <c r="M136" s="1010">
        <v>3.0</v>
      </c>
      <c r="N136" s="1001" t="s">
        <v>5284</v>
      </c>
      <c r="O136" s="1010">
        <v>3.0</v>
      </c>
      <c r="P136" s="1001" t="s">
        <v>5283</v>
      </c>
      <c r="Q136" s="1010">
        <v>3.0</v>
      </c>
      <c r="R136" s="633">
        <v>2.0</v>
      </c>
    </row>
    <row r="137">
      <c r="A137" s="536"/>
      <c r="B137" s="539"/>
      <c r="C137" s="538"/>
      <c r="D137" s="538"/>
      <c r="E137" s="538"/>
      <c r="F137" s="538"/>
      <c r="G137" s="422"/>
      <c r="H137" s="538"/>
      <c r="I137" s="538"/>
      <c r="J137" s="538"/>
      <c r="K137" s="539"/>
      <c r="L137" s="539"/>
      <c r="M137" s="539"/>
      <c r="N137" s="538"/>
      <c r="O137" s="539"/>
      <c r="P137" s="538"/>
      <c r="Q137" s="539"/>
      <c r="R137" s="538"/>
    </row>
    <row r="138">
      <c r="A138" s="536"/>
      <c r="B138" s="539"/>
      <c r="C138" s="538"/>
      <c r="D138" s="538"/>
      <c r="E138" s="538"/>
      <c r="F138" s="538"/>
      <c r="G138" s="422"/>
      <c r="H138" s="538"/>
      <c r="I138" s="538"/>
      <c r="J138" s="538"/>
      <c r="K138" s="539"/>
      <c r="L138" s="539"/>
      <c r="M138" s="539"/>
      <c r="N138" s="538"/>
      <c r="O138" s="539"/>
      <c r="P138" s="538"/>
      <c r="Q138" s="539"/>
      <c r="R138" s="538"/>
    </row>
    <row r="139">
      <c r="A139" s="536"/>
      <c r="B139" s="539"/>
      <c r="C139" s="538"/>
      <c r="D139" s="538"/>
      <c r="E139" s="538"/>
      <c r="F139" s="538"/>
      <c r="G139" s="422"/>
      <c r="H139" s="538"/>
      <c r="I139" s="538"/>
      <c r="J139" s="538"/>
      <c r="K139" s="539"/>
      <c r="L139" s="539"/>
      <c r="M139" s="539"/>
      <c r="N139" s="538"/>
      <c r="O139" s="539"/>
      <c r="P139" s="538"/>
      <c r="Q139" s="539"/>
      <c r="R139" s="538"/>
    </row>
    <row r="140">
      <c r="A140" s="210"/>
      <c r="B140" s="440"/>
      <c r="C140" s="213"/>
      <c r="D140" s="213"/>
      <c r="E140" s="213"/>
      <c r="F140" s="213"/>
      <c r="G140" s="1005"/>
      <c r="H140" s="213"/>
      <c r="I140" s="213"/>
      <c r="J140" s="213"/>
      <c r="K140" s="440"/>
      <c r="L140" s="440"/>
      <c r="M140" s="440"/>
      <c r="N140" s="213"/>
      <c r="O140" s="440"/>
      <c r="P140" s="213"/>
      <c r="Q140" s="440"/>
      <c r="R140" s="213"/>
    </row>
    <row r="141">
      <c r="A141" s="541"/>
      <c r="B141" s="996"/>
      <c r="C141" s="996"/>
      <c r="D141" s="996"/>
      <c r="E141" s="996"/>
      <c r="F141" s="996"/>
      <c r="G141" s="997"/>
      <c r="H141" s="996"/>
      <c r="I141" s="996"/>
      <c r="J141" s="996"/>
      <c r="K141" s="996"/>
      <c r="L141" s="996"/>
      <c r="M141" s="996"/>
      <c r="N141" s="996"/>
      <c r="O141" s="996"/>
      <c r="P141" s="996"/>
      <c r="Q141" s="996"/>
      <c r="R141" s="998">
        <f>R142</f>
        <v>3</v>
      </c>
    </row>
    <row r="142">
      <c r="A142" s="693" t="s">
        <v>1638</v>
      </c>
      <c r="B142" s="1000" t="s">
        <v>5285</v>
      </c>
      <c r="C142" s="633">
        <v>3.0</v>
      </c>
      <c r="D142" s="1001" t="s">
        <v>5286</v>
      </c>
      <c r="E142" s="633">
        <v>3.0</v>
      </c>
      <c r="F142" s="594" t="s">
        <v>5287</v>
      </c>
      <c r="G142" s="1003">
        <v>3.0</v>
      </c>
      <c r="H142" s="1001" t="s">
        <v>5288</v>
      </c>
      <c r="I142" s="633">
        <v>3.0</v>
      </c>
      <c r="J142" s="1001" t="s">
        <v>5289</v>
      </c>
      <c r="K142" s="1010">
        <v>3.0</v>
      </c>
      <c r="L142" s="1002" t="s">
        <v>5289</v>
      </c>
      <c r="M142" s="1010">
        <v>2.0</v>
      </c>
      <c r="N142" s="1001" t="s">
        <v>5289</v>
      </c>
      <c r="O142" s="1010">
        <v>3.0</v>
      </c>
      <c r="P142" s="1001" t="s">
        <v>5289</v>
      </c>
      <c r="Q142" s="1010">
        <v>2.0</v>
      </c>
      <c r="R142" s="633">
        <f>_xlfn.MODE.SNGL(B142:Q146)</f>
        <v>3</v>
      </c>
    </row>
    <row r="143">
      <c r="A143" s="536"/>
      <c r="B143" s="539"/>
      <c r="C143" s="538"/>
      <c r="D143" s="538"/>
      <c r="E143" s="538"/>
      <c r="F143" s="538"/>
      <c r="G143" s="422"/>
      <c r="H143" s="538"/>
      <c r="I143" s="538"/>
      <c r="J143" s="538"/>
      <c r="K143" s="539"/>
      <c r="L143" s="539"/>
      <c r="M143" s="539"/>
      <c r="N143" s="538"/>
      <c r="O143" s="539"/>
      <c r="P143" s="538"/>
      <c r="Q143" s="539"/>
      <c r="R143" s="538"/>
    </row>
    <row r="144">
      <c r="A144" s="536"/>
      <c r="B144" s="539"/>
      <c r="C144" s="538"/>
      <c r="D144" s="538"/>
      <c r="E144" s="538"/>
      <c r="F144" s="538"/>
      <c r="G144" s="422"/>
      <c r="H144" s="538"/>
      <c r="I144" s="538"/>
      <c r="J144" s="538"/>
      <c r="K144" s="539"/>
      <c r="L144" s="539"/>
      <c r="M144" s="539"/>
      <c r="N144" s="538"/>
      <c r="O144" s="539"/>
      <c r="P144" s="538"/>
      <c r="Q144" s="539"/>
      <c r="R144" s="538"/>
    </row>
    <row r="145">
      <c r="A145" s="536"/>
      <c r="B145" s="539"/>
      <c r="C145" s="538"/>
      <c r="D145" s="538"/>
      <c r="E145" s="538"/>
      <c r="F145" s="538"/>
      <c r="G145" s="422"/>
      <c r="H145" s="538"/>
      <c r="I145" s="538"/>
      <c r="J145" s="538"/>
      <c r="K145" s="539"/>
      <c r="L145" s="539"/>
      <c r="M145" s="539"/>
      <c r="N145" s="538"/>
      <c r="O145" s="539"/>
      <c r="P145" s="538"/>
      <c r="Q145" s="539"/>
      <c r="R145" s="538"/>
    </row>
    <row r="146">
      <c r="A146" s="210"/>
      <c r="B146" s="440"/>
      <c r="C146" s="213"/>
      <c r="D146" s="213"/>
      <c r="E146" s="213"/>
      <c r="F146" s="213"/>
      <c r="G146" s="1005"/>
      <c r="H146" s="213"/>
      <c r="I146" s="213"/>
      <c r="J146" s="213"/>
      <c r="K146" s="440"/>
      <c r="L146" s="440"/>
      <c r="M146" s="440"/>
      <c r="N146" s="213"/>
      <c r="O146" s="440"/>
      <c r="P146" s="213"/>
      <c r="Q146" s="440"/>
      <c r="R146" s="213"/>
    </row>
    <row r="147">
      <c r="A147" s="541"/>
      <c r="B147" s="996"/>
      <c r="C147" s="996"/>
      <c r="D147" s="996"/>
      <c r="E147" s="996"/>
      <c r="F147" s="996"/>
      <c r="G147" s="997"/>
      <c r="H147" s="996"/>
      <c r="I147" s="996"/>
      <c r="J147" s="996"/>
      <c r="K147" s="996"/>
      <c r="L147" s="996"/>
      <c r="M147" s="996"/>
      <c r="N147" s="996"/>
      <c r="O147" s="996"/>
      <c r="P147" s="996"/>
      <c r="Q147" s="996"/>
      <c r="R147" s="998">
        <f>R148</f>
        <v>3</v>
      </c>
    </row>
    <row r="148">
      <c r="A148" s="693" t="s">
        <v>1638</v>
      </c>
      <c r="B148" s="1009" t="s">
        <v>5290</v>
      </c>
      <c r="C148" s="633">
        <v>3.0</v>
      </c>
      <c r="D148" s="1001" t="s">
        <v>5291</v>
      </c>
      <c r="E148" s="633">
        <v>3.0</v>
      </c>
      <c r="F148" s="594" t="s">
        <v>5292</v>
      </c>
      <c r="G148" s="1003">
        <v>3.0</v>
      </c>
      <c r="H148" s="1001" t="s">
        <v>5293</v>
      </c>
      <c r="I148" s="633">
        <v>3.0</v>
      </c>
      <c r="J148" s="1001" t="s">
        <v>5294</v>
      </c>
      <c r="K148" s="1010">
        <v>3.0</v>
      </c>
      <c r="L148" s="1002" t="s">
        <v>5295</v>
      </c>
      <c r="M148" s="1010">
        <v>3.0</v>
      </c>
      <c r="N148" s="1001" t="s">
        <v>5294</v>
      </c>
      <c r="O148" s="1010">
        <v>3.0</v>
      </c>
      <c r="P148" s="1001" t="s">
        <v>5294</v>
      </c>
      <c r="Q148" s="1010">
        <v>2.0</v>
      </c>
      <c r="R148" s="633">
        <f>_xlfn.MODE.SNGL(B148:Q152)</f>
        <v>3</v>
      </c>
    </row>
    <row r="149">
      <c r="A149" s="536"/>
      <c r="B149" s="539"/>
      <c r="C149" s="538"/>
      <c r="D149" s="538"/>
      <c r="E149" s="538"/>
      <c r="F149" s="538"/>
      <c r="G149" s="422"/>
      <c r="H149" s="538"/>
      <c r="I149" s="538"/>
      <c r="J149" s="538"/>
      <c r="K149" s="539"/>
      <c r="L149" s="539"/>
      <c r="M149" s="539"/>
      <c r="N149" s="538"/>
      <c r="O149" s="539"/>
      <c r="P149" s="538"/>
      <c r="Q149" s="539"/>
      <c r="R149" s="538"/>
    </row>
    <row r="150">
      <c r="A150" s="536"/>
      <c r="B150" s="539"/>
      <c r="C150" s="538"/>
      <c r="D150" s="538"/>
      <c r="E150" s="538"/>
      <c r="F150" s="538"/>
      <c r="G150" s="422"/>
      <c r="H150" s="538"/>
      <c r="I150" s="538"/>
      <c r="J150" s="538"/>
      <c r="K150" s="539"/>
      <c r="L150" s="539"/>
      <c r="M150" s="539"/>
      <c r="N150" s="538"/>
      <c r="O150" s="539"/>
      <c r="P150" s="538"/>
      <c r="Q150" s="539"/>
      <c r="R150" s="538"/>
    </row>
    <row r="151">
      <c r="A151" s="536"/>
      <c r="B151" s="539"/>
      <c r="C151" s="538"/>
      <c r="D151" s="538"/>
      <c r="E151" s="538"/>
      <c r="F151" s="538"/>
      <c r="G151" s="422"/>
      <c r="H151" s="538"/>
      <c r="I151" s="538"/>
      <c r="J151" s="538"/>
      <c r="K151" s="539"/>
      <c r="L151" s="539"/>
      <c r="M151" s="539"/>
      <c r="N151" s="538"/>
      <c r="O151" s="539"/>
      <c r="P151" s="538"/>
      <c r="Q151" s="539"/>
      <c r="R151" s="538"/>
    </row>
    <row r="152">
      <c r="A152" s="210"/>
      <c r="B152" s="440"/>
      <c r="C152" s="213"/>
      <c r="D152" s="213"/>
      <c r="E152" s="213"/>
      <c r="F152" s="213"/>
      <c r="G152" s="1005"/>
      <c r="H152" s="213"/>
      <c r="I152" s="213"/>
      <c r="J152" s="213"/>
      <c r="K152" s="440"/>
      <c r="L152" s="440"/>
      <c r="M152" s="440"/>
      <c r="N152" s="213"/>
      <c r="O152" s="440"/>
      <c r="P152" s="213"/>
      <c r="Q152" s="440"/>
      <c r="R152" s="213"/>
    </row>
    <row r="153">
      <c r="A153" s="541"/>
      <c r="B153" s="996"/>
      <c r="C153" s="996"/>
      <c r="D153" s="996"/>
      <c r="E153" s="996"/>
      <c r="F153" s="996"/>
      <c r="G153" s="997"/>
      <c r="H153" s="996"/>
      <c r="I153" s="996"/>
      <c r="J153" s="996"/>
      <c r="K153" s="996"/>
      <c r="L153" s="996"/>
      <c r="M153" s="996"/>
      <c r="N153" s="996"/>
      <c r="O153" s="996"/>
      <c r="P153" s="996"/>
      <c r="Q153" s="996"/>
      <c r="R153" s="998">
        <f>R154</f>
        <v>3</v>
      </c>
    </row>
    <row r="154">
      <c r="A154" s="693" t="s">
        <v>1638</v>
      </c>
      <c r="B154" s="1000" t="s">
        <v>5296</v>
      </c>
      <c r="C154" s="633">
        <v>3.0</v>
      </c>
      <c r="D154" s="1001" t="s">
        <v>5297</v>
      </c>
      <c r="E154" s="633">
        <v>4.0</v>
      </c>
      <c r="F154" s="1001" t="s">
        <v>5298</v>
      </c>
      <c r="G154" s="1003">
        <v>4.0</v>
      </c>
      <c r="H154" s="1001" t="s">
        <v>5299</v>
      </c>
      <c r="I154" s="633">
        <v>3.0</v>
      </c>
      <c r="J154" s="1001" t="s">
        <v>5300</v>
      </c>
      <c r="K154" s="633">
        <v>3.0</v>
      </c>
      <c r="L154" s="1001" t="s">
        <v>5301</v>
      </c>
      <c r="M154" s="633">
        <v>5.0</v>
      </c>
      <c r="N154" s="1001" t="s">
        <v>5302</v>
      </c>
      <c r="O154" s="633">
        <v>3.0</v>
      </c>
      <c r="P154" s="1001" t="s">
        <v>5303</v>
      </c>
      <c r="Q154" s="633">
        <v>3.0</v>
      </c>
      <c r="R154" s="633">
        <f>_xlfn.MODE.SNGL(B154:Q158)</f>
        <v>3</v>
      </c>
    </row>
    <row r="155">
      <c r="A155" s="536"/>
      <c r="B155" s="539"/>
      <c r="C155" s="538"/>
      <c r="D155" s="538"/>
      <c r="E155" s="538"/>
      <c r="F155" s="538"/>
      <c r="G155" s="422"/>
      <c r="H155" s="538"/>
      <c r="I155" s="538"/>
      <c r="J155" s="538"/>
      <c r="K155" s="538"/>
      <c r="L155" s="538"/>
      <c r="M155" s="538"/>
      <c r="N155" s="538"/>
      <c r="O155" s="538"/>
      <c r="P155" s="538"/>
      <c r="Q155" s="538"/>
      <c r="R155" s="538"/>
    </row>
    <row r="156">
      <c r="A156" s="536"/>
      <c r="B156" s="539"/>
      <c r="C156" s="538"/>
      <c r="D156" s="538"/>
      <c r="E156" s="538"/>
      <c r="F156" s="538"/>
      <c r="G156" s="422"/>
      <c r="H156" s="538"/>
      <c r="I156" s="538"/>
      <c r="J156" s="538"/>
      <c r="K156" s="538"/>
      <c r="L156" s="538"/>
      <c r="M156" s="538"/>
      <c r="N156" s="538"/>
      <c r="O156" s="538"/>
      <c r="P156" s="538"/>
      <c r="Q156" s="538"/>
      <c r="R156" s="538"/>
    </row>
    <row r="157">
      <c r="A157" s="536"/>
      <c r="B157" s="539"/>
      <c r="C157" s="538"/>
      <c r="D157" s="538"/>
      <c r="E157" s="538"/>
      <c r="F157" s="538"/>
      <c r="G157" s="422"/>
      <c r="H157" s="538"/>
      <c r="I157" s="538"/>
      <c r="J157" s="538"/>
      <c r="K157" s="538"/>
      <c r="L157" s="538"/>
      <c r="M157" s="538"/>
      <c r="N157" s="538"/>
      <c r="O157" s="538"/>
      <c r="P157" s="538"/>
      <c r="Q157" s="538"/>
      <c r="R157" s="538"/>
    </row>
    <row r="158">
      <c r="A158" s="210"/>
      <c r="B158" s="440"/>
      <c r="C158" s="213"/>
      <c r="D158" s="213"/>
      <c r="E158" s="213"/>
      <c r="F158" s="213"/>
      <c r="G158" s="1005"/>
      <c r="H158" s="213"/>
      <c r="I158" s="213"/>
      <c r="J158" s="213"/>
      <c r="K158" s="213"/>
      <c r="L158" s="213"/>
      <c r="M158" s="213"/>
      <c r="N158" s="213"/>
      <c r="O158" s="213"/>
      <c r="P158" s="213"/>
      <c r="Q158" s="213"/>
      <c r="R158" s="213"/>
    </row>
    <row r="159">
      <c r="A159" s="541"/>
      <c r="B159" s="996"/>
      <c r="C159" s="996"/>
      <c r="D159" s="996"/>
      <c r="E159" s="996"/>
      <c r="F159" s="996"/>
      <c r="G159" s="997"/>
      <c r="H159" s="996"/>
      <c r="I159" s="996"/>
      <c r="J159" s="996"/>
      <c r="K159" s="996"/>
      <c r="L159" s="996"/>
      <c r="M159" s="996"/>
      <c r="N159" s="996"/>
      <c r="O159" s="996"/>
      <c r="P159" s="996"/>
      <c r="Q159" s="996"/>
      <c r="R159" s="998">
        <f>R160</f>
        <v>3</v>
      </c>
    </row>
    <row r="160">
      <c r="A160" s="693" t="s">
        <v>1638</v>
      </c>
      <c r="B160" s="1000" t="s">
        <v>5304</v>
      </c>
      <c r="C160" s="1013">
        <v>3.0</v>
      </c>
      <c r="D160" s="1001" t="s">
        <v>5305</v>
      </c>
      <c r="E160" s="633">
        <v>4.0</v>
      </c>
      <c r="F160" s="1001" t="s">
        <v>5306</v>
      </c>
      <c r="G160" s="1003">
        <v>4.0</v>
      </c>
      <c r="H160" s="1001" t="s">
        <v>5307</v>
      </c>
      <c r="I160" s="633">
        <v>3.0</v>
      </c>
      <c r="J160" s="1001" t="s">
        <v>5308</v>
      </c>
      <c r="K160" s="633">
        <v>3.0</v>
      </c>
      <c r="L160" s="1001" t="s">
        <v>5309</v>
      </c>
      <c r="M160" s="633">
        <v>5.0</v>
      </c>
      <c r="N160" s="1004" t="s">
        <v>1893</v>
      </c>
      <c r="O160" s="633">
        <v>3.0</v>
      </c>
      <c r="P160" s="1017" t="s">
        <v>5310</v>
      </c>
      <c r="Q160" s="633">
        <v>3.0</v>
      </c>
      <c r="R160" s="633">
        <f>_xlfn.MODE.SNGL(B160:Q164)</f>
        <v>3</v>
      </c>
    </row>
    <row r="161">
      <c r="A161" s="536"/>
      <c r="B161" s="539"/>
      <c r="C161" s="539"/>
      <c r="D161" s="538"/>
      <c r="E161" s="538"/>
      <c r="F161" s="538"/>
      <c r="G161" s="422"/>
      <c r="H161" s="538"/>
      <c r="I161" s="538"/>
      <c r="J161" s="538"/>
      <c r="K161" s="538"/>
      <c r="L161" s="538"/>
      <c r="M161" s="538"/>
      <c r="N161" s="538"/>
      <c r="O161" s="538"/>
      <c r="P161" s="539"/>
      <c r="Q161" s="538"/>
      <c r="R161" s="538"/>
    </row>
    <row r="162">
      <c r="A162" s="536"/>
      <c r="B162" s="539"/>
      <c r="C162" s="539"/>
      <c r="D162" s="538"/>
      <c r="E162" s="538"/>
      <c r="F162" s="538"/>
      <c r="G162" s="422"/>
      <c r="H162" s="538"/>
      <c r="I162" s="538"/>
      <c r="J162" s="538"/>
      <c r="K162" s="538"/>
      <c r="L162" s="538"/>
      <c r="M162" s="538"/>
      <c r="N162" s="538"/>
      <c r="O162" s="538"/>
      <c r="P162" s="539"/>
      <c r="Q162" s="538"/>
      <c r="R162" s="538"/>
    </row>
    <row r="163">
      <c r="A163" s="536"/>
      <c r="B163" s="539"/>
      <c r="C163" s="539"/>
      <c r="D163" s="538"/>
      <c r="E163" s="538"/>
      <c r="F163" s="538"/>
      <c r="G163" s="422"/>
      <c r="H163" s="538"/>
      <c r="I163" s="538"/>
      <c r="J163" s="538"/>
      <c r="K163" s="538"/>
      <c r="L163" s="538"/>
      <c r="M163" s="538"/>
      <c r="N163" s="538"/>
      <c r="O163" s="538"/>
      <c r="P163" s="539"/>
      <c r="Q163" s="538"/>
      <c r="R163" s="538"/>
    </row>
    <row r="164">
      <c r="A164" s="210"/>
      <c r="B164" s="440"/>
      <c r="C164" s="440"/>
      <c r="D164" s="213"/>
      <c r="E164" s="213"/>
      <c r="F164" s="213"/>
      <c r="G164" s="1005"/>
      <c r="H164" s="213"/>
      <c r="I164" s="213"/>
      <c r="J164" s="213"/>
      <c r="K164" s="213"/>
      <c r="L164" s="213"/>
      <c r="M164" s="213"/>
      <c r="N164" s="213"/>
      <c r="O164" s="213"/>
      <c r="P164" s="440"/>
      <c r="Q164" s="213"/>
      <c r="R164" s="213"/>
    </row>
    <row r="165">
      <c r="A165" s="541"/>
      <c r="B165" s="996"/>
      <c r="C165" s="996"/>
      <c r="D165" s="996"/>
      <c r="E165" s="996"/>
      <c r="F165" s="996"/>
      <c r="G165" s="997"/>
      <c r="H165" s="996"/>
      <c r="I165" s="996"/>
      <c r="J165" s="996"/>
      <c r="K165" s="996"/>
      <c r="L165" s="996"/>
      <c r="M165" s="996"/>
      <c r="N165" s="996"/>
      <c r="O165" s="996"/>
      <c r="P165" s="996"/>
      <c r="Q165" s="996"/>
      <c r="R165" s="998">
        <f>R166</f>
        <v>3</v>
      </c>
    </row>
    <row r="166">
      <c r="A166" s="693" t="s">
        <v>1638</v>
      </c>
      <c r="B166" s="1000" t="s">
        <v>5311</v>
      </c>
      <c r="C166" s="633">
        <v>3.0</v>
      </c>
      <c r="D166" s="1001" t="s">
        <v>5312</v>
      </c>
      <c r="E166" s="633">
        <v>3.0</v>
      </c>
      <c r="F166" s="594" t="s">
        <v>5313</v>
      </c>
      <c r="G166" s="1003">
        <v>4.0</v>
      </c>
      <c r="H166" s="1001" t="s">
        <v>5314</v>
      </c>
      <c r="I166" s="633">
        <v>2.0</v>
      </c>
      <c r="J166" s="1001" t="s">
        <v>5315</v>
      </c>
      <c r="K166" s="1010">
        <v>3.0</v>
      </c>
      <c r="L166" s="1002" t="s">
        <v>5315</v>
      </c>
      <c r="M166" s="1010">
        <v>4.0</v>
      </c>
      <c r="N166" s="1001" t="s">
        <v>5315</v>
      </c>
      <c r="O166" s="1010">
        <v>3.0</v>
      </c>
      <c r="P166" s="1001" t="s">
        <v>5315</v>
      </c>
      <c r="Q166" s="1010">
        <v>3.0</v>
      </c>
      <c r="R166" s="633">
        <f>_xlfn.MODE.SNGL(B166:Q170)</f>
        <v>3</v>
      </c>
    </row>
    <row r="167">
      <c r="A167" s="536"/>
      <c r="B167" s="539"/>
      <c r="C167" s="538"/>
      <c r="D167" s="538"/>
      <c r="E167" s="538"/>
      <c r="F167" s="538"/>
      <c r="G167" s="422"/>
      <c r="H167" s="538"/>
      <c r="I167" s="538"/>
      <c r="J167" s="538"/>
      <c r="K167" s="539"/>
      <c r="L167" s="539"/>
      <c r="M167" s="539"/>
      <c r="N167" s="538"/>
      <c r="O167" s="539"/>
      <c r="P167" s="538"/>
      <c r="Q167" s="539"/>
      <c r="R167" s="538"/>
    </row>
    <row r="168">
      <c r="A168" s="536"/>
      <c r="B168" s="539"/>
      <c r="C168" s="538"/>
      <c r="D168" s="538"/>
      <c r="E168" s="538"/>
      <c r="F168" s="538"/>
      <c r="G168" s="422"/>
      <c r="H168" s="538"/>
      <c r="I168" s="538"/>
      <c r="J168" s="538"/>
      <c r="K168" s="539"/>
      <c r="L168" s="539"/>
      <c r="M168" s="539"/>
      <c r="N168" s="538"/>
      <c r="O168" s="539"/>
      <c r="P168" s="538"/>
      <c r="Q168" s="539"/>
      <c r="R168" s="538"/>
    </row>
    <row r="169">
      <c r="A169" s="536"/>
      <c r="B169" s="539"/>
      <c r="C169" s="538"/>
      <c r="D169" s="538"/>
      <c r="E169" s="538"/>
      <c r="F169" s="538"/>
      <c r="G169" s="422"/>
      <c r="H169" s="538"/>
      <c r="I169" s="538"/>
      <c r="J169" s="538"/>
      <c r="K169" s="539"/>
      <c r="L169" s="539"/>
      <c r="M169" s="539"/>
      <c r="N169" s="538"/>
      <c r="O169" s="539"/>
      <c r="P169" s="538"/>
      <c r="Q169" s="539"/>
      <c r="R169" s="538"/>
    </row>
    <row r="170">
      <c r="A170" s="210"/>
      <c r="B170" s="440"/>
      <c r="C170" s="213"/>
      <c r="D170" s="213"/>
      <c r="E170" s="213"/>
      <c r="F170" s="213"/>
      <c r="G170" s="1005"/>
      <c r="H170" s="213"/>
      <c r="I170" s="213"/>
      <c r="J170" s="213"/>
      <c r="K170" s="440"/>
      <c r="L170" s="440"/>
      <c r="M170" s="440"/>
      <c r="N170" s="213"/>
      <c r="O170" s="440"/>
      <c r="P170" s="213"/>
      <c r="Q170" s="440"/>
      <c r="R170" s="213"/>
    </row>
    <row r="171">
      <c r="A171" s="541"/>
      <c r="B171" s="996"/>
      <c r="C171" s="996"/>
      <c r="D171" s="996"/>
      <c r="E171" s="996"/>
      <c r="F171" s="996"/>
      <c r="G171" s="997"/>
      <c r="H171" s="996"/>
      <c r="I171" s="996"/>
      <c r="J171" s="996"/>
      <c r="K171" s="996"/>
      <c r="L171" s="996"/>
      <c r="M171" s="996"/>
      <c r="N171" s="996"/>
      <c r="O171" s="996"/>
      <c r="P171" s="996"/>
      <c r="Q171" s="996"/>
      <c r="R171" s="998">
        <f>R172</f>
        <v>5</v>
      </c>
    </row>
    <row r="172">
      <c r="A172" s="693" t="s">
        <v>1638</v>
      </c>
      <c r="B172" s="1000" t="s">
        <v>5316</v>
      </c>
      <c r="C172" s="633">
        <v>5.0</v>
      </c>
      <c r="D172" s="1001" t="s">
        <v>5297</v>
      </c>
      <c r="E172" s="633">
        <v>4.0</v>
      </c>
      <c r="F172" s="1001" t="s">
        <v>5317</v>
      </c>
      <c r="G172" s="1003">
        <v>4.0</v>
      </c>
      <c r="H172" s="1001" t="s">
        <v>5318</v>
      </c>
      <c r="I172" s="633">
        <v>3.0</v>
      </c>
      <c r="J172" s="1001" t="s">
        <v>5319</v>
      </c>
      <c r="K172" s="633">
        <v>5.0</v>
      </c>
      <c r="L172" s="1001" t="s">
        <v>5320</v>
      </c>
      <c r="M172" s="633">
        <v>5.0</v>
      </c>
      <c r="N172" s="1001" t="s">
        <v>5321</v>
      </c>
      <c r="O172" s="633">
        <v>3.0</v>
      </c>
      <c r="P172" s="1001" t="s">
        <v>5322</v>
      </c>
      <c r="Q172" s="633">
        <v>3.0</v>
      </c>
      <c r="R172" s="633">
        <f>_xlfn.MODE.SNGL(B172:Q176)</f>
        <v>5</v>
      </c>
    </row>
    <row r="173">
      <c r="A173" s="536"/>
      <c r="B173" s="539"/>
      <c r="C173" s="538"/>
      <c r="D173" s="538"/>
      <c r="E173" s="538"/>
      <c r="F173" s="538"/>
      <c r="G173" s="422"/>
      <c r="H173" s="538"/>
      <c r="I173" s="538"/>
      <c r="J173" s="538"/>
      <c r="K173" s="538"/>
      <c r="L173" s="538"/>
      <c r="M173" s="538"/>
      <c r="N173" s="538"/>
      <c r="O173" s="538"/>
      <c r="P173" s="538"/>
      <c r="Q173" s="538"/>
      <c r="R173" s="538"/>
    </row>
    <row r="174">
      <c r="A174" s="536"/>
      <c r="B174" s="539"/>
      <c r="C174" s="538"/>
      <c r="D174" s="538"/>
      <c r="E174" s="538"/>
      <c r="F174" s="538"/>
      <c r="G174" s="422"/>
      <c r="H174" s="538"/>
      <c r="I174" s="538"/>
      <c r="J174" s="538"/>
      <c r="K174" s="538"/>
      <c r="L174" s="538"/>
      <c r="M174" s="538"/>
      <c r="N174" s="538"/>
      <c r="O174" s="538"/>
      <c r="P174" s="538"/>
      <c r="Q174" s="538"/>
      <c r="R174" s="538"/>
    </row>
    <row r="175">
      <c r="A175" s="536"/>
      <c r="B175" s="539"/>
      <c r="C175" s="538"/>
      <c r="D175" s="538"/>
      <c r="E175" s="538"/>
      <c r="F175" s="538"/>
      <c r="G175" s="422"/>
      <c r="H175" s="538"/>
      <c r="I175" s="538"/>
      <c r="J175" s="538"/>
      <c r="K175" s="538"/>
      <c r="L175" s="538"/>
      <c r="M175" s="538"/>
      <c r="N175" s="538"/>
      <c r="O175" s="538"/>
      <c r="P175" s="538"/>
      <c r="Q175" s="538"/>
      <c r="R175" s="538"/>
    </row>
    <row r="176">
      <c r="A176" s="210"/>
      <c r="B176" s="440"/>
      <c r="C176" s="213"/>
      <c r="D176" s="213"/>
      <c r="E176" s="213"/>
      <c r="F176" s="213"/>
      <c r="G176" s="1005"/>
      <c r="H176" s="213"/>
      <c r="I176" s="213"/>
      <c r="J176" s="213"/>
      <c r="K176" s="213"/>
      <c r="L176" s="213"/>
      <c r="M176" s="213"/>
      <c r="N176" s="213"/>
      <c r="O176" s="213"/>
      <c r="P176" s="213"/>
      <c r="Q176" s="213"/>
      <c r="R176" s="213"/>
    </row>
    <row r="177">
      <c r="A177" s="541"/>
      <c r="B177" s="996"/>
      <c r="C177" s="996"/>
      <c r="D177" s="996"/>
      <c r="E177" s="996"/>
      <c r="F177" s="996"/>
      <c r="G177" s="997"/>
      <c r="H177" s="996"/>
      <c r="I177" s="996"/>
      <c r="J177" s="996"/>
      <c r="K177" s="996"/>
      <c r="L177" s="996"/>
      <c r="M177" s="996"/>
      <c r="N177" s="996"/>
      <c r="O177" s="996"/>
      <c r="P177" s="996"/>
      <c r="Q177" s="996"/>
      <c r="R177" s="998">
        <f>R178</f>
        <v>5</v>
      </c>
    </row>
    <row r="178">
      <c r="A178" s="693" t="s">
        <v>1638</v>
      </c>
      <c r="B178" s="1000" t="s">
        <v>5323</v>
      </c>
      <c r="C178" s="633">
        <v>5.0</v>
      </c>
      <c r="D178" s="1001" t="s">
        <v>5324</v>
      </c>
      <c r="E178" s="633">
        <v>4.0</v>
      </c>
      <c r="F178" s="1001" t="s">
        <v>5325</v>
      </c>
      <c r="G178" s="1003">
        <v>5.0</v>
      </c>
      <c r="H178" s="1001" t="s">
        <v>5326</v>
      </c>
      <c r="I178" s="633">
        <v>3.0</v>
      </c>
      <c r="J178" s="1001" t="s">
        <v>5327</v>
      </c>
      <c r="K178" s="633">
        <v>5.0</v>
      </c>
      <c r="L178" s="1001" t="s">
        <v>5328</v>
      </c>
      <c r="M178" s="633">
        <v>5.0</v>
      </c>
      <c r="N178" s="1001" t="s">
        <v>5329</v>
      </c>
      <c r="O178" s="633">
        <v>3.0</v>
      </c>
      <c r="P178" s="1001" t="s">
        <v>5330</v>
      </c>
      <c r="Q178" s="633">
        <v>3.0</v>
      </c>
      <c r="R178" s="633">
        <f>_xlfn.MODE.SNGL(B178:Q182)</f>
        <v>5</v>
      </c>
    </row>
    <row r="179">
      <c r="A179" s="536"/>
      <c r="B179" s="539"/>
      <c r="C179" s="538"/>
      <c r="D179" s="538"/>
      <c r="E179" s="538"/>
      <c r="F179" s="538"/>
      <c r="G179" s="422"/>
      <c r="H179" s="538"/>
      <c r="I179" s="538"/>
      <c r="J179" s="538"/>
      <c r="K179" s="538"/>
      <c r="L179" s="538"/>
      <c r="M179" s="538"/>
      <c r="N179" s="538"/>
      <c r="O179" s="538"/>
      <c r="P179" s="538"/>
      <c r="Q179" s="538"/>
      <c r="R179" s="538"/>
    </row>
    <row r="180">
      <c r="A180" s="536"/>
      <c r="B180" s="539"/>
      <c r="C180" s="538"/>
      <c r="D180" s="538"/>
      <c r="E180" s="538"/>
      <c r="F180" s="538"/>
      <c r="G180" s="422"/>
      <c r="H180" s="538"/>
      <c r="I180" s="538"/>
      <c r="J180" s="538"/>
      <c r="K180" s="538"/>
      <c r="L180" s="538"/>
      <c r="M180" s="538"/>
      <c r="N180" s="538"/>
      <c r="O180" s="538"/>
      <c r="P180" s="538"/>
      <c r="Q180" s="538"/>
      <c r="R180" s="538"/>
    </row>
    <row r="181">
      <c r="A181" s="536"/>
      <c r="B181" s="539"/>
      <c r="C181" s="538"/>
      <c r="D181" s="538"/>
      <c r="E181" s="538"/>
      <c r="F181" s="538"/>
      <c r="G181" s="422"/>
      <c r="H181" s="538"/>
      <c r="I181" s="538"/>
      <c r="J181" s="538"/>
      <c r="K181" s="538"/>
      <c r="L181" s="538"/>
      <c r="M181" s="538"/>
      <c r="N181" s="538"/>
      <c r="O181" s="538"/>
      <c r="P181" s="538"/>
      <c r="Q181" s="538"/>
      <c r="R181" s="538"/>
    </row>
    <row r="182">
      <c r="A182" s="210"/>
      <c r="B182" s="440"/>
      <c r="C182" s="213"/>
      <c r="D182" s="213"/>
      <c r="E182" s="213"/>
      <c r="F182" s="213"/>
      <c r="G182" s="1005"/>
      <c r="H182" s="213"/>
      <c r="I182" s="213"/>
      <c r="J182" s="213"/>
      <c r="K182" s="213"/>
      <c r="L182" s="213"/>
      <c r="M182" s="213"/>
      <c r="N182" s="213"/>
      <c r="O182" s="213"/>
      <c r="P182" s="213"/>
      <c r="Q182" s="213"/>
      <c r="R182" s="213"/>
    </row>
    <row r="183">
      <c r="A183" s="541"/>
      <c r="B183" s="996"/>
      <c r="C183" s="996"/>
      <c r="D183" s="996"/>
      <c r="E183" s="996"/>
      <c r="F183" s="996"/>
      <c r="G183" s="997"/>
      <c r="H183" s="996"/>
      <c r="I183" s="996"/>
      <c r="J183" s="996"/>
      <c r="K183" s="996"/>
      <c r="L183" s="996"/>
      <c r="M183" s="996"/>
      <c r="N183" s="996"/>
      <c r="O183" s="996"/>
      <c r="P183" s="996"/>
      <c r="Q183" s="996"/>
      <c r="R183" s="998">
        <f>R184</f>
        <v>5</v>
      </c>
    </row>
    <row r="184">
      <c r="A184" s="693" t="s">
        <v>1638</v>
      </c>
      <c r="B184" s="1000" t="s">
        <v>5331</v>
      </c>
      <c r="C184" s="633">
        <v>5.0</v>
      </c>
      <c r="D184" s="1001" t="s">
        <v>5332</v>
      </c>
      <c r="E184" s="633">
        <v>4.0</v>
      </c>
      <c r="F184" s="1001" t="s">
        <v>5333</v>
      </c>
      <c r="G184" s="1003">
        <v>5.0</v>
      </c>
      <c r="H184" s="1001" t="s">
        <v>5334</v>
      </c>
      <c r="I184" s="633">
        <v>5.0</v>
      </c>
      <c r="J184" s="1001" t="s">
        <v>5335</v>
      </c>
      <c r="K184" s="633">
        <v>5.0</v>
      </c>
      <c r="L184" s="1001" t="s">
        <v>5336</v>
      </c>
      <c r="M184" s="633">
        <v>4.0</v>
      </c>
      <c r="N184" s="1001" t="s">
        <v>5337</v>
      </c>
      <c r="O184" s="633">
        <v>3.0</v>
      </c>
      <c r="P184" s="1001" t="s">
        <v>5338</v>
      </c>
      <c r="Q184" s="633">
        <v>4.0</v>
      </c>
      <c r="R184" s="633">
        <f>_xlfn.MODE.SNGL(B184:Q188)</f>
        <v>5</v>
      </c>
    </row>
    <row r="185">
      <c r="A185" s="536"/>
      <c r="B185" s="539"/>
      <c r="C185" s="538"/>
      <c r="D185" s="538"/>
      <c r="E185" s="538"/>
      <c r="F185" s="538"/>
      <c r="G185" s="422"/>
      <c r="H185" s="538"/>
      <c r="I185" s="538"/>
      <c r="J185" s="538"/>
      <c r="K185" s="538"/>
      <c r="L185" s="538"/>
      <c r="M185" s="538"/>
      <c r="N185" s="538"/>
      <c r="O185" s="538"/>
      <c r="P185" s="538"/>
      <c r="Q185" s="538"/>
      <c r="R185" s="538"/>
    </row>
    <row r="186">
      <c r="A186" s="536"/>
      <c r="B186" s="539"/>
      <c r="C186" s="538"/>
      <c r="D186" s="538"/>
      <c r="E186" s="538"/>
      <c r="F186" s="538"/>
      <c r="G186" s="422"/>
      <c r="H186" s="538"/>
      <c r="I186" s="538"/>
      <c r="J186" s="538"/>
      <c r="K186" s="538"/>
      <c r="L186" s="538"/>
      <c r="M186" s="538"/>
      <c r="N186" s="538"/>
      <c r="O186" s="538"/>
      <c r="P186" s="538"/>
      <c r="Q186" s="538"/>
      <c r="R186" s="538"/>
    </row>
    <row r="187">
      <c r="A187" s="536"/>
      <c r="B187" s="539"/>
      <c r="C187" s="538"/>
      <c r="D187" s="538"/>
      <c r="E187" s="538"/>
      <c r="F187" s="538"/>
      <c r="G187" s="422"/>
      <c r="H187" s="538"/>
      <c r="I187" s="538"/>
      <c r="J187" s="538"/>
      <c r="K187" s="538"/>
      <c r="L187" s="538"/>
      <c r="M187" s="538"/>
      <c r="N187" s="538"/>
      <c r="O187" s="538"/>
      <c r="P187" s="538"/>
      <c r="Q187" s="538"/>
      <c r="R187" s="538"/>
    </row>
    <row r="188">
      <c r="A188" s="210"/>
      <c r="B188" s="440"/>
      <c r="C188" s="213"/>
      <c r="D188" s="213"/>
      <c r="E188" s="213"/>
      <c r="F188" s="213"/>
      <c r="G188" s="1005"/>
      <c r="H188" s="213"/>
      <c r="I188" s="213"/>
      <c r="J188" s="213"/>
      <c r="K188" s="213"/>
      <c r="L188" s="213"/>
      <c r="M188" s="213"/>
      <c r="N188" s="213"/>
      <c r="O188" s="213"/>
      <c r="P188" s="213"/>
      <c r="Q188" s="213"/>
      <c r="R188" s="213"/>
    </row>
    <row r="189">
      <c r="A189" s="541"/>
      <c r="B189" s="996"/>
      <c r="C189" s="996"/>
      <c r="D189" s="996"/>
      <c r="E189" s="996"/>
      <c r="F189" s="996"/>
      <c r="G189" s="997"/>
      <c r="H189" s="996"/>
      <c r="I189" s="996"/>
      <c r="J189" s="996"/>
      <c r="K189" s="996"/>
      <c r="L189" s="996"/>
      <c r="M189" s="996"/>
      <c r="N189" s="996"/>
      <c r="O189" s="996"/>
      <c r="P189" s="996"/>
      <c r="Q189" s="996"/>
      <c r="R189" s="998">
        <f>AVERAGE(R190:R209)</f>
        <v>3</v>
      </c>
    </row>
    <row r="190">
      <c r="A190" s="693" t="s">
        <v>1638</v>
      </c>
      <c r="B190" s="1000" t="s">
        <v>5339</v>
      </c>
      <c r="C190" s="633">
        <v>3.0</v>
      </c>
      <c r="D190" s="1001" t="s">
        <v>5340</v>
      </c>
      <c r="E190" s="633">
        <v>4.0</v>
      </c>
      <c r="F190" s="1001" t="s">
        <v>5341</v>
      </c>
      <c r="G190" s="1003">
        <v>4.0</v>
      </c>
      <c r="H190" s="1001" t="s">
        <v>5342</v>
      </c>
      <c r="I190" s="633">
        <v>5.0</v>
      </c>
      <c r="J190" s="1001" t="s">
        <v>5343</v>
      </c>
      <c r="K190" s="633">
        <v>5.0</v>
      </c>
      <c r="L190" s="1030" t="s">
        <v>5344</v>
      </c>
      <c r="M190" s="633">
        <v>3.0</v>
      </c>
      <c r="N190" s="1001" t="s">
        <v>1940</v>
      </c>
      <c r="O190" s="633">
        <v>3.0</v>
      </c>
      <c r="P190" s="1004" t="s">
        <v>5345</v>
      </c>
      <c r="Q190" s="633">
        <v>4.0</v>
      </c>
      <c r="R190" s="633">
        <f>_xlfn.MODE.SNGL(B190:Q194)</f>
        <v>3</v>
      </c>
    </row>
    <row r="191">
      <c r="A191" s="536"/>
      <c r="B191" s="539"/>
      <c r="C191" s="538"/>
      <c r="D191" s="538"/>
      <c r="E191" s="538"/>
      <c r="F191" s="538"/>
      <c r="G191" s="422"/>
      <c r="H191" s="538"/>
      <c r="I191" s="538"/>
      <c r="J191" s="538"/>
      <c r="K191" s="538"/>
      <c r="L191" s="538"/>
      <c r="M191" s="538"/>
      <c r="N191" s="538"/>
      <c r="O191" s="538"/>
      <c r="P191" s="538"/>
      <c r="Q191" s="538"/>
      <c r="R191" s="538"/>
    </row>
    <row r="192">
      <c r="A192" s="536"/>
      <c r="B192" s="539"/>
      <c r="C192" s="538"/>
      <c r="D192" s="538"/>
      <c r="E192" s="538"/>
      <c r="F192" s="538"/>
      <c r="G192" s="422"/>
      <c r="H192" s="538"/>
      <c r="I192" s="538"/>
      <c r="J192" s="538"/>
      <c r="K192" s="538"/>
      <c r="L192" s="538"/>
      <c r="M192" s="538"/>
      <c r="N192" s="538"/>
      <c r="O192" s="538"/>
      <c r="P192" s="538"/>
      <c r="Q192" s="538"/>
      <c r="R192" s="538"/>
    </row>
    <row r="193">
      <c r="A193" s="536"/>
      <c r="B193" s="539"/>
      <c r="C193" s="538"/>
      <c r="D193" s="538"/>
      <c r="E193" s="538"/>
      <c r="F193" s="538"/>
      <c r="G193" s="422"/>
      <c r="H193" s="538"/>
      <c r="I193" s="538"/>
      <c r="J193" s="538"/>
      <c r="K193" s="538"/>
      <c r="L193" s="538"/>
      <c r="M193" s="538"/>
      <c r="N193" s="538"/>
      <c r="O193" s="538"/>
      <c r="P193" s="538"/>
      <c r="Q193" s="538"/>
      <c r="R193" s="538"/>
    </row>
    <row r="194">
      <c r="A194" s="210"/>
      <c r="B194" s="440"/>
      <c r="C194" s="213"/>
      <c r="D194" s="213"/>
      <c r="E194" s="213"/>
      <c r="F194" s="213"/>
      <c r="G194" s="1005"/>
      <c r="H194" s="213"/>
      <c r="I194" s="213"/>
      <c r="J194" s="213"/>
      <c r="K194" s="213"/>
      <c r="L194" s="213"/>
      <c r="M194" s="213"/>
      <c r="N194" s="213"/>
      <c r="O194" s="213"/>
      <c r="P194" s="213"/>
      <c r="Q194" s="213"/>
      <c r="R194" s="213"/>
    </row>
    <row r="195">
      <c r="A195" s="693" t="s">
        <v>1638</v>
      </c>
      <c r="B195" s="1007" t="s">
        <v>5346</v>
      </c>
      <c r="C195" s="633">
        <v>3.0</v>
      </c>
      <c r="D195" s="1001" t="s">
        <v>5347</v>
      </c>
      <c r="E195" s="633">
        <v>3.0</v>
      </c>
      <c r="F195" s="594" t="s">
        <v>5348</v>
      </c>
      <c r="G195" s="1003">
        <v>3.0</v>
      </c>
      <c r="H195" s="1001" t="s">
        <v>5349</v>
      </c>
      <c r="I195" s="633">
        <v>3.0</v>
      </c>
      <c r="J195" s="1001" t="s">
        <v>5350</v>
      </c>
      <c r="K195" s="1010">
        <v>4.0</v>
      </c>
      <c r="L195" s="1002" t="s">
        <v>5350</v>
      </c>
      <c r="M195" s="1010">
        <v>2.0</v>
      </c>
      <c r="N195" s="1001" t="s">
        <v>5350</v>
      </c>
      <c r="O195" s="1010">
        <v>3.0</v>
      </c>
      <c r="P195" s="1002" t="s">
        <v>5350</v>
      </c>
      <c r="Q195" s="1010">
        <v>3.0</v>
      </c>
      <c r="R195" s="633">
        <f>_xlfn.MODE.SNGL(B195:Q199)</f>
        <v>3</v>
      </c>
    </row>
    <row r="196">
      <c r="A196" s="536"/>
      <c r="B196" s="539"/>
      <c r="C196" s="538"/>
      <c r="D196" s="538"/>
      <c r="E196" s="538"/>
      <c r="F196" s="538"/>
      <c r="G196" s="422"/>
      <c r="H196" s="538"/>
      <c r="I196" s="538"/>
      <c r="J196" s="538"/>
      <c r="K196" s="539"/>
      <c r="L196" s="539"/>
      <c r="M196" s="539"/>
      <c r="N196" s="538"/>
      <c r="O196" s="539"/>
      <c r="P196" s="539"/>
      <c r="Q196" s="539"/>
      <c r="R196" s="538"/>
    </row>
    <row r="197">
      <c r="A197" s="536"/>
      <c r="B197" s="539"/>
      <c r="C197" s="538"/>
      <c r="D197" s="538"/>
      <c r="E197" s="538"/>
      <c r="F197" s="538"/>
      <c r="G197" s="422"/>
      <c r="H197" s="538"/>
      <c r="I197" s="538"/>
      <c r="J197" s="538"/>
      <c r="K197" s="539"/>
      <c r="L197" s="539"/>
      <c r="M197" s="539"/>
      <c r="N197" s="538"/>
      <c r="O197" s="539"/>
      <c r="P197" s="539"/>
      <c r="Q197" s="539"/>
      <c r="R197" s="538"/>
    </row>
    <row r="198">
      <c r="A198" s="536"/>
      <c r="B198" s="539"/>
      <c r="C198" s="538"/>
      <c r="D198" s="538"/>
      <c r="E198" s="538"/>
      <c r="F198" s="538"/>
      <c r="G198" s="422"/>
      <c r="H198" s="538"/>
      <c r="I198" s="538"/>
      <c r="J198" s="538"/>
      <c r="K198" s="539"/>
      <c r="L198" s="539"/>
      <c r="M198" s="539"/>
      <c r="N198" s="538"/>
      <c r="O198" s="539"/>
      <c r="P198" s="539"/>
      <c r="Q198" s="539"/>
      <c r="R198" s="538"/>
    </row>
    <row r="199">
      <c r="A199" s="210"/>
      <c r="B199" s="440"/>
      <c r="C199" s="213"/>
      <c r="D199" s="213"/>
      <c r="E199" s="213"/>
      <c r="F199" s="213"/>
      <c r="G199" s="1005"/>
      <c r="H199" s="213"/>
      <c r="I199" s="213"/>
      <c r="J199" s="213"/>
      <c r="K199" s="440"/>
      <c r="L199" s="440"/>
      <c r="M199" s="440"/>
      <c r="N199" s="213"/>
      <c r="O199" s="440"/>
      <c r="P199" s="440"/>
      <c r="Q199" s="440"/>
      <c r="R199" s="213"/>
    </row>
    <row r="200">
      <c r="A200" s="693" t="s">
        <v>1638</v>
      </c>
      <c r="B200" s="1000" t="s">
        <v>5351</v>
      </c>
      <c r="C200" s="633">
        <v>3.0</v>
      </c>
      <c r="D200" s="1001" t="s">
        <v>5352</v>
      </c>
      <c r="E200" s="633">
        <v>3.0</v>
      </c>
      <c r="F200" s="594" t="s">
        <v>5353</v>
      </c>
      <c r="G200" s="1003">
        <v>4.0</v>
      </c>
      <c r="H200" s="1001" t="s">
        <v>5354</v>
      </c>
      <c r="I200" s="633">
        <v>1.0</v>
      </c>
      <c r="J200" s="1001" t="s">
        <v>5355</v>
      </c>
      <c r="K200" s="1010">
        <v>3.0</v>
      </c>
      <c r="L200" s="1002" t="s">
        <v>5355</v>
      </c>
      <c r="M200" s="1010">
        <v>1.0</v>
      </c>
      <c r="N200" s="1001" t="s">
        <v>5355</v>
      </c>
      <c r="O200" s="1010">
        <v>3.0</v>
      </c>
      <c r="P200" s="1002" t="s">
        <v>5355</v>
      </c>
      <c r="Q200" s="1010">
        <v>2.0</v>
      </c>
      <c r="R200" s="633">
        <f>_xlfn.MODE.SNGL(B200:Q204)</f>
        <v>3</v>
      </c>
    </row>
    <row r="201">
      <c r="A201" s="536"/>
      <c r="B201" s="539"/>
      <c r="C201" s="538"/>
      <c r="D201" s="538"/>
      <c r="E201" s="538"/>
      <c r="F201" s="538"/>
      <c r="G201" s="422"/>
      <c r="H201" s="538"/>
      <c r="I201" s="538"/>
      <c r="J201" s="538"/>
      <c r="K201" s="539"/>
      <c r="L201" s="539"/>
      <c r="M201" s="539"/>
      <c r="N201" s="538"/>
      <c r="O201" s="539"/>
      <c r="P201" s="539"/>
      <c r="Q201" s="539"/>
      <c r="R201" s="538"/>
    </row>
    <row r="202">
      <c r="A202" s="536"/>
      <c r="B202" s="539"/>
      <c r="C202" s="538"/>
      <c r="D202" s="538"/>
      <c r="E202" s="538"/>
      <c r="F202" s="538"/>
      <c r="G202" s="422"/>
      <c r="H202" s="538"/>
      <c r="I202" s="538"/>
      <c r="J202" s="538"/>
      <c r="K202" s="539"/>
      <c r="L202" s="539"/>
      <c r="M202" s="539"/>
      <c r="N202" s="538"/>
      <c r="O202" s="539"/>
      <c r="P202" s="539"/>
      <c r="Q202" s="539"/>
      <c r="R202" s="538"/>
    </row>
    <row r="203">
      <c r="A203" s="536"/>
      <c r="B203" s="539"/>
      <c r="C203" s="538"/>
      <c r="D203" s="538"/>
      <c r="E203" s="538"/>
      <c r="F203" s="538"/>
      <c r="G203" s="422"/>
      <c r="H203" s="538"/>
      <c r="I203" s="538"/>
      <c r="J203" s="538"/>
      <c r="K203" s="539"/>
      <c r="L203" s="539"/>
      <c r="M203" s="539"/>
      <c r="N203" s="538"/>
      <c r="O203" s="539"/>
      <c r="P203" s="539"/>
      <c r="Q203" s="539"/>
      <c r="R203" s="538"/>
    </row>
    <row r="204">
      <c r="A204" s="210"/>
      <c r="B204" s="440"/>
      <c r="C204" s="213"/>
      <c r="D204" s="213"/>
      <c r="E204" s="213"/>
      <c r="F204" s="213"/>
      <c r="G204" s="1005"/>
      <c r="H204" s="213"/>
      <c r="I204" s="213"/>
      <c r="J204" s="213"/>
      <c r="K204" s="440"/>
      <c r="L204" s="440"/>
      <c r="M204" s="440"/>
      <c r="N204" s="213"/>
      <c r="O204" s="440"/>
      <c r="P204" s="440"/>
      <c r="Q204" s="440"/>
      <c r="R204" s="213"/>
    </row>
    <row r="205">
      <c r="A205" s="693" t="s">
        <v>1638</v>
      </c>
      <c r="B205" s="1000" t="s">
        <v>5356</v>
      </c>
      <c r="C205" s="633">
        <v>3.0</v>
      </c>
      <c r="D205" s="1001" t="s">
        <v>5357</v>
      </c>
      <c r="E205" s="633">
        <v>3.0</v>
      </c>
      <c r="F205" s="1001" t="s">
        <v>5358</v>
      </c>
      <c r="G205" s="1003">
        <v>3.0</v>
      </c>
      <c r="H205" s="1001" t="s">
        <v>5359</v>
      </c>
      <c r="I205" s="633">
        <v>5.0</v>
      </c>
      <c r="J205" s="1001" t="s">
        <v>5360</v>
      </c>
      <c r="K205" s="633">
        <v>4.0</v>
      </c>
      <c r="L205" s="1001" t="s">
        <v>5361</v>
      </c>
      <c r="M205" s="633">
        <v>3.0</v>
      </c>
      <c r="N205" s="1001" t="s">
        <v>5362</v>
      </c>
      <c r="O205" s="633">
        <v>1.0</v>
      </c>
      <c r="P205" s="1011" t="s">
        <v>5363</v>
      </c>
      <c r="Q205" s="633">
        <v>3.0</v>
      </c>
      <c r="R205" s="633">
        <f>_xlfn.MODE.SNGL(B205:Q209)</f>
        <v>3</v>
      </c>
    </row>
    <row r="206">
      <c r="A206" s="536"/>
      <c r="B206" s="539"/>
      <c r="C206" s="538"/>
      <c r="D206" s="538"/>
      <c r="E206" s="538"/>
      <c r="F206" s="538"/>
      <c r="G206" s="422"/>
      <c r="H206" s="538"/>
      <c r="I206" s="538"/>
      <c r="J206" s="538"/>
      <c r="K206" s="538"/>
      <c r="L206" s="538"/>
      <c r="M206" s="538"/>
      <c r="N206" s="538"/>
      <c r="O206" s="538"/>
      <c r="P206" s="539"/>
      <c r="Q206" s="538"/>
      <c r="R206" s="538"/>
    </row>
    <row r="207">
      <c r="A207" s="536"/>
      <c r="B207" s="539"/>
      <c r="C207" s="538"/>
      <c r="D207" s="538"/>
      <c r="E207" s="538"/>
      <c r="F207" s="538"/>
      <c r="G207" s="422"/>
      <c r="H207" s="538"/>
      <c r="I207" s="538"/>
      <c r="J207" s="538"/>
      <c r="K207" s="538"/>
      <c r="L207" s="538"/>
      <c r="M207" s="538"/>
      <c r="N207" s="538"/>
      <c r="O207" s="538"/>
      <c r="P207" s="539"/>
      <c r="Q207" s="538"/>
      <c r="R207" s="538"/>
    </row>
    <row r="208">
      <c r="A208" s="536"/>
      <c r="B208" s="539"/>
      <c r="C208" s="538"/>
      <c r="D208" s="538"/>
      <c r="E208" s="538"/>
      <c r="F208" s="538"/>
      <c r="G208" s="422"/>
      <c r="H208" s="538"/>
      <c r="I208" s="538"/>
      <c r="J208" s="538"/>
      <c r="K208" s="538"/>
      <c r="L208" s="538"/>
      <c r="M208" s="538"/>
      <c r="N208" s="538"/>
      <c r="O208" s="538"/>
      <c r="P208" s="539"/>
      <c r="Q208" s="538"/>
      <c r="R208" s="538"/>
    </row>
    <row r="209">
      <c r="A209" s="210"/>
      <c r="B209" s="440"/>
      <c r="C209" s="213"/>
      <c r="D209" s="213"/>
      <c r="E209" s="213"/>
      <c r="F209" s="213"/>
      <c r="G209" s="1005"/>
      <c r="H209" s="213"/>
      <c r="I209" s="213"/>
      <c r="J209" s="213"/>
      <c r="K209" s="213"/>
      <c r="L209" s="213"/>
      <c r="M209" s="213"/>
      <c r="N209" s="213"/>
      <c r="O209" s="213"/>
      <c r="P209" s="440"/>
      <c r="Q209" s="213"/>
      <c r="R209" s="213"/>
    </row>
    <row r="210">
      <c r="A210" s="541"/>
      <c r="B210" s="996"/>
      <c r="C210" s="996"/>
      <c r="D210" s="996"/>
      <c r="E210" s="996"/>
      <c r="F210" s="996"/>
      <c r="G210" s="997"/>
      <c r="H210" s="996"/>
      <c r="I210" s="996"/>
      <c r="J210" s="996"/>
      <c r="K210" s="996"/>
      <c r="L210" s="996"/>
      <c r="M210" s="996"/>
      <c r="N210" s="996"/>
      <c r="O210" s="996"/>
      <c r="P210" s="996"/>
      <c r="Q210" s="996"/>
      <c r="R210" s="998">
        <f>R211</f>
        <v>5</v>
      </c>
    </row>
    <row r="211">
      <c r="A211" s="693" t="s">
        <v>1638</v>
      </c>
      <c r="B211" s="1000" t="s">
        <v>5364</v>
      </c>
      <c r="C211" s="633">
        <v>5.0</v>
      </c>
      <c r="D211" s="1029" t="s">
        <v>5365</v>
      </c>
      <c r="E211" s="633">
        <v>5.0</v>
      </c>
      <c r="F211" s="1001" t="s">
        <v>5366</v>
      </c>
      <c r="G211" s="1003">
        <v>4.0</v>
      </c>
      <c r="H211" s="1001" t="s">
        <v>5367</v>
      </c>
      <c r="I211" s="633">
        <v>5.0</v>
      </c>
      <c r="J211" s="1001" t="s">
        <v>5368</v>
      </c>
      <c r="K211" s="633">
        <v>5.0</v>
      </c>
      <c r="L211" s="1030" t="s">
        <v>5369</v>
      </c>
      <c r="M211" s="1017">
        <v>4.0</v>
      </c>
      <c r="N211" s="1001" t="s">
        <v>1974</v>
      </c>
      <c r="O211" s="633">
        <v>3.0</v>
      </c>
      <c r="P211" s="1001" t="s">
        <v>5370</v>
      </c>
      <c r="Q211" s="633">
        <v>4.0</v>
      </c>
      <c r="R211" s="633">
        <f>_xlfn.MODE.SNGL(B211:Q215)</f>
        <v>5</v>
      </c>
    </row>
    <row r="212">
      <c r="A212" s="536"/>
      <c r="B212" s="539"/>
      <c r="C212" s="538"/>
      <c r="D212" s="538"/>
      <c r="E212" s="538"/>
      <c r="F212" s="538"/>
      <c r="G212" s="422"/>
      <c r="H212" s="538"/>
      <c r="I212" s="538"/>
      <c r="J212" s="538"/>
      <c r="K212" s="538"/>
      <c r="L212" s="538"/>
      <c r="M212" s="539"/>
      <c r="N212" s="538"/>
      <c r="O212" s="538"/>
      <c r="P212" s="538"/>
      <c r="Q212" s="538"/>
      <c r="R212" s="538"/>
    </row>
    <row r="213">
      <c r="A213" s="536"/>
      <c r="B213" s="539"/>
      <c r="C213" s="538"/>
      <c r="D213" s="538"/>
      <c r="E213" s="538"/>
      <c r="F213" s="538"/>
      <c r="G213" s="422"/>
      <c r="H213" s="538"/>
      <c r="I213" s="538"/>
      <c r="J213" s="538"/>
      <c r="K213" s="538"/>
      <c r="L213" s="538"/>
      <c r="M213" s="539"/>
      <c r="N213" s="538"/>
      <c r="O213" s="538"/>
      <c r="P213" s="538"/>
      <c r="Q213" s="538"/>
      <c r="R213" s="538"/>
    </row>
    <row r="214">
      <c r="A214" s="536"/>
      <c r="B214" s="539"/>
      <c r="C214" s="538"/>
      <c r="D214" s="538"/>
      <c r="E214" s="538"/>
      <c r="F214" s="538"/>
      <c r="G214" s="422"/>
      <c r="H214" s="538"/>
      <c r="I214" s="538"/>
      <c r="J214" s="538"/>
      <c r="K214" s="538"/>
      <c r="L214" s="538"/>
      <c r="M214" s="539"/>
      <c r="N214" s="538"/>
      <c r="O214" s="538"/>
      <c r="P214" s="538"/>
      <c r="Q214" s="538"/>
      <c r="R214" s="538"/>
    </row>
    <row r="215">
      <c r="A215" s="210"/>
      <c r="B215" s="440"/>
      <c r="C215" s="213"/>
      <c r="D215" s="213"/>
      <c r="E215" s="213"/>
      <c r="F215" s="213"/>
      <c r="G215" s="1005"/>
      <c r="H215" s="213"/>
      <c r="I215" s="213"/>
      <c r="J215" s="213"/>
      <c r="K215" s="213"/>
      <c r="L215" s="213"/>
      <c r="M215" s="440"/>
      <c r="N215" s="213"/>
      <c r="O215" s="213"/>
      <c r="P215" s="213"/>
      <c r="Q215" s="213"/>
      <c r="R215" s="213"/>
    </row>
    <row r="216">
      <c r="A216" s="541"/>
      <c r="B216" s="996"/>
      <c r="C216" s="996"/>
      <c r="D216" s="996"/>
      <c r="E216" s="996"/>
      <c r="F216" s="996"/>
      <c r="G216" s="997"/>
      <c r="H216" s="996"/>
      <c r="I216" s="996"/>
      <c r="J216" s="996"/>
      <c r="K216" s="996"/>
      <c r="L216" s="996"/>
      <c r="M216" s="996"/>
      <c r="N216" s="996"/>
      <c r="O216" s="996"/>
      <c r="P216" s="996"/>
      <c r="Q216" s="996"/>
      <c r="R216" s="998">
        <f>AVERAGE(R217:R231)</f>
        <v>3</v>
      </c>
    </row>
    <row r="217">
      <c r="A217" s="693" t="s">
        <v>1638</v>
      </c>
      <c r="B217" s="1000" t="s">
        <v>5371</v>
      </c>
      <c r="C217" s="633">
        <v>3.0</v>
      </c>
      <c r="D217" s="1001" t="s">
        <v>5372</v>
      </c>
      <c r="E217" s="633">
        <v>5.0</v>
      </c>
      <c r="F217" s="1001" t="s">
        <v>5373</v>
      </c>
      <c r="G217" s="1003">
        <v>4.0</v>
      </c>
      <c r="H217" s="1001" t="s">
        <v>5374</v>
      </c>
      <c r="I217" s="633">
        <v>3.0</v>
      </c>
      <c r="J217" s="1001" t="s">
        <v>5375</v>
      </c>
      <c r="K217" s="633">
        <v>5.0</v>
      </c>
      <c r="L217" s="1001" t="s">
        <v>5376</v>
      </c>
      <c r="M217" s="633">
        <v>4.0</v>
      </c>
      <c r="N217" s="1001" t="s">
        <v>1982</v>
      </c>
      <c r="O217" s="633">
        <v>3.0</v>
      </c>
      <c r="P217" s="1001" t="s">
        <v>5377</v>
      </c>
      <c r="Q217" s="633">
        <v>3.0</v>
      </c>
      <c r="R217" s="633">
        <f>_xlfn.MODE.SNGL(B217:Q221)</f>
        <v>3</v>
      </c>
    </row>
    <row r="218">
      <c r="A218" s="536"/>
      <c r="B218" s="539"/>
      <c r="C218" s="538"/>
      <c r="D218" s="538"/>
      <c r="E218" s="538"/>
      <c r="F218" s="538"/>
      <c r="G218" s="422"/>
      <c r="H218" s="538"/>
      <c r="I218" s="538"/>
      <c r="J218" s="538"/>
      <c r="K218" s="538"/>
      <c r="L218" s="538"/>
      <c r="M218" s="538"/>
      <c r="N218" s="538"/>
      <c r="O218" s="538"/>
      <c r="P218" s="538"/>
      <c r="Q218" s="538"/>
      <c r="R218" s="538"/>
    </row>
    <row r="219">
      <c r="A219" s="536"/>
      <c r="B219" s="539"/>
      <c r="C219" s="538"/>
      <c r="D219" s="538"/>
      <c r="E219" s="538"/>
      <c r="F219" s="538"/>
      <c r="G219" s="422"/>
      <c r="H219" s="538"/>
      <c r="I219" s="538"/>
      <c r="J219" s="538"/>
      <c r="K219" s="538"/>
      <c r="L219" s="538"/>
      <c r="M219" s="538"/>
      <c r="N219" s="538"/>
      <c r="O219" s="538"/>
      <c r="P219" s="538"/>
      <c r="Q219" s="538"/>
      <c r="R219" s="538"/>
    </row>
    <row r="220">
      <c r="A220" s="536"/>
      <c r="B220" s="539"/>
      <c r="C220" s="538"/>
      <c r="D220" s="538"/>
      <c r="E220" s="538"/>
      <c r="F220" s="538"/>
      <c r="G220" s="422"/>
      <c r="H220" s="538"/>
      <c r="I220" s="538"/>
      <c r="J220" s="538"/>
      <c r="K220" s="538"/>
      <c r="L220" s="538"/>
      <c r="M220" s="538"/>
      <c r="N220" s="538"/>
      <c r="O220" s="538"/>
      <c r="P220" s="538"/>
      <c r="Q220" s="538"/>
      <c r="R220" s="538"/>
    </row>
    <row r="221">
      <c r="A221" s="210"/>
      <c r="B221" s="440"/>
      <c r="C221" s="213"/>
      <c r="D221" s="213"/>
      <c r="E221" s="213"/>
      <c r="F221" s="213"/>
      <c r="G221" s="1005"/>
      <c r="H221" s="213"/>
      <c r="I221" s="213"/>
      <c r="J221" s="213"/>
      <c r="K221" s="213"/>
      <c r="L221" s="213"/>
      <c r="M221" s="213"/>
      <c r="N221" s="213"/>
      <c r="O221" s="213"/>
      <c r="P221" s="213"/>
      <c r="Q221" s="213"/>
      <c r="R221" s="213"/>
    </row>
    <row r="222">
      <c r="A222" s="693" t="s">
        <v>1638</v>
      </c>
      <c r="B222" s="1000" t="s">
        <v>5378</v>
      </c>
      <c r="C222" s="633">
        <v>2.0</v>
      </c>
      <c r="D222" s="1001" t="s">
        <v>5379</v>
      </c>
      <c r="E222" s="633">
        <v>3.0</v>
      </c>
      <c r="F222" s="594" t="s">
        <v>5380</v>
      </c>
      <c r="G222" s="1003">
        <v>3.0</v>
      </c>
      <c r="H222" s="1001" t="s">
        <v>5381</v>
      </c>
      <c r="I222" s="633">
        <v>3.0</v>
      </c>
      <c r="J222" s="1001" t="s">
        <v>5382</v>
      </c>
      <c r="K222" s="1019">
        <v>3.0</v>
      </c>
      <c r="L222" s="1002" t="s">
        <v>5382</v>
      </c>
      <c r="M222" s="1010">
        <v>3.0</v>
      </c>
      <c r="N222" s="1001" t="s">
        <v>5383</v>
      </c>
      <c r="O222" s="1010">
        <v>1.0</v>
      </c>
      <c r="P222" s="1011" t="s">
        <v>5382</v>
      </c>
      <c r="Q222" s="1010">
        <v>3.0</v>
      </c>
      <c r="R222" s="633">
        <f>_xlfn.MODE.SNGL(B222:Q226)</f>
        <v>3</v>
      </c>
    </row>
    <row r="223">
      <c r="A223" s="536"/>
      <c r="B223" s="539"/>
      <c r="C223" s="538"/>
      <c r="D223" s="538"/>
      <c r="E223" s="538"/>
      <c r="F223" s="538"/>
      <c r="G223" s="422"/>
      <c r="H223" s="538"/>
      <c r="I223" s="538"/>
      <c r="J223" s="538"/>
      <c r="K223" s="539"/>
      <c r="L223" s="539"/>
      <c r="M223" s="539"/>
      <c r="N223" s="538"/>
      <c r="O223" s="539"/>
      <c r="P223" s="539"/>
      <c r="Q223" s="539"/>
      <c r="R223" s="538"/>
    </row>
    <row r="224">
      <c r="A224" s="536"/>
      <c r="B224" s="539"/>
      <c r="C224" s="538"/>
      <c r="D224" s="538"/>
      <c r="E224" s="538"/>
      <c r="F224" s="538"/>
      <c r="G224" s="422"/>
      <c r="H224" s="538"/>
      <c r="I224" s="538"/>
      <c r="J224" s="538"/>
      <c r="K224" s="539"/>
      <c r="L224" s="539"/>
      <c r="M224" s="539"/>
      <c r="N224" s="538"/>
      <c r="O224" s="539"/>
      <c r="P224" s="539"/>
      <c r="Q224" s="539"/>
      <c r="R224" s="538"/>
    </row>
    <row r="225">
      <c r="A225" s="536"/>
      <c r="B225" s="539"/>
      <c r="C225" s="538"/>
      <c r="D225" s="538"/>
      <c r="E225" s="538"/>
      <c r="F225" s="538"/>
      <c r="G225" s="422"/>
      <c r="H225" s="538"/>
      <c r="I225" s="538"/>
      <c r="J225" s="538"/>
      <c r="K225" s="539"/>
      <c r="L225" s="539"/>
      <c r="M225" s="539"/>
      <c r="N225" s="538"/>
      <c r="O225" s="539"/>
      <c r="P225" s="539"/>
      <c r="Q225" s="539"/>
      <c r="R225" s="538"/>
    </row>
    <row r="226">
      <c r="A226" s="210"/>
      <c r="B226" s="440"/>
      <c r="C226" s="213"/>
      <c r="D226" s="213"/>
      <c r="E226" s="213"/>
      <c r="F226" s="213"/>
      <c r="G226" s="1005"/>
      <c r="H226" s="213"/>
      <c r="I226" s="213"/>
      <c r="J226" s="213"/>
      <c r="K226" s="440"/>
      <c r="L226" s="440"/>
      <c r="M226" s="440"/>
      <c r="N226" s="213"/>
      <c r="O226" s="440"/>
      <c r="P226" s="440"/>
      <c r="Q226" s="440"/>
      <c r="R226" s="213"/>
    </row>
    <row r="227">
      <c r="A227" s="693" t="s">
        <v>1638</v>
      </c>
      <c r="B227" s="1000" t="s">
        <v>5384</v>
      </c>
      <c r="C227" s="1013">
        <v>3.0</v>
      </c>
      <c r="D227" s="1001" t="s">
        <v>5385</v>
      </c>
      <c r="E227" s="633">
        <v>3.0</v>
      </c>
      <c r="F227" s="1001" t="s">
        <v>5386</v>
      </c>
      <c r="G227" s="1003">
        <v>3.0</v>
      </c>
      <c r="H227" s="1001" t="s">
        <v>5387</v>
      </c>
      <c r="I227" s="633">
        <v>3.0</v>
      </c>
      <c r="J227" s="1001" t="s">
        <v>5388</v>
      </c>
      <c r="K227" s="1019">
        <v>3.0</v>
      </c>
      <c r="L227" s="1002" t="s">
        <v>5389</v>
      </c>
      <c r="M227" s="633">
        <v>3.0</v>
      </c>
      <c r="N227" s="594" t="s">
        <v>5390</v>
      </c>
      <c r="O227" s="633">
        <v>1.0</v>
      </c>
      <c r="P227" s="1011" t="s">
        <v>5388</v>
      </c>
      <c r="Q227" s="633">
        <v>3.0</v>
      </c>
      <c r="R227" s="633">
        <f>_xlfn.MODE.SNGL(B227:Q231)</f>
        <v>3</v>
      </c>
    </row>
    <row r="228">
      <c r="A228" s="536"/>
      <c r="B228" s="539"/>
      <c r="C228" s="539"/>
      <c r="D228" s="538"/>
      <c r="E228" s="538"/>
      <c r="F228" s="538"/>
      <c r="G228" s="422"/>
      <c r="H228" s="538"/>
      <c r="I228" s="538"/>
      <c r="J228" s="538"/>
      <c r="K228" s="539"/>
      <c r="L228" s="539"/>
      <c r="M228" s="538"/>
      <c r="N228" s="538"/>
      <c r="O228" s="538"/>
      <c r="P228" s="539"/>
      <c r="Q228" s="538"/>
      <c r="R228" s="538"/>
    </row>
    <row r="229">
      <c r="A229" s="536"/>
      <c r="B229" s="539"/>
      <c r="C229" s="539"/>
      <c r="D229" s="538"/>
      <c r="E229" s="538"/>
      <c r="F229" s="538"/>
      <c r="G229" s="422"/>
      <c r="H229" s="538"/>
      <c r="I229" s="538"/>
      <c r="J229" s="538"/>
      <c r="K229" s="539"/>
      <c r="L229" s="539"/>
      <c r="M229" s="538"/>
      <c r="N229" s="538"/>
      <c r="O229" s="538"/>
      <c r="P229" s="539"/>
      <c r="Q229" s="538"/>
      <c r="R229" s="538"/>
    </row>
    <row r="230">
      <c r="A230" s="536"/>
      <c r="B230" s="539"/>
      <c r="C230" s="539"/>
      <c r="D230" s="538"/>
      <c r="E230" s="538"/>
      <c r="F230" s="538"/>
      <c r="G230" s="422"/>
      <c r="H230" s="538"/>
      <c r="I230" s="538"/>
      <c r="J230" s="538"/>
      <c r="K230" s="539"/>
      <c r="L230" s="539"/>
      <c r="M230" s="538"/>
      <c r="N230" s="538"/>
      <c r="O230" s="538"/>
      <c r="P230" s="539"/>
      <c r="Q230" s="538"/>
      <c r="R230" s="538"/>
    </row>
    <row r="231">
      <c r="A231" s="210"/>
      <c r="B231" s="440"/>
      <c r="C231" s="440"/>
      <c r="D231" s="213"/>
      <c r="E231" s="213"/>
      <c r="F231" s="213"/>
      <c r="G231" s="1005"/>
      <c r="H231" s="213"/>
      <c r="I231" s="213"/>
      <c r="J231" s="213"/>
      <c r="K231" s="440"/>
      <c r="L231" s="440"/>
      <c r="M231" s="213"/>
      <c r="N231" s="213"/>
      <c r="O231" s="213"/>
      <c r="P231" s="440"/>
      <c r="Q231" s="213"/>
      <c r="R231" s="213"/>
    </row>
    <row r="232">
      <c r="A232" s="541"/>
      <c r="B232" s="996"/>
      <c r="C232" s="996"/>
      <c r="D232" s="996"/>
      <c r="E232" s="996"/>
      <c r="F232" s="996"/>
      <c r="G232" s="997"/>
      <c r="H232" s="996"/>
      <c r="I232" s="996"/>
      <c r="J232" s="996"/>
      <c r="K232" s="996"/>
      <c r="L232" s="996"/>
      <c r="M232" s="996"/>
      <c r="N232" s="996"/>
      <c r="O232" s="996"/>
      <c r="P232" s="996"/>
      <c r="Q232" s="996"/>
      <c r="R232" s="998">
        <f>AVERAGE(R233:R242)</f>
        <v>3</v>
      </c>
    </row>
    <row r="233">
      <c r="A233" s="693" t="s">
        <v>1638</v>
      </c>
      <c r="B233" s="1000" t="s">
        <v>5391</v>
      </c>
      <c r="C233" s="1013">
        <v>3.0</v>
      </c>
      <c r="D233" s="1001" t="s">
        <v>5392</v>
      </c>
      <c r="E233" s="633">
        <v>3.0</v>
      </c>
      <c r="F233" s="1031" t="s">
        <v>5393</v>
      </c>
      <c r="G233" s="1003">
        <v>4.0</v>
      </c>
      <c r="H233" s="1001" t="s">
        <v>5394</v>
      </c>
      <c r="I233" s="633">
        <v>2.0</v>
      </c>
      <c r="J233" s="1001" t="s">
        <v>5395</v>
      </c>
      <c r="K233" s="1010">
        <v>3.0</v>
      </c>
      <c r="L233" s="1002" t="s">
        <v>5395</v>
      </c>
      <c r="M233" s="1010">
        <v>3.0</v>
      </c>
      <c r="N233" s="1001" t="s">
        <v>5396</v>
      </c>
      <c r="O233" s="1010">
        <v>3.0</v>
      </c>
      <c r="P233" s="1001" t="s">
        <v>5395</v>
      </c>
      <c r="Q233" s="1010">
        <v>3.0</v>
      </c>
      <c r="R233" s="633">
        <f>_xlfn.MODE.SNGL(B233:Q237)</f>
        <v>3</v>
      </c>
    </row>
    <row r="234">
      <c r="A234" s="536"/>
      <c r="B234" s="539"/>
      <c r="C234" s="539"/>
      <c r="D234" s="538"/>
      <c r="E234" s="538"/>
      <c r="F234" s="538"/>
      <c r="G234" s="422"/>
      <c r="H234" s="538"/>
      <c r="I234" s="538"/>
      <c r="J234" s="538"/>
      <c r="K234" s="539"/>
      <c r="L234" s="539"/>
      <c r="M234" s="539"/>
      <c r="N234" s="538"/>
      <c r="O234" s="539"/>
      <c r="P234" s="538"/>
      <c r="Q234" s="539"/>
      <c r="R234" s="538"/>
    </row>
    <row r="235">
      <c r="A235" s="536"/>
      <c r="B235" s="539"/>
      <c r="C235" s="539"/>
      <c r="D235" s="538"/>
      <c r="E235" s="538"/>
      <c r="F235" s="538"/>
      <c r="G235" s="422"/>
      <c r="H235" s="538"/>
      <c r="I235" s="538"/>
      <c r="J235" s="538"/>
      <c r="K235" s="539"/>
      <c r="L235" s="539"/>
      <c r="M235" s="539"/>
      <c r="N235" s="538"/>
      <c r="O235" s="539"/>
      <c r="P235" s="538"/>
      <c r="Q235" s="539"/>
      <c r="R235" s="538"/>
    </row>
    <row r="236">
      <c r="A236" s="536"/>
      <c r="B236" s="539"/>
      <c r="C236" s="539"/>
      <c r="D236" s="538"/>
      <c r="E236" s="538"/>
      <c r="F236" s="538"/>
      <c r="G236" s="422"/>
      <c r="H236" s="538"/>
      <c r="I236" s="538"/>
      <c r="J236" s="538"/>
      <c r="K236" s="539"/>
      <c r="L236" s="539"/>
      <c r="M236" s="539"/>
      <c r="N236" s="538"/>
      <c r="O236" s="539"/>
      <c r="P236" s="538"/>
      <c r="Q236" s="539"/>
      <c r="R236" s="538"/>
    </row>
    <row r="237">
      <c r="A237" s="210"/>
      <c r="B237" s="440"/>
      <c r="C237" s="440"/>
      <c r="D237" s="213"/>
      <c r="E237" s="213"/>
      <c r="F237" s="213"/>
      <c r="G237" s="1005"/>
      <c r="H237" s="213"/>
      <c r="I237" s="213"/>
      <c r="J237" s="213"/>
      <c r="K237" s="440"/>
      <c r="L237" s="440"/>
      <c r="M237" s="440"/>
      <c r="N237" s="213"/>
      <c r="O237" s="440"/>
      <c r="P237" s="213"/>
      <c r="Q237" s="440"/>
      <c r="R237" s="213"/>
    </row>
    <row r="238">
      <c r="A238" s="693" t="s">
        <v>1638</v>
      </c>
      <c r="B238" s="1009" t="s">
        <v>5397</v>
      </c>
      <c r="C238" s="633">
        <v>3.0</v>
      </c>
      <c r="D238" s="1001" t="s">
        <v>5398</v>
      </c>
      <c r="E238" s="633">
        <v>3.0</v>
      </c>
      <c r="F238" s="1031" t="s">
        <v>5399</v>
      </c>
      <c r="G238" s="1003">
        <v>3.0</v>
      </c>
      <c r="H238" s="1001" t="s">
        <v>5400</v>
      </c>
      <c r="I238" s="633">
        <v>2.0</v>
      </c>
      <c r="J238" s="1001" t="s">
        <v>5401</v>
      </c>
      <c r="K238" s="1010">
        <v>3.0</v>
      </c>
      <c r="L238" s="1002" t="s">
        <v>5401</v>
      </c>
      <c r="M238" s="1010">
        <v>3.0</v>
      </c>
      <c r="N238" s="1001" t="s">
        <v>5402</v>
      </c>
      <c r="O238" s="1010">
        <v>3.0</v>
      </c>
      <c r="P238" s="1011" t="s">
        <v>5401</v>
      </c>
      <c r="Q238" s="1010">
        <v>3.0</v>
      </c>
      <c r="R238" s="633">
        <f>_xlfn.MODE.SNGL(B238:Q242)</f>
        <v>3</v>
      </c>
    </row>
    <row r="239">
      <c r="A239" s="536"/>
      <c r="B239" s="539"/>
      <c r="C239" s="538"/>
      <c r="D239" s="538"/>
      <c r="E239" s="538"/>
      <c r="F239" s="538"/>
      <c r="G239" s="422"/>
      <c r="H239" s="538"/>
      <c r="I239" s="538"/>
      <c r="J239" s="538"/>
      <c r="K239" s="539"/>
      <c r="L239" s="539"/>
      <c r="M239" s="539"/>
      <c r="N239" s="538"/>
      <c r="O239" s="539"/>
      <c r="P239" s="539"/>
      <c r="Q239" s="539"/>
      <c r="R239" s="538"/>
    </row>
    <row r="240">
      <c r="A240" s="536"/>
      <c r="B240" s="539"/>
      <c r="C240" s="538"/>
      <c r="D240" s="538"/>
      <c r="E240" s="538"/>
      <c r="F240" s="538"/>
      <c r="G240" s="422"/>
      <c r="H240" s="538"/>
      <c r="I240" s="538"/>
      <c r="J240" s="538"/>
      <c r="K240" s="539"/>
      <c r="L240" s="539"/>
      <c r="M240" s="539"/>
      <c r="N240" s="538"/>
      <c r="O240" s="539"/>
      <c r="P240" s="539"/>
      <c r="Q240" s="539"/>
      <c r="R240" s="538"/>
    </row>
    <row r="241">
      <c r="A241" s="536"/>
      <c r="B241" s="539"/>
      <c r="C241" s="538"/>
      <c r="D241" s="538"/>
      <c r="E241" s="538"/>
      <c r="F241" s="538"/>
      <c r="G241" s="422"/>
      <c r="H241" s="538"/>
      <c r="I241" s="538"/>
      <c r="J241" s="538"/>
      <c r="K241" s="539"/>
      <c r="L241" s="539"/>
      <c r="M241" s="539"/>
      <c r="N241" s="538"/>
      <c r="O241" s="539"/>
      <c r="P241" s="539"/>
      <c r="Q241" s="539"/>
      <c r="R241" s="538"/>
    </row>
    <row r="242">
      <c r="A242" s="1032"/>
      <c r="B242" s="1033"/>
      <c r="C242" s="1034"/>
      <c r="D242" s="1034"/>
      <c r="E242" s="1034"/>
      <c r="F242" s="1034"/>
      <c r="G242" s="1035"/>
      <c r="H242" s="213"/>
      <c r="I242" s="213"/>
      <c r="J242" s="213"/>
      <c r="K242" s="440"/>
      <c r="L242" s="440"/>
      <c r="M242" s="440"/>
      <c r="N242" s="213"/>
      <c r="O242" s="440"/>
      <c r="P242" s="440"/>
      <c r="Q242" s="440"/>
      <c r="R242" s="213"/>
    </row>
    <row r="243">
      <c r="R243" s="185">
        <f>SUM(R3:R242)</f>
        <v>233.4666667</v>
      </c>
    </row>
  </sheetData>
  <mergeCells count="783">
    <mergeCell ref="O217:O221"/>
    <mergeCell ref="P217:P221"/>
    <mergeCell ref="H217:H221"/>
    <mergeCell ref="I217:I221"/>
    <mergeCell ref="J217:J221"/>
    <mergeCell ref="K217:K221"/>
    <mergeCell ref="L217:L221"/>
    <mergeCell ref="M217:M221"/>
    <mergeCell ref="N217:N221"/>
    <mergeCell ref="O205:O209"/>
    <mergeCell ref="P205:P209"/>
    <mergeCell ref="Q205:Q209"/>
    <mergeCell ref="R205:R209"/>
    <mergeCell ref="H205:H209"/>
    <mergeCell ref="I205:I209"/>
    <mergeCell ref="J205:J209"/>
    <mergeCell ref="K205:K209"/>
    <mergeCell ref="L205:L209"/>
    <mergeCell ref="M205:M209"/>
    <mergeCell ref="N205:N209"/>
    <mergeCell ref="A205:A209"/>
    <mergeCell ref="B205:B209"/>
    <mergeCell ref="C205:C209"/>
    <mergeCell ref="D205:D209"/>
    <mergeCell ref="E205:E209"/>
    <mergeCell ref="F205:F209"/>
    <mergeCell ref="G205:G209"/>
    <mergeCell ref="O211:O215"/>
    <mergeCell ref="P211:P215"/>
    <mergeCell ref="Q211:Q215"/>
    <mergeCell ref="R211:R215"/>
    <mergeCell ref="Q217:Q221"/>
    <mergeCell ref="R217:R221"/>
    <mergeCell ref="H211:H215"/>
    <mergeCell ref="I211:I215"/>
    <mergeCell ref="J211:J215"/>
    <mergeCell ref="K211:K215"/>
    <mergeCell ref="L211:L215"/>
    <mergeCell ref="M211:M215"/>
    <mergeCell ref="N211:N215"/>
    <mergeCell ref="A211:A215"/>
    <mergeCell ref="B211:B215"/>
    <mergeCell ref="C211:C215"/>
    <mergeCell ref="D211:D215"/>
    <mergeCell ref="E211:E215"/>
    <mergeCell ref="F211:F215"/>
    <mergeCell ref="G211:G215"/>
    <mergeCell ref="A217:A221"/>
    <mergeCell ref="B217:B221"/>
    <mergeCell ref="C217:C221"/>
    <mergeCell ref="D217:D221"/>
    <mergeCell ref="E217:E221"/>
    <mergeCell ref="F217:F221"/>
    <mergeCell ref="G217:G221"/>
    <mergeCell ref="O233:O237"/>
    <mergeCell ref="P233:P237"/>
    <mergeCell ref="H233:H237"/>
    <mergeCell ref="I233:I237"/>
    <mergeCell ref="J233:J237"/>
    <mergeCell ref="K233:K237"/>
    <mergeCell ref="L233:L237"/>
    <mergeCell ref="M233:M237"/>
    <mergeCell ref="N233:N237"/>
    <mergeCell ref="O222:O226"/>
    <mergeCell ref="P222:P226"/>
    <mergeCell ref="Q222:Q226"/>
    <mergeCell ref="R222:R226"/>
    <mergeCell ref="H222:H226"/>
    <mergeCell ref="I222:I226"/>
    <mergeCell ref="J222:J226"/>
    <mergeCell ref="K222:K226"/>
    <mergeCell ref="L222:L226"/>
    <mergeCell ref="M222:M226"/>
    <mergeCell ref="N222:N226"/>
    <mergeCell ref="A222:A226"/>
    <mergeCell ref="B222:B226"/>
    <mergeCell ref="C222:C226"/>
    <mergeCell ref="D222:D226"/>
    <mergeCell ref="E222:E226"/>
    <mergeCell ref="F222:F226"/>
    <mergeCell ref="G222:G226"/>
    <mergeCell ref="O227:O231"/>
    <mergeCell ref="P227:P231"/>
    <mergeCell ref="Q227:Q231"/>
    <mergeCell ref="R227:R231"/>
    <mergeCell ref="Q233:Q237"/>
    <mergeCell ref="R233:R237"/>
    <mergeCell ref="H227:H231"/>
    <mergeCell ref="I227:I231"/>
    <mergeCell ref="J227:J231"/>
    <mergeCell ref="K227:K231"/>
    <mergeCell ref="L227:L231"/>
    <mergeCell ref="M227:M231"/>
    <mergeCell ref="N227:N231"/>
    <mergeCell ref="A227:A231"/>
    <mergeCell ref="B227:B231"/>
    <mergeCell ref="C227:C231"/>
    <mergeCell ref="D227:D231"/>
    <mergeCell ref="E227:E231"/>
    <mergeCell ref="F227:F231"/>
    <mergeCell ref="G227:G231"/>
    <mergeCell ref="A233:A237"/>
    <mergeCell ref="B233:B237"/>
    <mergeCell ref="C233:C237"/>
    <mergeCell ref="D233:D237"/>
    <mergeCell ref="E233:E237"/>
    <mergeCell ref="F233:F237"/>
    <mergeCell ref="G233:G237"/>
    <mergeCell ref="O65:O69"/>
    <mergeCell ref="P65:P69"/>
    <mergeCell ref="H65:H69"/>
    <mergeCell ref="I65:I69"/>
    <mergeCell ref="J65:J69"/>
    <mergeCell ref="K65:K69"/>
    <mergeCell ref="L65:L69"/>
    <mergeCell ref="M65:M69"/>
    <mergeCell ref="N65:N69"/>
    <mergeCell ref="O54:O58"/>
    <mergeCell ref="P54:P58"/>
    <mergeCell ref="Q54:Q58"/>
    <mergeCell ref="R54:R58"/>
    <mergeCell ref="H54:H58"/>
    <mergeCell ref="I54:I58"/>
    <mergeCell ref="J54:J58"/>
    <mergeCell ref="K54:K58"/>
    <mergeCell ref="L54:L58"/>
    <mergeCell ref="M54:M58"/>
    <mergeCell ref="N54:N58"/>
    <mergeCell ref="A54:A58"/>
    <mergeCell ref="B54:B58"/>
    <mergeCell ref="C54:C58"/>
    <mergeCell ref="D54:D58"/>
    <mergeCell ref="E54:E58"/>
    <mergeCell ref="F54:F58"/>
    <mergeCell ref="G54:G58"/>
    <mergeCell ref="O59:O63"/>
    <mergeCell ref="P59:P63"/>
    <mergeCell ref="Q59:Q63"/>
    <mergeCell ref="R59:R63"/>
    <mergeCell ref="Q65:Q69"/>
    <mergeCell ref="R65:R69"/>
    <mergeCell ref="H59:H63"/>
    <mergeCell ref="I59:I63"/>
    <mergeCell ref="J59:J63"/>
    <mergeCell ref="K59:K63"/>
    <mergeCell ref="L59:L63"/>
    <mergeCell ref="M59:M63"/>
    <mergeCell ref="N59:N63"/>
    <mergeCell ref="A59:A63"/>
    <mergeCell ref="B59:B63"/>
    <mergeCell ref="C59:C63"/>
    <mergeCell ref="D59:D63"/>
    <mergeCell ref="E59:E63"/>
    <mergeCell ref="F59:F63"/>
    <mergeCell ref="G59:G63"/>
    <mergeCell ref="A65:A69"/>
    <mergeCell ref="B65:B69"/>
    <mergeCell ref="C65:C69"/>
    <mergeCell ref="D65:D69"/>
    <mergeCell ref="E65:E69"/>
    <mergeCell ref="F65:F69"/>
    <mergeCell ref="G65:G69"/>
    <mergeCell ref="O82:O86"/>
    <mergeCell ref="P82:P86"/>
    <mergeCell ref="H82:H86"/>
    <mergeCell ref="I82:I86"/>
    <mergeCell ref="J82:J86"/>
    <mergeCell ref="K82:K86"/>
    <mergeCell ref="L82:L86"/>
    <mergeCell ref="M82:M86"/>
    <mergeCell ref="N82:N86"/>
    <mergeCell ref="O71:O75"/>
    <mergeCell ref="P71:P75"/>
    <mergeCell ref="Q71:Q75"/>
    <mergeCell ref="R71:R75"/>
    <mergeCell ref="H71:H75"/>
    <mergeCell ref="I71:I75"/>
    <mergeCell ref="J71:J75"/>
    <mergeCell ref="K71:K75"/>
    <mergeCell ref="L71:L75"/>
    <mergeCell ref="M71:M75"/>
    <mergeCell ref="N71:N75"/>
    <mergeCell ref="A71:A75"/>
    <mergeCell ref="B71:B75"/>
    <mergeCell ref="C71:C75"/>
    <mergeCell ref="D71:D75"/>
    <mergeCell ref="E71:E75"/>
    <mergeCell ref="F71:F75"/>
    <mergeCell ref="G71:G75"/>
    <mergeCell ref="O76:O80"/>
    <mergeCell ref="P76:P80"/>
    <mergeCell ref="Q76:Q80"/>
    <mergeCell ref="R76:R80"/>
    <mergeCell ref="Q82:Q86"/>
    <mergeCell ref="R82:R86"/>
    <mergeCell ref="H76:H80"/>
    <mergeCell ref="I76:I80"/>
    <mergeCell ref="J76:J80"/>
    <mergeCell ref="K76:K80"/>
    <mergeCell ref="L76:L80"/>
    <mergeCell ref="M76:M80"/>
    <mergeCell ref="N76:N80"/>
    <mergeCell ref="A76:A80"/>
    <mergeCell ref="B76:B80"/>
    <mergeCell ref="C76:C80"/>
    <mergeCell ref="D76:D80"/>
    <mergeCell ref="E76:E80"/>
    <mergeCell ref="F76:F80"/>
    <mergeCell ref="G76:G80"/>
    <mergeCell ref="A82:A86"/>
    <mergeCell ref="B82:B86"/>
    <mergeCell ref="C82:C86"/>
    <mergeCell ref="D82:D86"/>
    <mergeCell ref="E82:E86"/>
    <mergeCell ref="F82:F86"/>
    <mergeCell ref="G82:G86"/>
    <mergeCell ref="O98:O102"/>
    <mergeCell ref="P98:P102"/>
    <mergeCell ref="H98:H102"/>
    <mergeCell ref="I98:I102"/>
    <mergeCell ref="J98:J102"/>
    <mergeCell ref="K98:K102"/>
    <mergeCell ref="L98:L102"/>
    <mergeCell ref="M98:M102"/>
    <mergeCell ref="N98:N102"/>
    <mergeCell ref="O87:O91"/>
    <mergeCell ref="P87:P91"/>
    <mergeCell ref="Q87:Q91"/>
    <mergeCell ref="R87:R91"/>
    <mergeCell ref="H87:H91"/>
    <mergeCell ref="I87:I91"/>
    <mergeCell ref="J87:J91"/>
    <mergeCell ref="K87:K91"/>
    <mergeCell ref="L87:L91"/>
    <mergeCell ref="M87:M91"/>
    <mergeCell ref="N87:N91"/>
    <mergeCell ref="A87:A91"/>
    <mergeCell ref="B87:B91"/>
    <mergeCell ref="C87:C91"/>
    <mergeCell ref="D87:D91"/>
    <mergeCell ref="E87:E91"/>
    <mergeCell ref="F87:F91"/>
    <mergeCell ref="G87:G91"/>
    <mergeCell ref="O92:O96"/>
    <mergeCell ref="P92:P96"/>
    <mergeCell ref="Q92:Q96"/>
    <mergeCell ref="R92:R96"/>
    <mergeCell ref="Q98:Q102"/>
    <mergeCell ref="R98:R102"/>
    <mergeCell ref="H92:H96"/>
    <mergeCell ref="I92:I96"/>
    <mergeCell ref="J92:J96"/>
    <mergeCell ref="K92:K96"/>
    <mergeCell ref="L92:L96"/>
    <mergeCell ref="M92:M96"/>
    <mergeCell ref="N92:N96"/>
    <mergeCell ref="A92:A96"/>
    <mergeCell ref="B92:B96"/>
    <mergeCell ref="C92:C96"/>
    <mergeCell ref="D92:D96"/>
    <mergeCell ref="E92:E96"/>
    <mergeCell ref="F92:F96"/>
    <mergeCell ref="G92:G96"/>
    <mergeCell ref="A98:A102"/>
    <mergeCell ref="B98:B102"/>
    <mergeCell ref="C98:C102"/>
    <mergeCell ref="D98:D102"/>
    <mergeCell ref="E98:E102"/>
    <mergeCell ref="F98:F102"/>
    <mergeCell ref="G98:G102"/>
    <mergeCell ref="A238:A242"/>
    <mergeCell ref="B238:B242"/>
    <mergeCell ref="C238:C242"/>
    <mergeCell ref="D238:D242"/>
    <mergeCell ref="E238:E242"/>
    <mergeCell ref="F238:F242"/>
    <mergeCell ref="G238:G242"/>
    <mergeCell ref="O238:O242"/>
    <mergeCell ref="P238:P242"/>
    <mergeCell ref="Q238:Q242"/>
    <mergeCell ref="R238:R242"/>
    <mergeCell ref="H238:H242"/>
    <mergeCell ref="I238:I242"/>
    <mergeCell ref="J238:J242"/>
    <mergeCell ref="K238:K242"/>
    <mergeCell ref="L238:L242"/>
    <mergeCell ref="M238:M242"/>
    <mergeCell ref="N238:N242"/>
    <mergeCell ref="H10:H14"/>
    <mergeCell ref="I10:I14"/>
    <mergeCell ref="J10:J14"/>
    <mergeCell ref="K10:K14"/>
    <mergeCell ref="L10:L14"/>
    <mergeCell ref="M10:M14"/>
    <mergeCell ref="N10:N14"/>
    <mergeCell ref="A10:A14"/>
    <mergeCell ref="B10:B14"/>
    <mergeCell ref="C10:C14"/>
    <mergeCell ref="D10:D14"/>
    <mergeCell ref="E10:E14"/>
    <mergeCell ref="F10:F14"/>
    <mergeCell ref="G10:G14"/>
    <mergeCell ref="O16:O20"/>
    <mergeCell ref="P16:P20"/>
    <mergeCell ref="H16:H20"/>
    <mergeCell ref="I16:I20"/>
    <mergeCell ref="J16:J20"/>
    <mergeCell ref="K16:K20"/>
    <mergeCell ref="L16:L20"/>
    <mergeCell ref="M16:M20"/>
    <mergeCell ref="N16:N20"/>
    <mergeCell ref="P1:Q1"/>
    <mergeCell ref="R1:R2"/>
    <mergeCell ref="B1:C1"/>
    <mergeCell ref="D1:E1"/>
    <mergeCell ref="F1:G1"/>
    <mergeCell ref="H1:I1"/>
    <mergeCell ref="J1:K1"/>
    <mergeCell ref="L1:M1"/>
    <mergeCell ref="N1:O1"/>
    <mergeCell ref="O4:O8"/>
    <mergeCell ref="P4:P8"/>
    <mergeCell ref="Q4:Q8"/>
    <mergeCell ref="R4:R8"/>
    <mergeCell ref="H4:H8"/>
    <mergeCell ref="I4:I8"/>
    <mergeCell ref="J4:J8"/>
    <mergeCell ref="K4:K8"/>
    <mergeCell ref="L4:L8"/>
    <mergeCell ref="M4:M8"/>
    <mergeCell ref="N4:N8"/>
    <mergeCell ref="A4:A8"/>
    <mergeCell ref="B4:B8"/>
    <mergeCell ref="C4:C8"/>
    <mergeCell ref="D4:D8"/>
    <mergeCell ref="E4:E8"/>
    <mergeCell ref="F4:F8"/>
    <mergeCell ref="G4:G8"/>
    <mergeCell ref="O10:O14"/>
    <mergeCell ref="P10:P14"/>
    <mergeCell ref="Q10:Q14"/>
    <mergeCell ref="R10:R14"/>
    <mergeCell ref="Q16:Q20"/>
    <mergeCell ref="R16:R20"/>
    <mergeCell ref="A16:A20"/>
    <mergeCell ref="B16:B20"/>
    <mergeCell ref="C16:C20"/>
    <mergeCell ref="D16:D20"/>
    <mergeCell ref="E16:E20"/>
    <mergeCell ref="F16:F20"/>
    <mergeCell ref="G16:G20"/>
    <mergeCell ref="O31:O35"/>
    <mergeCell ref="P31:P35"/>
    <mergeCell ref="H31:H35"/>
    <mergeCell ref="I31:I35"/>
    <mergeCell ref="J31:J35"/>
    <mergeCell ref="K31:K35"/>
    <mergeCell ref="L31:L35"/>
    <mergeCell ref="M31:M35"/>
    <mergeCell ref="N31:N35"/>
    <mergeCell ref="O21:O25"/>
    <mergeCell ref="P21:P25"/>
    <mergeCell ref="Q21:Q25"/>
    <mergeCell ref="R21:R25"/>
    <mergeCell ref="H21:H25"/>
    <mergeCell ref="I21:I25"/>
    <mergeCell ref="J21:J25"/>
    <mergeCell ref="K21:K25"/>
    <mergeCell ref="L21:L25"/>
    <mergeCell ref="M21:M25"/>
    <mergeCell ref="N21:N25"/>
    <mergeCell ref="A21:A25"/>
    <mergeCell ref="B21:B25"/>
    <mergeCell ref="C21:C25"/>
    <mergeCell ref="D21:D25"/>
    <mergeCell ref="E21:E25"/>
    <mergeCell ref="F21:F25"/>
    <mergeCell ref="G21:G25"/>
    <mergeCell ref="O26:O30"/>
    <mergeCell ref="P26:P30"/>
    <mergeCell ref="Q26:Q30"/>
    <mergeCell ref="R26:R30"/>
    <mergeCell ref="Q31:Q35"/>
    <mergeCell ref="R31:R35"/>
    <mergeCell ref="H26:H30"/>
    <mergeCell ref="I26:I30"/>
    <mergeCell ref="J26:J30"/>
    <mergeCell ref="K26:K30"/>
    <mergeCell ref="L26:L30"/>
    <mergeCell ref="M26:M30"/>
    <mergeCell ref="N26:N30"/>
    <mergeCell ref="A26:A30"/>
    <mergeCell ref="B26:B30"/>
    <mergeCell ref="C26:C30"/>
    <mergeCell ref="D26:D30"/>
    <mergeCell ref="E26:E30"/>
    <mergeCell ref="F26:F30"/>
    <mergeCell ref="G26:G30"/>
    <mergeCell ref="A31:A35"/>
    <mergeCell ref="B31:B35"/>
    <mergeCell ref="C31:C35"/>
    <mergeCell ref="D31:D35"/>
    <mergeCell ref="E31:E35"/>
    <mergeCell ref="F31:F35"/>
    <mergeCell ref="G31:G35"/>
    <mergeCell ref="O49:O53"/>
    <mergeCell ref="P49:P53"/>
    <mergeCell ref="H49:H53"/>
    <mergeCell ref="I49:I53"/>
    <mergeCell ref="J49:J53"/>
    <mergeCell ref="K49:K53"/>
    <mergeCell ref="L49:L53"/>
    <mergeCell ref="M49:M53"/>
    <mergeCell ref="N49:N53"/>
    <mergeCell ref="O37:O41"/>
    <mergeCell ref="P37:P41"/>
    <mergeCell ref="Q37:Q41"/>
    <mergeCell ref="R37:R41"/>
    <mergeCell ref="H37:H41"/>
    <mergeCell ref="I37:I41"/>
    <mergeCell ref="J37:J41"/>
    <mergeCell ref="K37:K41"/>
    <mergeCell ref="L37:L41"/>
    <mergeCell ref="M37:M41"/>
    <mergeCell ref="N37:N41"/>
    <mergeCell ref="A37:A41"/>
    <mergeCell ref="B37:B41"/>
    <mergeCell ref="C37:C41"/>
    <mergeCell ref="D37:D41"/>
    <mergeCell ref="E37:E41"/>
    <mergeCell ref="F37:F41"/>
    <mergeCell ref="G37:G41"/>
    <mergeCell ref="O43:O47"/>
    <mergeCell ref="P43:P47"/>
    <mergeCell ref="Q43:Q47"/>
    <mergeCell ref="R43:R47"/>
    <mergeCell ref="Q49:Q53"/>
    <mergeCell ref="R49:R53"/>
    <mergeCell ref="H43:H47"/>
    <mergeCell ref="I43:I47"/>
    <mergeCell ref="J43:J47"/>
    <mergeCell ref="K43:K47"/>
    <mergeCell ref="L43:L47"/>
    <mergeCell ref="M43:M47"/>
    <mergeCell ref="N43:N47"/>
    <mergeCell ref="A43:A47"/>
    <mergeCell ref="B43:B47"/>
    <mergeCell ref="C43:C47"/>
    <mergeCell ref="D43:D47"/>
    <mergeCell ref="E43:E47"/>
    <mergeCell ref="F43:F47"/>
    <mergeCell ref="G43:G47"/>
    <mergeCell ref="A49:A53"/>
    <mergeCell ref="B49:B53"/>
    <mergeCell ref="C49:C53"/>
    <mergeCell ref="D49:D53"/>
    <mergeCell ref="E49:E53"/>
    <mergeCell ref="F49:F53"/>
    <mergeCell ref="G49:G53"/>
    <mergeCell ref="O113:O117"/>
    <mergeCell ref="P113:P117"/>
    <mergeCell ref="H113:H117"/>
    <mergeCell ref="I113:I117"/>
    <mergeCell ref="J113:J117"/>
    <mergeCell ref="K113:K117"/>
    <mergeCell ref="L113:L117"/>
    <mergeCell ref="M113:M117"/>
    <mergeCell ref="N113:N117"/>
    <mergeCell ref="O103:O107"/>
    <mergeCell ref="P103:P107"/>
    <mergeCell ref="Q103:Q107"/>
    <mergeCell ref="R103:R107"/>
    <mergeCell ref="H103:H107"/>
    <mergeCell ref="I103:I107"/>
    <mergeCell ref="J103:J107"/>
    <mergeCell ref="K103:K107"/>
    <mergeCell ref="L103:L107"/>
    <mergeCell ref="M103:M107"/>
    <mergeCell ref="N103:N107"/>
    <mergeCell ref="A103:A107"/>
    <mergeCell ref="B103:B107"/>
    <mergeCell ref="C103:C107"/>
    <mergeCell ref="D103:D107"/>
    <mergeCell ref="E103:E107"/>
    <mergeCell ref="F103:F107"/>
    <mergeCell ref="G103:G107"/>
    <mergeCell ref="O108:O112"/>
    <mergeCell ref="P108:P112"/>
    <mergeCell ref="Q108:Q112"/>
    <mergeCell ref="R108:R112"/>
    <mergeCell ref="Q113:Q117"/>
    <mergeCell ref="R113:R117"/>
    <mergeCell ref="H108:H112"/>
    <mergeCell ref="I108:I112"/>
    <mergeCell ref="J108:J112"/>
    <mergeCell ref="K108:K112"/>
    <mergeCell ref="L108:L112"/>
    <mergeCell ref="M108:M112"/>
    <mergeCell ref="N108:N112"/>
    <mergeCell ref="A108:A112"/>
    <mergeCell ref="B108:B112"/>
    <mergeCell ref="C108:C112"/>
    <mergeCell ref="D108:D112"/>
    <mergeCell ref="E108:E112"/>
    <mergeCell ref="F108:F112"/>
    <mergeCell ref="G108:G112"/>
    <mergeCell ref="A113:A117"/>
    <mergeCell ref="B113:B117"/>
    <mergeCell ref="C113:C117"/>
    <mergeCell ref="D113:D117"/>
    <mergeCell ref="E113:E117"/>
    <mergeCell ref="F113:F117"/>
    <mergeCell ref="G113:G117"/>
    <mergeCell ref="O130:O134"/>
    <mergeCell ref="P130:P134"/>
    <mergeCell ref="H130:H134"/>
    <mergeCell ref="I130:I134"/>
    <mergeCell ref="J130:J134"/>
    <mergeCell ref="K130:K134"/>
    <mergeCell ref="L130:L134"/>
    <mergeCell ref="M130:M134"/>
    <mergeCell ref="N130:N134"/>
    <mergeCell ref="O118:O122"/>
    <mergeCell ref="P118:P122"/>
    <mergeCell ref="Q118:Q122"/>
    <mergeCell ref="R118:R122"/>
    <mergeCell ref="H118:H122"/>
    <mergeCell ref="I118:I122"/>
    <mergeCell ref="J118:J122"/>
    <mergeCell ref="K118:K122"/>
    <mergeCell ref="L118:L122"/>
    <mergeCell ref="M118:M122"/>
    <mergeCell ref="N118:N122"/>
    <mergeCell ref="A118:A122"/>
    <mergeCell ref="B118:B122"/>
    <mergeCell ref="C118:C122"/>
    <mergeCell ref="D118:D122"/>
    <mergeCell ref="E118:E122"/>
    <mergeCell ref="F118:F122"/>
    <mergeCell ref="G118:G122"/>
    <mergeCell ref="O124:O128"/>
    <mergeCell ref="P124:P128"/>
    <mergeCell ref="Q124:Q128"/>
    <mergeCell ref="R124:R128"/>
    <mergeCell ref="Q130:Q134"/>
    <mergeCell ref="R130:R134"/>
    <mergeCell ref="H124:H128"/>
    <mergeCell ref="I124:I128"/>
    <mergeCell ref="J124:J128"/>
    <mergeCell ref="K124:K128"/>
    <mergeCell ref="L124:L128"/>
    <mergeCell ref="M124:M128"/>
    <mergeCell ref="N124:N128"/>
    <mergeCell ref="A124:A128"/>
    <mergeCell ref="B124:B128"/>
    <mergeCell ref="C124:C128"/>
    <mergeCell ref="D124:D128"/>
    <mergeCell ref="E124:E128"/>
    <mergeCell ref="F124:F128"/>
    <mergeCell ref="G124:G128"/>
    <mergeCell ref="A130:A134"/>
    <mergeCell ref="B130:B134"/>
    <mergeCell ref="C130:C134"/>
    <mergeCell ref="D130:D134"/>
    <mergeCell ref="E130:E134"/>
    <mergeCell ref="F130:F134"/>
    <mergeCell ref="G130:G134"/>
    <mergeCell ref="O148:O152"/>
    <mergeCell ref="P148:P152"/>
    <mergeCell ref="H148:H152"/>
    <mergeCell ref="I148:I152"/>
    <mergeCell ref="J148:J152"/>
    <mergeCell ref="K148:K152"/>
    <mergeCell ref="L148:L152"/>
    <mergeCell ref="M148:M152"/>
    <mergeCell ref="N148:N152"/>
    <mergeCell ref="O136:O140"/>
    <mergeCell ref="P136:P140"/>
    <mergeCell ref="Q136:Q140"/>
    <mergeCell ref="R136:R140"/>
    <mergeCell ref="H136:H140"/>
    <mergeCell ref="I136:I140"/>
    <mergeCell ref="J136:J140"/>
    <mergeCell ref="K136:K140"/>
    <mergeCell ref="L136:L140"/>
    <mergeCell ref="M136:M140"/>
    <mergeCell ref="N136:N140"/>
    <mergeCell ref="A136:A140"/>
    <mergeCell ref="B136:B140"/>
    <mergeCell ref="C136:C140"/>
    <mergeCell ref="D136:D140"/>
    <mergeCell ref="E136:E140"/>
    <mergeCell ref="F136:F140"/>
    <mergeCell ref="G136:G140"/>
    <mergeCell ref="O142:O146"/>
    <mergeCell ref="P142:P146"/>
    <mergeCell ref="Q142:Q146"/>
    <mergeCell ref="R142:R146"/>
    <mergeCell ref="Q148:Q152"/>
    <mergeCell ref="R148:R152"/>
    <mergeCell ref="H142:H146"/>
    <mergeCell ref="I142:I146"/>
    <mergeCell ref="J142:J146"/>
    <mergeCell ref="K142:K146"/>
    <mergeCell ref="L142:L146"/>
    <mergeCell ref="M142:M146"/>
    <mergeCell ref="N142:N146"/>
    <mergeCell ref="A142:A146"/>
    <mergeCell ref="B142:B146"/>
    <mergeCell ref="C142:C146"/>
    <mergeCell ref="D142:D146"/>
    <mergeCell ref="E142:E146"/>
    <mergeCell ref="F142:F146"/>
    <mergeCell ref="G142:G146"/>
    <mergeCell ref="A148:A152"/>
    <mergeCell ref="B148:B152"/>
    <mergeCell ref="C148:C152"/>
    <mergeCell ref="D148:D152"/>
    <mergeCell ref="E148:E152"/>
    <mergeCell ref="F148:F152"/>
    <mergeCell ref="G148:G152"/>
    <mergeCell ref="O166:O170"/>
    <mergeCell ref="P166:P170"/>
    <mergeCell ref="H166:H170"/>
    <mergeCell ref="I166:I170"/>
    <mergeCell ref="J166:J170"/>
    <mergeCell ref="K166:K170"/>
    <mergeCell ref="L166:L170"/>
    <mergeCell ref="M166:M170"/>
    <mergeCell ref="N166:N170"/>
    <mergeCell ref="O154:O158"/>
    <mergeCell ref="P154:P158"/>
    <mergeCell ref="Q154:Q158"/>
    <mergeCell ref="R154:R158"/>
    <mergeCell ref="H154:H158"/>
    <mergeCell ref="I154:I158"/>
    <mergeCell ref="J154:J158"/>
    <mergeCell ref="K154:K158"/>
    <mergeCell ref="L154:L158"/>
    <mergeCell ref="M154:M158"/>
    <mergeCell ref="N154:N158"/>
    <mergeCell ref="A154:A158"/>
    <mergeCell ref="B154:B158"/>
    <mergeCell ref="C154:C158"/>
    <mergeCell ref="D154:D158"/>
    <mergeCell ref="E154:E158"/>
    <mergeCell ref="F154:F158"/>
    <mergeCell ref="G154:G158"/>
    <mergeCell ref="O160:O164"/>
    <mergeCell ref="P160:P164"/>
    <mergeCell ref="Q160:Q164"/>
    <mergeCell ref="R160:R164"/>
    <mergeCell ref="Q166:Q170"/>
    <mergeCell ref="R166:R170"/>
    <mergeCell ref="H160:H164"/>
    <mergeCell ref="I160:I164"/>
    <mergeCell ref="J160:J164"/>
    <mergeCell ref="K160:K164"/>
    <mergeCell ref="L160:L164"/>
    <mergeCell ref="M160:M164"/>
    <mergeCell ref="N160:N164"/>
    <mergeCell ref="A160:A164"/>
    <mergeCell ref="B160:B164"/>
    <mergeCell ref="C160:C164"/>
    <mergeCell ref="D160:D164"/>
    <mergeCell ref="E160:E164"/>
    <mergeCell ref="F160:F164"/>
    <mergeCell ref="G160:G164"/>
    <mergeCell ref="A166:A170"/>
    <mergeCell ref="B166:B170"/>
    <mergeCell ref="C166:C170"/>
    <mergeCell ref="D166:D170"/>
    <mergeCell ref="E166:E170"/>
    <mergeCell ref="F166:F170"/>
    <mergeCell ref="G166:G170"/>
    <mergeCell ref="O184:O188"/>
    <mergeCell ref="P184:P188"/>
    <mergeCell ref="H184:H188"/>
    <mergeCell ref="I184:I188"/>
    <mergeCell ref="J184:J188"/>
    <mergeCell ref="K184:K188"/>
    <mergeCell ref="L184:L188"/>
    <mergeCell ref="M184:M188"/>
    <mergeCell ref="N184:N188"/>
    <mergeCell ref="O172:O176"/>
    <mergeCell ref="P172:P176"/>
    <mergeCell ref="Q172:Q176"/>
    <mergeCell ref="R172:R176"/>
    <mergeCell ref="H172:H176"/>
    <mergeCell ref="I172:I176"/>
    <mergeCell ref="J172:J176"/>
    <mergeCell ref="K172:K176"/>
    <mergeCell ref="L172:L176"/>
    <mergeCell ref="M172:M176"/>
    <mergeCell ref="N172:N176"/>
    <mergeCell ref="A172:A176"/>
    <mergeCell ref="B172:B176"/>
    <mergeCell ref="C172:C176"/>
    <mergeCell ref="D172:D176"/>
    <mergeCell ref="E172:E176"/>
    <mergeCell ref="F172:F176"/>
    <mergeCell ref="G172:G176"/>
    <mergeCell ref="O178:O182"/>
    <mergeCell ref="P178:P182"/>
    <mergeCell ref="Q178:Q182"/>
    <mergeCell ref="R178:R182"/>
    <mergeCell ref="Q184:Q188"/>
    <mergeCell ref="R184:R188"/>
    <mergeCell ref="H178:H182"/>
    <mergeCell ref="I178:I182"/>
    <mergeCell ref="J178:J182"/>
    <mergeCell ref="K178:K182"/>
    <mergeCell ref="L178:L182"/>
    <mergeCell ref="M178:M182"/>
    <mergeCell ref="N178:N182"/>
    <mergeCell ref="A178:A182"/>
    <mergeCell ref="B178:B182"/>
    <mergeCell ref="C178:C182"/>
    <mergeCell ref="D178:D182"/>
    <mergeCell ref="E178:E182"/>
    <mergeCell ref="F178:F182"/>
    <mergeCell ref="G178:G182"/>
    <mergeCell ref="A184:A188"/>
    <mergeCell ref="B184:B188"/>
    <mergeCell ref="C184:C188"/>
    <mergeCell ref="D184:D188"/>
    <mergeCell ref="E184:E188"/>
    <mergeCell ref="F184:F188"/>
    <mergeCell ref="G184:G188"/>
    <mergeCell ref="O200:O204"/>
    <mergeCell ref="P200:P204"/>
    <mergeCell ref="H200:H204"/>
    <mergeCell ref="I200:I204"/>
    <mergeCell ref="J200:J204"/>
    <mergeCell ref="K200:K204"/>
    <mergeCell ref="L200:L204"/>
    <mergeCell ref="M200:M204"/>
    <mergeCell ref="N200:N204"/>
    <mergeCell ref="O190:O194"/>
    <mergeCell ref="P190:P194"/>
    <mergeCell ref="Q190:Q194"/>
    <mergeCell ref="R190:R194"/>
    <mergeCell ref="H190:H194"/>
    <mergeCell ref="I190:I194"/>
    <mergeCell ref="J190:J194"/>
    <mergeCell ref="K190:K194"/>
    <mergeCell ref="L190:L194"/>
    <mergeCell ref="M190:M194"/>
    <mergeCell ref="N190:N194"/>
    <mergeCell ref="A190:A194"/>
    <mergeCell ref="B190:B194"/>
    <mergeCell ref="C190:C194"/>
    <mergeCell ref="D190:D194"/>
    <mergeCell ref="E190:E194"/>
    <mergeCell ref="F190:F194"/>
    <mergeCell ref="G190:G194"/>
    <mergeCell ref="O195:O199"/>
    <mergeCell ref="P195:P199"/>
    <mergeCell ref="Q195:Q199"/>
    <mergeCell ref="R195:R199"/>
    <mergeCell ref="Q200:Q204"/>
    <mergeCell ref="R200:R204"/>
    <mergeCell ref="H195:H199"/>
    <mergeCell ref="I195:I199"/>
    <mergeCell ref="J195:J199"/>
    <mergeCell ref="K195:K199"/>
    <mergeCell ref="L195:L199"/>
    <mergeCell ref="M195:M199"/>
    <mergeCell ref="N195:N199"/>
    <mergeCell ref="A195:A199"/>
    <mergeCell ref="B195:B199"/>
    <mergeCell ref="C195:C199"/>
    <mergeCell ref="D195:D199"/>
    <mergeCell ref="E195:E199"/>
    <mergeCell ref="F195:F199"/>
    <mergeCell ref="G195:G199"/>
    <mergeCell ref="A200:A204"/>
    <mergeCell ref="B200:B204"/>
    <mergeCell ref="C200:C204"/>
    <mergeCell ref="D200:D204"/>
    <mergeCell ref="E200:E204"/>
    <mergeCell ref="F200:F204"/>
    <mergeCell ref="G200:G204"/>
  </mergeCells>
  <dataValidations>
    <dataValidation type="list" allowBlank="1" showErrorMessage="1" sqref="C4 E4 G4 I4 K4 M4 O4 Q4 C10 E10 G10 I10 K10 M10 O10 Q10 C16 E16 G16 I16 K16 M16 O16 Q16 C21 E21 G21 I21 K21 M21 O21 Q21 C26 E26 G26 I26 K26 M26 O26 Q26 C31 E31 G31 I31 K31 M31 O31 Q31 C37 E37 G37 I37 K37 M37 O37 Q37 C43 E43 G43 I43 K43 M43 O43 Q43 C49 E49 G49 I49 K49 M49 O49 Q49 C54 E54 G54 I54 K54 M54 O54 Q54 C59 E59 G59 I59 K59 M59 O59 Q59 C65 E65 G65 I65 K65 M65 O65 Q65 C71 E71 G71 I71 K71 M71 O71 Q71 C76 E76 G76 I76 K76 M76 O76 Q76 C82 E82 G82 I82 K82 M82 O82 Q82 C87 E87 G87 I87 K87 M87 O87 Q87 C92 E92 G92 I92 K92 M92 O92 Q92 C98 E98 G98 I98 K98 M98 O98 Q98 C103 E103 G103 I103 K103 M103 O103 Q103 C108 E108 G108 I108 K108 M108 O108 Q108 C113 E113 G113 I113 K113 M113 O113 Q113 C118 E118 G118 I118 K118 M118 O118 Q118 C124 E124 G124 I124 K124 M124 O124 Q124 C130 E130 G130 I130 K130 M130 O130 Q130 C136 E136 G136 I136 K136 M136 O136 Q136 C142 E142 G142 I142 K142 M142 O142 Q142 C148 E148 G148 I148 K148 M148 O148 Q148 C154 E154 G154 I154 K154 M154 O154 Q154 C160 E160 G160 I160 K160 M160 O160 Q160 C166 E166 G166 I166 K166 M166 O166 Q166 C172 E172 G172 I172 K172 M172 O172 Q172 C178 E178 G178 I178 K178 M178 O178 Q178 C184 E184 G184 I184 K184 M184 O184 Q184 C190 E190 G190 I190 K190 M190 O190 Q190 C195 E195 G195 I195 K195 M195 O195 Q195 C200 E200 G200 I200 K200 M200 O200 Q200 C205 E205 G205 I205 K205 M205 O205 Q205 C211 E211 G211 I211 K211 M211 O211 Q211 C217 E217 G217 I217 K217 M217 O217 Q217 C222 E222 G222 I222 K222 M222 O222 Q222 C227 E227 G227 I227 K227 M227 O227 Q227 C233 E233 G233 I233 K233 M233 O233 Q233 C238 E238 G238 I238 K238 M238 O238 Q238">
      <formula1>"1,2,3,4,5"</formula1>
    </dataValidation>
  </dataValidations>
  <hyperlinks>
    <hyperlink r:id="rId1" ref="B59"/>
    <hyperlink r:id="rId2" ref="L190"/>
    <hyperlink r:id="rId3" ref="L211"/>
  </hyperlinks>
  <printOptions/>
  <pageMargins bottom="0.75" footer="0.0" header="0.0" left="0.7" right="0.7" top="0.75"/>
  <pageSetup orientation="landscape"/>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7.44"/>
    <col customWidth="1" min="2" max="2" width="71.44"/>
    <col customWidth="1" min="3" max="4" width="16.44"/>
    <col customWidth="1" min="5" max="5" width="10.67"/>
    <col customWidth="1" min="6" max="7" width="20.0"/>
    <col customWidth="1" min="8" max="8" width="14.44"/>
    <col customWidth="1" min="9" max="10" width="20.0"/>
    <col customWidth="1" min="11" max="26" width="10.67"/>
  </cols>
  <sheetData>
    <row r="1" ht="66.0" customHeight="1">
      <c r="A1" s="1036" t="str">
        <f>'KKLEAD II'!A1:N1</f>
        <v>PENJAMINAN KUALITAS HASIL PENILAIAN MANDIRI MATURITAS PENYELENGGARAAN SPIP
PEMERINTAH DAERAH …
Periode Penilaian 01 Juli 20XX-1 sampai dengan 30 Juni 20XX</v>
      </c>
      <c r="E1" s="1037"/>
      <c r="F1" s="1037"/>
      <c r="G1" s="1037"/>
      <c r="H1" s="1037"/>
      <c r="I1" s="1037"/>
      <c r="J1" s="1037"/>
    </row>
    <row r="2" ht="42.0" customHeight="1">
      <c r="A2" s="1038" t="s">
        <v>5403</v>
      </c>
      <c r="B2" s="660"/>
      <c r="C2" s="507"/>
      <c r="E2" s="606"/>
      <c r="F2" s="660"/>
      <c r="G2" s="660"/>
      <c r="H2" s="660"/>
      <c r="I2" s="660"/>
      <c r="J2" s="177"/>
    </row>
    <row r="3">
      <c r="A3" s="1039"/>
      <c r="B3" s="1040" t="s">
        <v>15</v>
      </c>
      <c r="C3" s="954" t="s">
        <v>5404</v>
      </c>
      <c r="D3" s="954" t="s">
        <v>5405</v>
      </c>
      <c r="E3" s="1041"/>
      <c r="F3" s="1041"/>
      <c r="G3" s="1041"/>
      <c r="H3" s="1041"/>
      <c r="I3" s="1041"/>
      <c r="J3" s="1041"/>
    </row>
    <row r="4" ht="15.0" customHeight="1">
      <c r="A4" s="233" t="s">
        <v>4866</v>
      </c>
      <c r="B4" s="1042" t="s">
        <v>16</v>
      </c>
      <c r="C4" s="1043"/>
      <c r="D4" s="1043"/>
      <c r="E4" s="177"/>
      <c r="F4" s="1044" t="s">
        <v>5406</v>
      </c>
      <c r="H4" s="177"/>
      <c r="I4" s="1044" t="s">
        <v>5407</v>
      </c>
    </row>
    <row r="5" ht="16.5" customHeight="1">
      <c r="A5" s="233"/>
      <c r="B5" s="461" t="s">
        <v>17</v>
      </c>
      <c r="C5" s="1045" t="s">
        <v>5408</v>
      </c>
      <c r="D5" s="1045">
        <v>2.0</v>
      </c>
      <c r="E5" s="177"/>
      <c r="F5" s="1046" t="s">
        <v>5409</v>
      </c>
      <c r="G5" s="1047"/>
      <c r="H5" s="177"/>
      <c r="I5" s="1048" t="s">
        <v>5409</v>
      </c>
      <c r="J5" s="1047"/>
    </row>
    <row r="6" ht="16.5" customHeight="1">
      <c r="A6" s="233"/>
      <c r="B6" s="461" t="s">
        <v>18</v>
      </c>
      <c r="C6" s="1045" t="s">
        <v>5408</v>
      </c>
      <c r="D6" s="1045"/>
      <c r="E6" s="177"/>
      <c r="F6" s="1049" t="s">
        <v>121</v>
      </c>
      <c r="G6" s="1049" t="s">
        <v>189</v>
      </c>
      <c r="H6" s="177"/>
      <c r="I6" s="1050" t="s">
        <v>121</v>
      </c>
      <c r="J6" s="1051" t="s">
        <v>195</v>
      </c>
    </row>
    <row r="7" ht="16.5" customHeight="1">
      <c r="A7" s="233"/>
      <c r="B7" s="461" t="s">
        <v>19</v>
      </c>
      <c r="C7" s="1045" t="s">
        <v>5408</v>
      </c>
      <c r="D7" s="1045">
        <v>2.0</v>
      </c>
      <c r="E7" s="177"/>
      <c r="F7" s="1049" t="s">
        <v>135</v>
      </c>
      <c r="G7" s="1052" t="s">
        <v>198</v>
      </c>
      <c r="H7" s="177"/>
      <c r="I7" s="1050" t="s">
        <v>135</v>
      </c>
      <c r="J7" s="1051" t="s">
        <v>198</v>
      </c>
    </row>
    <row r="8" ht="18.0" customHeight="1">
      <c r="A8" s="233"/>
      <c r="B8" s="461" t="s">
        <v>20</v>
      </c>
      <c r="C8" s="1045" t="s">
        <v>5408</v>
      </c>
      <c r="D8" s="1045"/>
      <c r="E8" s="177"/>
      <c r="F8" s="1052" t="s">
        <v>148</v>
      </c>
      <c r="G8" s="1052" t="s">
        <v>201</v>
      </c>
      <c r="H8" s="177"/>
      <c r="I8" s="1051" t="s">
        <v>151</v>
      </c>
      <c r="J8" s="1051" t="s">
        <v>201</v>
      </c>
    </row>
    <row r="9" ht="16.5" customHeight="1">
      <c r="A9" s="233"/>
      <c r="B9" s="461" t="s">
        <v>21</v>
      </c>
      <c r="C9" s="1045" t="s">
        <v>5408</v>
      </c>
      <c r="D9" s="1045">
        <v>1.0</v>
      </c>
      <c r="E9" s="177"/>
      <c r="F9" s="1052" t="s">
        <v>151</v>
      </c>
      <c r="G9" s="1052" t="s">
        <v>204</v>
      </c>
      <c r="H9" s="177"/>
      <c r="I9" s="1051" t="s">
        <v>160</v>
      </c>
      <c r="J9" s="1051" t="s">
        <v>204</v>
      </c>
    </row>
    <row r="10">
      <c r="A10" s="233"/>
      <c r="B10" s="461" t="s">
        <v>22</v>
      </c>
      <c r="C10" s="1045" t="s">
        <v>5408</v>
      </c>
      <c r="D10" s="1045"/>
      <c r="E10" s="177"/>
      <c r="F10" s="1052" t="s">
        <v>157</v>
      </c>
      <c r="G10" s="1052" t="s">
        <v>207</v>
      </c>
      <c r="H10" s="177"/>
      <c r="I10" s="1051" t="s">
        <v>165</v>
      </c>
      <c r="J10" s="1051" t="s">
        <v>210</v>
      </c>
    </row>
    <row r="11" ht="15.75" customHeight="1">
      <c r="A11" s="233"/>
      <c r="B11" s="461" t="s">
        <v>23</v>
      </c>
      <c r="C11" s="1045" t="s">
        <v>5408</v>
      </c>
      <c r="D11" s="1045"/>
      <c r="E11" s="177"/>
      <c r="F11" s="1052" t="s">
        <v>160</v>
      </c>
      <c r="G11" s="1052" t="s">
        <v>210</v>
      </c>
      <c r="H11" s="177"/>
      <c r="I11" s="1051" t="s">
        <v>172</v>
      </c>
      <c r="J11" s="1051" t="s">
        <v>213</v>
      </c>
    </row>
    <row r="12" ht="18.75" customHeight="1">
      <c r="A12" s="233"/>
      <c r="B12" s="461" t="s">
        <v>24</v>
      </c>
      <c r="C12" s="1045" t="s">
        <v>5408</v>
      </c>
      <c r="D12" s="1045"/>
      <c r="E12" s="177"/>
      <c r="F12" s="1052" t="s">
        <v>165</v>
      </c>
      <c r="G12" s="1052" t="s">
        <v>213</v>
      </c>
      <c r="H12" s="177"/>
      <c r="I12" s="1051" t="s">
        <v>183</v>
      </c>
      <c r="J12" s="1051" t="s">
        <v>223</v>
      </c>
    </row>
    <row r="13" ht="15.75" customHeight="1">
      <c r="A13" s="233" t="s">
        <v>4836</v>
      </c>
      <c r="B13" s="1042" t="s">
        <v>25</v>
      </c>
      <c r="C13" s="1053"/>
      <c r="D13" s="1053"/>
      <c r="E13" s="177"/>
      <c r="F13" s="1052" t="s">
        <v>172</v>
      </c>
      <c r="G13" s="1052" t="s">
        <v>223</v>
      </c>
      <c r="H13" s="177"/>
      <c r="I13" s="1051" t="s">
        <v>189</v>
      </c>
      <c r="J13" s="1051" t="s">
        <v>228</v>
      </c>
    </row>
    <row r="14" ht="15.75" customHeight="1">
      <c r="A14" s="233"/>
      <c r="B14" s="461" t="s">
        <v>26</v>
      </c>
      <c r="C14" s="1045" t="s">
        <v>5408</v>
      </c>
      <c r="D14" s="1045"/>
      <c r="E14" s="177"/>
      <c r="F14" s="1052" t="s">
        <v>183</v>
      </c>
      <c r="G14" s="1052" t="s">
        <v>228</v>
      </c>
      <c r="H14" s="177"/>
      <c r="I14" s="1054"/>
      <c r="J14" s="1054"/>
    </row>
    <row r="15" ht="15.75" customHeight="1">
      <c r="A15" s="233"/>
      <c r="B15" s="461" t="s">
        <v>27</v>
      </c>
      <c r="C15" s="1045" t="s">
        <v>5408</v>
      </c>
      <c r="D15" s="1045"/>
      <c r="E15" s="177"/>
      <c r="F15" s="1055"/>
      <c r="G15" s="1056"/>
      <c r="H15" s="177"/>
      <c r="I15" s="1056"/>
      <c r="J15" s="1056"/>
    </row>
    <row r="16" ht="15.75" customHeight="1">
      <c r="A16" s="233" t="s">
        <v>5410</v>
      </c>
      <c r="B16" s="1042" t="s">
        <v>28</v>
      </c>
      <c r="C16" s="1053"/>
      <c r="D16" s="1053"/>
      <c r="E16" s="177"/>
      <c r="F16" s="177"/>
      <c r="G16" s="177"/>
      <c r="H16" s="177"/>
      <c r="I16" s="1056"/>
      <c r="J16" s="1056"/>
    </row>
    <row r="17" ht="15.75" customHeight="1">
      <c r="A17" s="233"/>
      <c r="B17" s="461" t="s">
        <v>29</v>
      </c>
      <c r="C17" s="1045" t="s">
        <v>5408</v>
      </c>
      <c r="D17" s="1045"/>
      <c r="E17" s="177"/>
      <c r="F17" s="177"/>
      <c r="G17" s="177"/>
      <c r="H17" s="177"/>
      <c r="I17" s="177"/>
      <c r="J17" s="177"/>
    </row>
    <row r="18" ht="15.0" customHeight="1">
      <c r="A18" s="233"/>
      <c r="B18" s="461" t="s">
        <v>30</v>
      </c>
      <c r="C18" s="1045" t="s">
        <v>5408</v>
      </c>
      <c r="D18" s="1045"/>
      <c r="E18" s="177"/>
      <c r="F18" s="177"/>
      <c r="G18" s="177"/>
      <c r="H18" s="177"/>
      <c r="I18" s="177"/>
      <c r="J18" s="177"/>
    </row>
    <row r="19" ht="18.75" customHeight="1">
      <c r="A19" s="233"/>
      <c r="B19" s="461" t="s">
        <v>31</v>
      </c>
      <c r="C19" s="1045" t="s">
        <v>5408</v>
      </c>
      <c r="D19" s="1045"/>
      <c r="E19" s="177"/>
      <c r="F19" s="1057" t="s">
        <v>5411</v>
      </c>
    </row>
    <row r="20" ht="18.75" customHeight="1">
      <c r="A20" s="233"/>
      <c r="B20" s="461" t="s">
        <v>32</v>
      </c>
      <c r="C20" s="1045" t="s">
        <v>5408</v>
      </c>
      <c r="D20" s="1045"/>
      <c r="E20" s="177"/>
    </row>
    <row r="21" ht="18.75" customHeight="1">
      <c r="A21" s="233"/>
      <c r="B21" s="461" t="s">
        <v>33</v>
      </c>
      <c r="C21" s="1045" t="s">
        <v>5408</v>
      </c>
      <c r="D21" s="1045"/>
      <c r="E21" s="177"/>
      <c r="F21" s="177"/>
      <c r="G21" s="177"/>
      <c r="H21" s="177"/>
      <c r="I21" s="177"/>
      <c r="J21" s="177"/>
    </row>
    <row r="22" ht="18.75" customHeight="1">
      <c r="A22" s="233"/>
      <c r="B22" s="461" t="s">
        <v>34</v>
      </c>
      <c r="C22" s="1045" t="s">
        <v>5408</v>
      </c>
      <c r="D22" s="1045"/>
      <c r="E22" s="177"/>
      <c r="F22" s="177"/>
      <c r="G22" s="177"/>
      <c r="H22" s="177"/>
      <c r="I22" s="177"/>
      <c r="J22" s="177"/>
    </row>
    <row r="23" ht="18.75" customHeight="1">
      <c r="A23" s="233"/>
      <c r="B23" s="461" t="s">
        <v>35</v>
      </c>
      <c r="C23" s="1045" t="s">
        <v>5408</v>
      </c>
      <c r="D23" s="1045"/>
      <c r="E23" s="177"/>
      <c r="F23" s="177"/>
      <c r="G23" s="177"/>
      <c r="H23" s="177"/>
      <c r="I23" s="177"/>
      <c r="J23" s="177"/>
    </row>
    <row r="24" ht="18.75" customHeight="1">
      <c r="A24" s="233"/>
      <c r="B24" s="461" t="s">
        <v>36</v>
      </c>
      <c r="C24" s="1045" t="s">
        <v>5408</v>
      </c>
      <c r="D24" s="1045"/>
      <c r="E24" s="177"/>
      <c r="F24" s="177"/>
      <c r="G24" s="177"/>
      <c r="H24" s="177"/>
      <c r="I24" s="177"/>
      <c r="J24" s="177"/>
    </row>
    <row r="25" ht="18.75" customHeight="1">
      <c r="A25" s="233"/>
      <c r="B25" s="461" t="s">
        <v>37</v>
      </c>
      <c r="C25" s="1045" t="s">
        <v>5408</v>
      </c>
      <c r="D25" s="1045"/>
      <c r="E25" s="177"/>
      <c r="F25" s="177"/>
      <c r="G25" s="177"/>
      <c r="H25" s="177"/>
      <c r="I25" s="177"/>
      <c r="J25" s="177"/>
    </row>
    <row r="26" ht="18.75" customHeight="1">
      <c r="A26" s="233"/>
      <c r="B26" s="461" t="s">
        <v>38</v>
      </c>
      <c r="C26" s="1045" t="s">
        <v>5408</v>
      </c>
      <c r="D26" s="1045"/>
      <c r="E26" s="177"/>
      <c r="F26" s="177"/>
      <c r="G26" s="177"/>
      <c r="H26" s="177"/>
      <c r="I26" s="177"/>
      <c r="J26" s="177"/>
    </row>
    <row r="27" ht="18.75" customHeight="1">
      <c r="A27" s="233"/>
      <c r="B27" s="461" t="s">
        <v>39</v>
      </c>
      <c r="C27" s="1045" t="s">
        <v>5408</v>
      </c>
      <c r="D27" s="1045"/>
      <c r="E27" s="177"/>
      <c r="F27" s="177"/>
      <c r="G27" s="177"/>
      <c r="H27" s="177"/>
      <c r="I27" s="177"/>
      <c r="J27" s="177"/>
    </row>
    <row r="28" ht="18.75" customHeight="1">
      <c r="A28" s="233" t="s">
        <v>5412</v>
      </c>
      <c r="B28" s="1042" t="s">
        <v>40</v>
      </c>
      <c r="C28" s="1053"/>
      <c r="D28" s="1053"/>
      <c r="E28" s="177"/>
      <c r="F28" s="177"/>
      <c r="G28" s="177"/>
      <c r="H28" s="177"/>
      <c r="I28" s="177"/>
      <c r="J28" s="177"/>
    </row>
    <row r="29" ht="18.75" customHeight="1">
      <c r="A29" s="233"/>
      <c r="B29" s="461" t="s">
        <v>41</v>
      </c>
      <c r="C29" s="1045" t="s">
        <v>5408</v>
      </c>
      <c r="D29" s="1045"/>
      <c r="E29" s="177"/>
      <c r="F29" s="177"/>
      <c r="G29" s="177"/>
      <c r="H29" s="177"/>
      <c r="I29" s="177"/>
      <c r="J29" s="177"/>
    </row>
    <row r="30" ht="18.75" customHeight="1">
      <c r="A30" s="233"/>
      <c r="B30" s="461" t="s">
        <v>42</v>
      </c>
      <c r="C30" s="1045" t="s">
        <v>5408</v>
      </c>
      <c r="D30" s="1045"/>
      <c r="E30" s="177"/>
      <c r="F30" s="177"/>
      <c r="G30" s="177"/>
      <c r="H30" s="177"/>
      <c r="I30" s="177"/>
      <c r="J30" s="177"/>
    </row>
    <row r="31" ht="18.75" customHeight="1">
      <c r="A31" s="233" t="s">
        <v>273</v>
      </c>
      <c r="B31" s="1042" t="s">
        <v>43</v>
      </c>
      <c r="C31" s="1053"/>
      <c r="D31" s="1053"/>
      <c r="E31" s="177"/>
      <c r="F31" s="177"/>
      <c r="G31" s="177"/>
      <c r="H31" s="177"/>
      <c r="I31" s="177"/>
      <c r="J31" s="177"/>
    </row>
    <row r="32" ht="18.75" customHeight="1">
      <c r="A32" s="233"/>
      <c r="B32" s="461" t="s">
        <v>44</v>
      </c>
      <c r="C32" s="1045" t="s">
        <v>5408</v>
      </c>
      <c r="D32" s="1045"/>
      <c r="E32" s="177"/>
      <c r="F32" s="177"/>
      <c r="G32" s="177"/>
      <c r="H32" s="177"/>
      <c r="I32" s="177"/>
      <c r="J32" s="177"/>
    </row>
    <row r="33" ht="18.75" customHeight="1">
      <c r="A33" s="233"/>
      <c r="B33" s="461" t="s">
        <v>45</v>
      </c>
      <c r="C33" s="1045" t="s">
        <v>5408</v>
      </c>
      <c r="D33" s="1045"/>
    </row>
    <row r="34">
      <c r="A34" s="1058"/>
      <c r="B34" s="368"/>
      <c r="C34" s="1059"/>
      <c r="D34" s="1059"/>
    </row>
    <row r="35">
      <c r="A35" s="1058"/>
      <c r="B35" s="368"/>
      <c r="C35" s="1059"/>
      <c r="D35" s="1059"/>
    </row>
    <row r="36">
      <c r="A36" s="1058"/>
      <c r="B36" s="368"/>
      <c r="C36" s="1059"/>
      <c r="D36" s="1059"/>
    </row>
    <row r="37" ht="21.0" hidden="1" customHeight="1">
      <c r="A37" s="1058" t="s">
        <v>5413</v>
      </c>
      <c r="B37" s="368"/>
      <c r="C37" s="1059"/>
      <c r="D37" s="1059"/>
    </row>
    <row r="38" hidden="1">
      <c r="A38" s="1058" t="s">
        <v>5408</v>
      </c>
      <c r="B38" s="368"/>
      <c r="C38" s="1059"/>
      <c r="D38" s="1059"/>
    </row>
  </sheetData>
  <mergeCells count="7">
    <mergeCell ref="A1:D1"/>
    <mergeCell ref="C2:D2"/>
    <mergeCell ref="F4:G4"/>
    <mergeCell ref="I4:J4"/>
    <mergeCell ref="F5:G5"/>
    <mergeCell ref="I5:J5"/>
    <mergeCell ref="F19:J20"/>
  </mergeCells>
  <conditionalFormatting sqref="C5:D33">
    <cfRule type="containsText" dxfId="10" priority="1" operator="containsText" text="YA">
      <formula>NOT(ISERROR(SEARCH(("YA"),(C5))))</formula>
    </cfRule>
  </conditionalFormatting>
  <dataValidations>
    <dataValidation type="list" allowBlank="1" showErrorMessage="1" sqref="C5:C12 C14:C15 C17:C27 C29:C30 C32:C33">
      <formula1>$A$37:$A$38</formula1>
    </dataValidation>
    <dataValidation type="list" allowBlank="1" showErrorMessage="1" sqref="D5:D33">
      <formula1>"1,2,3"</formula1>
    </dataValidation>
  </dataValidations>
  <printOptions/>
  <pageMargins bottom="0.75" footer="0.0" header="0.0" left="0.699305555555556" right="0.699305555555556" top="0.75"/>
  <pageSetup scale="75"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2020-10-15T05:50:00Z</dcterms:created>
  <dc:creator>CFR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1033-2.7.0.4476</vt:lpwstr>
  </property>
</Properties>
</file>